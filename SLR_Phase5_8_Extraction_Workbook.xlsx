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hmzdev6/Documents/srl_layer3/"/>
    </mc:Choice>
  </mc:AlternateContent>
  <xr:revisionPtr revIDLastSave="0" documentId="13_ncr:1_{AA3B1A24-4CBA-BD43-8354-B1DA601A29C1}" xr6:coauthVersionLast="47" xr6:coauthVersionMax="47" xr10:uidLastSave="{00000000-0000-0000-0000-000000000000}"/>
  <bookViews>
    <workbookView xWindow="0" yWindow="660" windowWidth="29400" windowHeight="18460" xr2:uid="{00000000-000D-0000-FFFF-FFFF00000000}"/>
  </bookViews>
  <sheets>
    <sheet name="00_Index" sheetId="1" r:id="rId1"/>
    <sheet name="05_Extraction" sheetId="2" r:id="rId2"/>
    <sheet name="06_Quant_Coding" sheetId="3" r:id="rId3"/>
    <sheet name="07_Findings" sheetId="4" r:id="rId4"/>
    <sheet name="08_Gaps_FutureWork" sheetId="5" r:id="rId5"/>
    <sheet name="Evidence" sheetId="6" r:id="rId6"/>
    <sheet name="Quality_Control"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54" i="7" l="1"/>
  <c r="E353" i="7"/>
  <c r="E352" i="7"/>
  <c r="E351" i="7"/>
  <c r="E350" i="7"/>
  <c r="E349" i="7"/>
  <c r="E348" i="7"/>
  <c r="E347" i="7"/>
  <c r="E346" i="7"/>
  <c r="E345" i="7"/>
  <c r="E344" i="7"/>
  <c r="E343" i="7"/>
  <c r="E342" i="7"/>
  <c r="E341" i="7"/>
  <c r="E340" i="7"/>
  <c r="E339" i="7"/>
  <c r="E338" i="7"/>
  <c r="E337" i="7"/>
  <c r="E336" i="7"/>
  <c r="E335" i="7"/>
  <c r="E334" i="7"/>
  <c r="E333" i="7"/>
  <c r="E332" i="7"/>
  <c r="E331" i="7"/>
  <c r="E330" i="7"/>
  <c r="E329" i="7"/>
  <c r="E328" i="7"/>
  <c r="E327" i="7"/>
  <c r="E326" i="7"/>
  <c r="E325" i="7"/>
  <c r="E324" i="7"/>
  <c r="E323" i="7"/>
  <c r="E322" i="7"/>
  <c r="E321" i="7"/>
  <c r="E320" i="7"/>
  <c r="E319" i="7"/>
  <c r="E318" i="7"/>
  <c r="E317" i="7"/>
  <c r="E316" i="7"/>
  <c r="E315" i="7"/>
  <c r="E314" i="7"/>
  <c r="E313" i="7"/>
  <c r="E312" i="7"/>
  <c r="E311" i="7"/>
  <c r="E310" i="7"/>
  <c r="E309" i="7"/>
  <c r="E308" i="7"/>
  <c r="E307" i="7"/>
  <c r="E306" i="7"/>
  <c r="E305" i="7"/>
  <c r="E304" i="7"/>
  <c r="E303" i="7"/>
  <c r="E302" i="7"/>
  <c r="E301" i="7"/>
  <c r="E300" i="7"/>
  <c r="E299" i="7"/>
  <c r="E298" i="7"/>
  <c r="E297" i="7"/>
  <c r="E296" i="7"/>
  <c r="E295" i="7"/>
  <c r="E294" i="7"/>
  <c r="E293" i="7"/>
  <c r="E292" i="7"/>
  <c r="E291" i="7"/>
  <c r="E290" i="7"/>
  <c r="E289" i="7"/>
  <c r="E288" i="7"/>
  <c r="E287" i="7"/>
  <c r="E286" i="7"/>
  <c r="E285" i="7"/>
  <c r="E284" i="7"/>
  <c r="E283" i="7"/>
  <c r="E282" i="7"/>
  <c r="E281" i="7"/>
  <c r="E280" i="7"/>
  <c r="E279" i="7"/>
  <c r="E278" i="7"/>
  <c r="E277" i="7"/>
  <c r="E276" i="7"/>
  <c r="E275" i="7"/>
  <c r="E274" i="7"/>
  <c r="E273" i="7"/>
  <c r="E272" i="7"/>
  <c r="E271" i="7"/>
  <c r="E270" i="7"/>
  <c r="E269" i="7"/>
  <c r="E268" i="7"/>
  <c r="E267" i="7"/>
  <c r="E266" i="7"/>
  <c r="E265" i="7"/>
  <c r="E264" i="7"/>
  <c r="E263" i="7"/>
  <c r="E262" i="7"/>
  <c r="E261" i="7"/>
  <c r="E260" i="7"/>
  <c r="E259" i="7"/>
  <c r="E258" i="7"/>
  <c r="E257" i="7"/>
  <c r="E256" i="7"/>
  <c r="E255" i="7"/>
  <c r="E254" i="7"/>
  <c r="E253" i="7"/>
  <c r="E252" i="7"/>
  <c r="E251" i="7"/>
  <c r="E250" i="7"/>
  <c r="E249" i="7"/>
  <c r="E248" i="7"/>
  <c r="E247" i="7"/>
  <c r="E246" i="7"/>
  <c r="E245" i="7"/>
  <c r="E244" i="7"/>
  <c r="E243" i="7"/>
  <c r="E242" i="7"/>
  <c r="E241" i="7"/>
  <c r="E240" i="7"/>
  <c r="E239" i="7"/>
  <c r="E238" i="7"/>
  <c r="E237" i="7"/>
  <c r="E236" i="7"/>
  <c r="E235" i="7"/>
  <c r="E234" i="7"/>
  <c r="E233" i="7"/>
  <c r="E232" i="7"/>
  <c r="E231" i="7"/>
  <c r="E230" i="7"/>
  <c r="E229" i="7"/>
  <c r="E228" i="7"/>
  <c r="E227" i="7"/>
  <c r="E226" i="7"/>
  <c r="E225" i="7"/>
  <c r="E224" i="7"/>
  <c r="E223" i="7"/>
  <c r="E222" i="7"/>
  <c r="E221" i="7"/>
  <c r="E220" i="7"/>
  <c r="E219" i="7"/>
  <c r="E218" i="7"/>
  <c r="E217" i="7"/>
  <c r="E216" i="7"/>
  <c r="E215" i="7"/>
  <c r="E214" i="7"/>
  <c r="E213" i="7"/>
  <c r="E212" i="7"/>
  <c r="E211" i="7"/>
  <c r="E210" i="7"/>
  <c r="E209" i="7"/>
  <c r="E208" i="7"/>
  <c r="E207" i="7"/>
  <c r="E206" i="7"/>
  <c r="E205" i="7"/>
  <c r="E204" i="7"/>
  <c r="E203" i="7"/>
  <c r="E202" i="7"/>
  <c r="E201" i="7"/>
  <c r="E200" i="7"/>
  <c r="E199" i="7"/>
  <c r="E198" i="7"/>
  <c r="E197" i="7"/>
  <c r="E196" i="7"/>
  <c r="E195" i="7"/>
  <c r="E194" i="7"/>
  <c r="E193" i="7"/>
  <c r="E192" i="7"/>
  <c r="E191" i="7"/>
  <c r="E190" i="7"/>
  <c r="E189" i="7"/>
  <c r="E188" i="7"/>
  <c r="E187" i="7"/>
  <c r="E186" i="7"/>
  <c r="E185" i="7"/>
  <c r="E184" i="7"/>
  <c r="E183" i="7"/>
  <c r="E182" i="7"/>
  <c r="E181" i="7"/>
  <c r="E180" i="7"/>
  <c r="E179" i="7"/>
  <c r="E178" i="7"/>
  <c r="E177" i="7"/>
  <c r="E176" i="7"/>
  <c r="E175" i="7"/>
  <c r="E174" i="7"/>
  <c r="E173" i="7"/>
  <c r="E172" i="7"/>
  <c r="E171" i="7"/>
  <c r="E170" i="7"/>
  <c r="E169" i="7"/>
  <c r="E168" i="7"/>
  <c r="E167" i="7"/>
  <c r="E166" i="7"/>
  <c r="E165" i="7"/>
  <c r="E164" i="7"/>
  <c r="E163" i="7"/>
  <c r="E162" i="7"/>
  <c r="E161" i="7"/>
  <c r="E160" i="7"/>
  <c r="E159" i="7"/>
  <c r="E158" i="7"/>
  <c r="E157" i="7"/>
  <c r="E156" i="7"/>
  <c r="E155" i="7"/>
  <c r="E154" i="7"/>
  <c r="E153" i="7"/>
  <c r="E152" i="7"/>
  <c r="E151" i="7"/>
  <c r="E150" i="7"/>
  <c r="E149" i="7"/>
  <c r="E148" i="7"/>
  <c r="E147" i="7"/>
  <c r="E146" i="7"/>
  <c r="E145" i="7"/>
  <c r="E144" i="7"/>
  <c r="E143" i="7"/>
  <c r="E142" i="7"/>
  <c r="E141" i="7"/>
  <c r="E140" i="7"/>
  <c r="E139" i="7"/>
  <c r="E138" i="7"/>
  <c r="E137" i="7"/>
  <c r="E136" i="7"/>
  <c r="E135" i="7"/>
  <c r="E134" i="7"/>
  <c r="E133" i="7"/>
  <c r="E132" i="7"/>
  <c r="E131" i="7"/>
  <c r="E130" i="7"/>
  <c r="E129" i="7"/>
  <c r="E128" i="7"/>
  <c r="E127" i="7"/>
  <c r="E126" i="7"/>
  <c r="E125" i="7"/>
  <c r="E124" i="7"/>
  <c r="E123" i="7"/>
  <c r="E122" i="7"/>
  <c r="E121" i="7"/>
  <c r="E120" i="7"/>
  <c r="E119" i="7"/>
  <c r="E118" i="7"/>
  <c r="E117" i="7"/>
  <c r="E116" i="7"/>
  <c r="E115" i="7"/>
  <c r="E114" i="7"/>
  <c r="E113" i="7"/>
  <c r="E112" i="7"/>
  <c r="E111" i="7"/>
  <c r="E110" i="7"/>
  <c r="E109" i="7"/>
  <c r="E108" i="7"/>
  <c r="E107" i="7"/>
  <c r="E106" i="7"/>
  <c r="E105" i="7"/>
  <c r="E104" i="7"/>
  <c r="E103" i="7"/>
  <c r="E102" i="7"/>
  <c r="E101" i="7"/>
  <c r="E100" i="7"/>
  <c r="E99" i="7"/>
  <c r="E98" i="7"/>
  <c r="E97" i="7"/>
  <c r="E96" i="7"/>
  <c r="E95" i="7"/>
  <c r="E94" i="7"/>
  <c r="E93" i="7"/>
  <c r="E92" i="7"/>
  <c r="E91" i="7"/>
  <c r="E90" i="7"/>
  <c r="E89" i="7"/>
  <c r="E88" i="7"/>
  <c r="E87" i="7"/>
  <c r="E86" i="7"/>
  <c r="E85" i="7"/>
  <c r="E84" i="7"/>
  <c r="E83" i="7"/>
  <c r="E82" i="7"/>
  <c r="E81" i="7"/>
  <c r="E80" i="7"/>
  <c r="E79" i="7"/>
  <c r="E78" i="7"/>
  <c r="E77" i="7"/>
  <c r="E76" i="7"/>
  <c r="E75" i="7"/>
  <c r="E74" i="7"/>
  <c r="E73" i="7"/>
  <c r="E72" i="7"/>
  <c r="E71" i="7"/>
  <c r="E70" i="7"/>
  <c r="E69" i="7"/>
  <c r="E68" i="7"/>
  <c r="E67" i="7"/>
  <c r="E66" i="7"/>
  <c r="E65" i="7"/>
  <c r="E64" i="7"/>
  <c r="E63" i="7"/>
  <c r="E62" i="7"/>
  <c r="E61" i="7"/>
  <c r="E60" i="7"/>
  <c r="E59" i="7"/>
  <c r="E58" i="7"/>
  <c r="E57" i="7"/>
  <c r="E56" i="7"/>
  <c r="E55" i="7"/>
  <c r="E54" i="7"/>
  <c r="E53" i="7"/>
  <c r="E52" i="7"/>
  <c r="E51" i="7"/>
  <c r="E50" i="7"/>
  <c r="E49" i="7"/>
  <c r="E48" i="7"/>
  <c r="E47" i="7"/>
  <c r="E46" i="7"/>
  <c r="E45" i="7"/>
  <c r="E44" i="7"/>
  <c r="E43" i="7"/>
  <c r="E42" i="7"/>
  <c r="E41" i="7"/>
  <c r="E40" i="7"/>
  <c r="E39" i="7"/>
  <c r="E38" i="7"/>
  <c r="E37" i="7"/>
  <c r="E36" i="7"/>
  <c r="E35" i="7"/>
  <c r="E34" i="7"/>
  <c r="E33" i="7"/>
  <c r="E32" i="7"/>
  <c r="E31" i="7"/>
  <c r="E30" i="7"/>
  <c r="E29" i="7"/>
  <c r="E28" i="7"/>
  <c r="E27" i="7"/>
  <c r="E26" i="7"/>
  <c r="E25" i="7"/>
  <c r="E24" i="7"/>
  <c r="E23" i="7"/>
  <c r="E22" i="7"/>
  <c r="E21" i="7"/>
  <c r="E20" i="7"/>
  <c r="E19" i="7"/>
  <c r="E18" i="7"/>
  <c r="E17" i="7"/>
  <c r="E16" i="7"/>
  <c r="E15" i="7"/>
  <c r="E14" i="7"/>
  <c r="E13" i="7"/>
  <c r="E12" i="7"/>
  <c r="E11" i="7"/>
  <c r="E10" i="7"/>
  <c r="E9" i="7"/>
  <c r="E8" i="7"/>
  <c r="E7" i="7"/>
  <c r="E6" i="7"/>
  <c r="E5" i="7"/>
  <c r="E4" i="7"/>
  <c r="E3" i="7"/>
  <c r="E2" i="7"/>
  <c r="E1743" i="6"/>
  <c r="E1742" i="6"/>
  <c r="E1741" i="6"/>
  <c r="E1740" i="6"/>
  <c r="E1739" i="6"/>
  <c r="E1738" i="6"/>
  <c r="E1737" i="6"/>
  <c r="E1736" i="6"/>
  <c r="E1735" i="6"/>
  <c r="E1734" i="6"/>
  <c r="E1733" i="6"/>
  <c r="E1732" i="6"/>
  <c r="E1731" i="6"/>
  <c r="E1730" i="6"/>
  <c r="E1729" i="6"/>
  <c r="E1728" i="6"/>
  <c r="E1727" i="6"/>
  <c r="E1726" i="6"/>
  <c r="E1725" i="6"/>
  <c r="E1724" i="6"/>
  <c r="E1723" i="6"/>
  <c r="E1722" i="6"/>
  <c r="E1721" i="6"/>
  <c r="E1720" i="6"/>
  <c r="E1719" i="6"/>
  <c r="E1718" i="6"/>
  <c r="E1717" i="6"/>
  <c r="E1716" i="6"/>
  <c r="E1715" i="6"/>
  <c r="E1714" i="6"/>
  <c r="E1713" i="6"/>
  <c r="E1712" i="6"/>
  <c r="E1711" i="6"/>
  <c r="E1710" i="6"/>
  <c r="E1709" i="6"/>
  <c r="E1708" i="6"/>
  <c r="E1707" i="6"/>
  <c r="E1706" i="6"/>
  <c r="E1705" i="6"/>
  <c r="E1704" i="6"/>
  <c r="E1703" i="6"/>
  <c r="E1702" i="6"/>
  <c r="E1701" i="6"/>
  <c r="E1700" i="6"/>
  <c r="E1699" i="6"/>
  <c r="E1698" i="6"/>
  <c r="E1697" i="6"/>
  <c r="E1696" i="6"/>
  <c r="E1695" i="6"/>
  <c r="E1694" i="6"/>
  <c r="E1693" i="6"/>
  <c r="E1692" i="6"/>
  <c r="E1691" i="6"/>
  <c r="E1690" i="6"/>
  <c r="E1689" i="6"/>
  <c r="E1688" i="6"/>
  <c r="E1687" i="6"/>
  <c r="E1686" i="6"/>
  <c r="E1685" i="6"/>
  <c r="E1684" i="6"/>
  <c r="E1683" i="6"/>
  <c r="E1682" i="6"/>
  <c r="E1681" i="6"/>
  <c r="E1680" i="6"/>
  <c r="E1679" i="6"/>
  <c r="E1678" i="6"/>
  <c r="E1677" i="6"/>
  <c r="E1676" i="6"/>
  <c r="E1675" i="6"/>
  <c r="E1674" i="6"/>
  <c r="E1673" i="6"/>
  <c r="E1672" i="6"/>
  <c r="E1671" i="6"/>
  <c r="E1670" i="6"/>
  <c r="E1669" i="6"/>
  <c r="E1668" i="6"/>
  <c r="E1667" i="6"/>
  <c r="E1666" i="6"/>
  <c r="E1665" i="6"/>
  <c r="E1664" i="6"/>
  <c r="E1663" i="6"/>
  <c r="E1662" i="6"/>
  <c r="E1661" i="6"/>
  <c r="E1660" i="6"/>
  <c r="E1659" i="6"/>
  <c r="E1658" i="6"/>
  <c r="E1657" i="6"/>
  <c r="E1656" i="6"/>
  <c r="E1655" i="6"/>
  <c r="E1654" i="6"/>
  <c r="E1653" i="6"/>
  <c r="E1652" i="6"/>
  <c r="E1651" i="6"/>
  <c r="E1650" i="6"/>
  <c r="E1649" i="6"/>
  <c r="E1648" i="6"/>
  <c r="E1647" i="6"/>
  <c r="E1646" i="6"/>
  <c r="E1645" i="6"/>
  <c r="E1644" i="6"/>
  <c r="E1643" i="6"/>
  <c r="E1642" i="6"/>
  <c r="E1641" i="6"/>
  <c r="E1640" i="6"/>
  <c r="E1639" i="6"/>
  <c r="E1638" i="6"/>
  <c r="E1637" i="6"/>
  <c r="E1636" i="6"/>
  <c r="E1635" i="6"/>
  <c r="E1634" i="6"/>
  <c r="E1633" i="6"/>
  <c r="E1632" i="6"/>
  <c r="E1631" i="6"/>
  <c r="E1630" i="6"/>
  <c r="E1629" i="6"/>
  <c r="E1628" i="6"/>
  <c r="E1627" i="6"/>
  <c r="E1626" i="6"/>
  <c r="E1625" i="6"/>
  <c r="E1624" i="6"/>
  <c r="E1623" i="6"/>
  <c r="E1622" i="6"/>
  <c r="E1621" i="6"/>
  <c r="E1620" i="6"/>
  <c r="E1619" i="6"/>
  <c r="E1618" i="6"/>
  <c r="E1617" i="6"/>
  <c r="E1616" i="6"/>
  <c r="E1615" i="6"/>
  <c r="E1614" i="6"/>
  <c r="E1613" i="6"/>
  <c r="E1612" i="6"/>
  <c r="E1611" i="6"/>
  <c r="E1610" i="6"/>
  <c r="E1609" i="6"/>
  <c r="E1608" i="6"/>
  <c r="E1607" i="6"/>
  <c r="E1606" i="6"/>
  <c r="E1605" i="6"/>
  <c r="E1604" i="6"/>
  <c r="E1603" i="6"/>
  <c r="E1602" i="6"/>
  <c r="E1601" i="6"/>
  <c r="E1600" i="6"/>
  <c r="E1599" i="6"/>
  <c r="E1598" i="6"/>
  <c r="E1597" i="6"/>
  <c r="E1596" i="6"/>
  <c r="E1595" i="6"/>
  <c r="E1594" i="6"/>
  <c r="E1593" i="6"/>
  <c r="E1592" i="6"/>
  <c r="E1591" i="6"/>
  <c r="E1590" i="6"/>
  <c r="E1589" i="6"/>
  <c r="E1588" i="6"/>
  <c r="E1587" i="6"/>
  <c r="E1586" i="6"/>
  <c r="E1585" i="6"/>
  <c r="E1584" i="6"/>
  <c r="E1583" i="6"/>
  <c r="E1582" i="6"/>
  <c r="E1581" i="6"/>
  <c r="E1580" i="6"/>
  <c r="E1579" i="6"/>
  <c r="E1578" i="6"/>
  <c r="E1577" i="6"/>
  <c r="E1576" i="6"/>
  <c r="E1575" i="6"/>
  <c r="E1574" i="6"/>
  <c r="E1573" i="6"/>
  <c r="E1572" i="6"/>
  <c r="E1571" i="6"/>
  <c r="E1570" i="6"/>
  <c r="E1569" i="6"/>
  <c r="E1568" i="6"/>
  <c r="E1567" i="6"/>
  <c r="E1566" i="6"/>
  <c r="E1565" i="6"/>
  <c r="E1564" i="6"/>
  <c r="E1563" i="6"/>
  <c r="E1562" i="6"/>
  <c r="E1561" i="6"/>
  <c r="E1560" i="6"/>
  <c r="E1559" i="6"/>
  <c r="E1558" i="6"/>
  <c r="E1557" i="6"/>
  <c r="E1556" i="6"/>
  <c r="E1555" i="6"/>
  <c r="E1554" i="6"/>
  <c r="E1553" i="6"/>
  <c r="E1552" i="6"/>
  <c r="E1551" i="6"/>
  <c r="E1550" i="6"/>
  <c r="E1549" i="6"/>
  <c r="E1548" i="6"/>
  <c r="E1547" i="6"/>
  <c r="E1546" i="6"/>
  <c r="E1545" i="6"/>
  <c r="E1544" i="6"/>
  <c r="E1543" i="6"/>
  <c r="E1542" i="6"/>
  <c r="E1541" i="6"/>
  <c r="E1540" i="6"/>
  <c r="E1539" i="6"/>
  <c r="E1538" i="6"/>
  <c r="E1537" i="6"/>
  <c r="E1536" i="6"/>
  <c r="E1535" i="6"/>
  <c r="E1534" i="6"/>
  <c r="E1533" i="6"/>
  <c r="E1532" i="6"/>
  <c r="E1531" i="6"/>
  <c r="E1530" i="6"/>
  <c r="E1529" i="6"/>
  <c r="E1528" i="6"/>
  <c r="E1527" i="6"/>
  <c r="E1526" i="6"/>
  <c r="E1525" i="6"/>
  <c r="E1524" i="6"/>
  <c r="E1523" i="6"/>
  <c r="E1522" i="6"/>
  <c r="E1521" i="6"/>
  <c r="E1520" i="6"/>
  <c r="E1519" i="6"/>
  <c r="E1518" i="6"/>
  <c r="E1517" i="6"/>
  <c r="E1516" i="6"/>
  <c r="E1515" i="6"/>
  <c r="E1514" i="6"/>
  <c r="E1513" i="6"/>
  <c r="E1512" i="6"/>
  <c r="E1511" i="6"/>
  <c r="E1510" i="6"/>
  <c r="E1509" i="6"/>
  <c r="E1508" i="6"/>
  <c r="E1507" i="6"/>
  <c r="E1506" i="6"/>
  <c r="E1505" i="6"/>
  <c r="E1504" i="6"/>
  <c r="E1503" i="6"/>
  <c r="E1502" i="6"/>
  <c r="E1501" i="6"/>
  <c r="E1500" i="6"/>
  <c r="E1499" i="6"/>
  <c r="E1498" i="6"/>
  <c r="E1497" i="6"/>
  <c r="E1496" i="6"/>
  <c r="E1495" i="6"/>
  <c r="E1494" i="6"/>
  <c r="E1493" i="6"/>
  <c r="E1492" i="6"/>
  <c r="E1491" i="6"/>
  <c r="E1490" i="6"/>
  <c r="E1489" i="6"/>
  <c r="E1488" i="6"/>
  <c r="E1487" i="6"/>
  <c r="E1486" i="6"/>
  <c r="E1485" i="6"/>
  <c r="E1484" i="6"/>
  <c r="E1483" i="6"/>
  <c r="E1482" i="6"/>
  <c r="E1481" i="6"/>
  <c r="E1480" i="6"/>
  <c r="E1479" i="6"/>
  <c r="E1478" i="6"/>
  <c r="E1477" i="6"/>
  <c r="E1476" i="6"/>
  <c r="E1475" i="6"/>
  <c r="E1474" i="6"/>
  <c r="E1473" i="6"/>
  <c r="E1472" i="6"/>
  <c r="E1471" i="6"/>
  <c r="E1470" i="6"/>
  <c r="E1469" i="6"/>
  <c r="E1468" i="6"/>
  <c r="E1467" i="6"/>
  <c r="E1466" i="6"/>
  <c r="E1465" i="6"/>
  <c r="E1464" i="6"/>
  <c r="E1463" i="6"/>
  <c r="E1462" i="6"/>
  <c r="E1461" i="6"/>
  <c r="E1460" i="6"/>
  <c r="E1459" i="6"/>
  <c r="E1458" i="6"/>
  <c r="E1457" i="6"/>
  <c r="E1456" i="6"/>
  <c r="E1455" i="6"/>
  <c r="E1454" i="6"/>
  <c r="E1453" i="6"/>
  <c r="E1452" i="6"/>
  <c r="E1451" i="6"/>
  <c r="E1450" i="6"/>
  <c r="E1449" i="6"/>
  <c r="E1448" i="6"/>
  <c r="E1447" i="6"/>
  <c r="E1446" i="6"/>
  <c r="E1445" i="6"/>
  <c r="E1444" i="6"/>
  <c r="E1443" i="6"/>
  <c r="E1442" i="6"/>
  <c r="E1441" i="6"/>
  <c r="E1440" i="6"/>
  <c r="E1439" i="6"/>
  <c r="E1438" i="6"/>
  <c r="E1437" i="6"/>
  <c r="E1436" i="6"/>
  <c r="E1435" i="6"/>
  <c r="E1434" i="6"/>
  <c r="E1433" i="6"/>
  <c r="E1432" i="6"/>
  <c r="E1431" i="6"/>
  <c r="E1430" i="6"/>
  <c r="E1429" i="6"/>
  <c r="E1428" i="6"/>
  <c r="E1427" i="6"/>
  <c r="E1426" i="6"/>
  <c r="E1425" i="6"/>
  <c r="E1424" i="6"/>
  <c r="E1423" i="6"/>
  <c r="E1422" i="6"/>
  <c r="E1421" i="6"/>
  <c r="E1420" i="6"/>
  <c r="E1419" i="6"/>
  <c r="E1418" i="6"/>
  <c r="E1417" i="6"/>
  <c r="E1416" i="6"/>
  <c r="E1415" i="6"/>
  <c r="E1414" i="6"/>
  <c r="E1413" i="6"/>
  <c r="E1412" i="6"/>
  <c r="E1411" i="6"/>
  <c r="E1410" i="6"/>
  <c r="E1409" i="6"/>
  <c r="E1408" i="6"/>
  <c r="E1407" i="6"/>
  <c r="E1406" i="6"/>
  <c r="E1405" i="6"/>
  <c r="E1404" i="6"/>
  <c r="E1403" i="6"/>
  <c r="E1402" i="6"/>
  <c r="E1401" i="6"/>
  <c r="E1400" i="6"/>
  <c r="E1399" i="6"/>
  <c r="E1398" i="6"/>
  <c r="E1397" i="6"/>
  <c r="E1396" i="6"/>
  <c r="E1395" i="6"/>
  <c r="E1394" i="6"/>
  <c r="E1393" i="6"/>
  <c r="E1392" i="6"/>
  <c r="E1391" i="6"/>
  <c r="E1390" i="6"/>
  <c r="E1389" i="6"/>
  <c r="E1388" i="6"/>
  <c r="E1387" i="6"/>
  <c r="E1386" i="6"/>
  <c r="E1385" i="6"/>
  <c r="E1384" i="6"/>
  <c r="E1383" i="6"/>
  <c r="E1382" i="6"/>
  <c r="E1381" i="6"/>
  <c r="E1380" i="6"/>
  <c r="E1379" i="6"/>
  <c r="E1378" i="6"/>
  <c r="E1377" i="6"/>
  <c r="E1376" i="6"/>
  <c r="E1375" i="6"/>
  <c r="E1374" i="6"/>
  <c r="E1373" i="6"/>
  <c r="E1372" i="6"/>
  <c r="E1371" i="6"/>
  <c r="E1370" i="6"/>
  <c r="E1369" i="6"/>
  <c r="E1368" i="6"/>
  <c r="E1367" i="6"/>
  <c r="E1366" i="6"/>
  <c r="E1365" i="6"/>
  <c r="E1364" i="6"/>
  <c r="E1363" i="6"/>
  <c r="E1362" i="6"/>
  <c r="E1361" i="6"/>
  <c r="E1360" i="6"/>
  <c r="E1359" i="6"/>
  <c r="E1358" i="6"/>
  <c r="E1357" i="6"/>
  <c r="E1356" i="6"/>
  <c r="E1355" i="6"/>
  <c r="E1354" i="6"/>
  <c r="E1353" i="6"/>
  <c r="E1352" i="6"/>
  <c r="E1351" i="6"/>
  <c r="E1350" i="6"/>
  <c r="E1349" i="6"/>
  <c r="E1348" i="6"/>
  <c r="E1347" i="6"/>
  <c r="E1346" i="6"/>
  <c r="E1345" i="6"/>
  <c r="E1344" i="6"/>
  <c r="E1343" i="6"/>
  <c r="E1342" i="6"/>
  <c r="E1341" i="6"/>
  <c r="E1340" i="6"/>
  <c r="E1339" i="6"/>
  <c r="E1338" i="6"/>
  <c r="E1337" i="6"/>
  <c r="E1336" i="6"/>
  <c r="E1335" i="6"/>
  <c r="E1334" i="6"/>
  <c r="E1333" i="6"/>
  <c r="E1332" i="6"/>
  <c r="E1331" i="6"/>
  <c r="E1330" i="6"/>
  <c r="E1329" i="6"/>
  <c r="E1328" i="6"/>
  <c r="E1327" i="6"/>
  <c r="E1326" i="6"/>
  <c r="E1325" i="6"/>
  <c r="E1324" i="6"/>
  <c r="E1323" i="6"/>
  <c r="E1322" i="6"/>
  <c r="E1321" i="6"/>
  <c r="E1320" i="6"/>
  <c r="E1319" i="6"/>
  <c r="E1318" i="6"/>
  <c r="E1317" i="6"/>
  <c r="E1316" i="6"/>
  <c r="E1315" i="6"/>
  <c r="E1314" i="6"/>
  <c r="E1313" i="6"/>
  <c r="E1312" i="6"/>
  <c r="E1311" i="6"/>
  <c r="E1310" i="6"/>
  <c r="E1309" i="6"/>
  <c r="E1308" i="6"/>
  <c r="E1307" i="6"/>
  <c r="E1306" i="6"/>
  <c r="E1305" i="6"/>
  <c r="E1304" i="6"/>
  <c r="E1303" i="6"/>
  <c r="E1302" i="6"/>
  <c r="E1301" i="6"/>
  <c r="E1300" i="6"/>
  <c r="E1299" i="6"/>
  <c r="E1298" i="6"/>
  <c r="E1297" i="6"/>
  <c r="E1296" i="6"/>
  <c r="E1295" i="6"/>
  <c r="E1294" i="6"/>
  <c r="E1293" i="6"/>
  <c r="E1292" i="6"/>
  <c r="E1291" i="6"/>
  <c r="E1290" i="6"/>
  <c r="E1289" i="6"/>
  <c r="E1288" i="6"/>
  <c r="E1287" i="6"/>
  <c r="E1286" i="6"/>
  <c r="E1285" i="6"/>
  <c r="E1284" i="6"/>
  <c r="E1283" i="6"/>
  <c r="E1282" i="6"/>
  <c r="E1281" i="6"/>
  <c r="E1280" i="6"/>
  <c r="E1279" i="6"/>
  <c r="E1278" i="6"/>
  <c r="E1277" i="6"/>
  <c r="E1276" i="6"/>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E3" i="6"/>
  <c r="E2" i="6"/>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E25" i="5"/>
  <c r="E24" i="5"/>
  <c r="E23" i="5"/>
  <c r="E22" i="5"/>
  <c r="E21" i="5"/>
  <c r="E20" i="5"/>
  <c r="E19" i="5"/>
  <c r="E18" i="5"/>
  <c r="E17" i="5"/>
  <c r="E16" i="5"/>
  <c r="E15" i="5"/>
  <c r="E14" i="5"/>
  <c r="E13" i="5"/>
  <c r="E12" i="5"/>
  <c r="E11" i="5"/>
  <c r="E10" i="5"/>
  <c r="E9" i="5"/>
  <c r="E8" i="5"/>
  <c r="E7" i="5"/>
  <c r="E6" i="5"/>
  <c r="E5" i="5"/>
  <c r="E4" i="5"/>
  <c r="E3" i="5"/>
  <c r="E2" i="5"/>
  <c r="E354" i="4"/>
  <c r="E353" i="4"/>
  <c r="E352" i="4"/>
  <c r="E351" i="4"/>
  <c r="E350" i="4"/>
  <c r="E349" i="4"/>
  <c r="E348" i="4"/>
  <c r="E347" i="4"/>
  <c r="E346" i="4"/>
  <c r="E345" i="4"/>
  <c r="E344" i="4"/>
  <c r="E343" i="4"/>
  <c r="E342" i="4"/>
  <c r="E341" i="4"/>
  <c r="E340" i="4"/>
  <c r="E339" i="4"/>
  <c r="E338" i="4"/>
  <c r="E337" i="4"/>
  <c r="E336" i="4"/>
  <c r="E335" i="4"/>
  <c r="E334" i="4"/>
  <c r="E333" i="4"/>
  <c r="E332" i="4"/>
  <c r="E331" i="4"/>
  <c r="E330" i="4"/>
  <c r="E329" i="4"/>
  <c r="E328" i="4"/>
  <c r="E327" i="4"/>
  <c r="E326" i="4"/>
  <c r="E325" i="4"/>
  <c r="E324" i="4"/>
  <c r="E323" i="4"/>
  <c r="E322" i="4"/>
  <c r="E321" i="4"/>
  <c r="E320" i="4"/>
  <c r="E319" i="4"/>
  <c r="E318" i="4"/>
  <c r="E317" i="4"/>
  <c r="E316" i="4"/>
  <c r="E315" i="4"/>
  <c r="E314" i="4"/>
  <c r="E313" i="4"/>
  <c r="E312" i="4"/>
  <c r="E311" i="4"/>
  <c r="E310" i="4"/>
  <c r="E309" i="4"/>
  <c r="E308" i="4"/>
  <c r="E307" i="4"/>
  <c r="E306" i="4"/>
  <c r="E305" i="4"/>
  <c r="E304" i="4"/>
  <c r="E303" i="4"/>
  <c r="E302" i="4"/>
  <c r="E301" i="4"/>
  <c r="E300" i="4"/>
  <c r="E299" i="4"/>
  <c r="E298" i="4"/>
  <c r="E297" i="4"/>
  <c r="E296" i="4"/>
  <c r="E295" i="4"/>
  <c r="E294" i="4"/>
  <c r="E293" i="4"/>
  <c r="E292" i="4"/>
  <c r="E291" i="4"/>
  <c r="E290" i="4"/>
  <c r="E289" i="4"/>
  <c r="E288" i="4"/>
  <c r="E287" i="4"/>
  <c r="E286" i="4"/>
  <c r="E285" i="4"/>
  <c r="E284" i="4"/>
  <c r="E283" i="4"/>
  <c r="E282" i="4"/>
  <c r="E281" i="4"/>
  <c r="E280" i="4"/>
  <c r="E279" i="4"/>
  <c r="E278" i="4"/>
  <c r="E277" i="4"/>
  <c r="E276" i="4"/>
  <c r="E275" i="4"/>
  <c r="E274" i="4"/>
  <c r="E273" i="4"/>
  <c r="E272" i="4"/>
  <c r="E271" i="4"/>
  <c r="E270" i="4"/>
  <c r="E269" i="4"/>
  <c r="E268" i="4"/>
  <c r="E267" i="4"/>
  <c r="E266" i="4"/>
  <c r="E265" i="4"/>
  <c r="E264" i="4"/>
  <c r="E263" i="4"/>
  <c r="E262" i="4"/>
  <c r="E261" i="4"/>
  <c r="E260" i="4"/>
  <c r="E259" i="4"/>
  <c r="E258" i="4"/>
  <c r="E257" i="4"/>
  <c r="E256" i="4"/>
  <c r="E255" i="4"/>
  <c r="E254" i="4"/>
  <c r="E253" i="4"/>
  <c r="E252" i="4"/>
  <c r="E251" i="4"/>
  <c r="E250" i="4"/>
  <c r="E249" i="4"/>
  <c r="E248" i="4"/>
  <c r="E247" i="4"/>
  <c r="E246" i="4"/>
  <c r="E245" i="4"/>
  <c r="E244" i="4"/>
  <c r="E243" i="4"/>
  <c r="E242" i="4"/>
  <c r="E241" i="4"/>
  <c r="E240" i="4"/>
  <c r="E239" i="4"/>
  <c r="E238" i="4"/>
  <c r="E237" i="4"/>
  <c r="E236" i="4"/>
  <c r="E235" i="4"/>
  <c r="E234" i="4"/>
  <c r="E233" i="4"/>
  <c r="E232" i="4"/>
  <c r="E231" i="4"/>
  <c r="E230" i="4"/>
  <c r="E229" i="4"/>
  <c r="E228" i="4"/>
  <c r="E227" i="4"/>
  <c r="E226" i="4"/>
  <c r="E225" i="4"/>
  <c r="E224" i="4"/>
  <c r="E223" i="4"/>
  <c r="E222" i="4"/>
  <c r="E221" i="4"/>
  <c r="E220" i="4"/>
  <c r="E219" i="4"/>
  <c r="E218" i="4"/>
  <c r="E217" i="4"/>
  <c r="E216" i="4"/>
  <c r="E215" i="4"/>
  <c r="E214" i="4"/>
  <c r="E213" i="4"/>
  <c r="E212" i="4"/>
  <c r="E211" i="4"/>
  <c r="E210" i="4"/>
  <c r="E209" i="4"/>
  <c r="E208" i="4"/>
  <c r="E207" i="4"/>
  <c r="E206" i="4"/>
  <c r="E205" i="4"/>
  <c r="E204" i="4"/>
  <c r="E203" i="4"/>
  <c r="E202" i="4"/>
  <c r="E201" i="4"/>
  <c r="E200" i="4"/>
  <c r="E199" i="4"/>
  <c r="E198" i="4"/>
  <c r="E197" i="4"/>
  <c r="E196" i="4"/>
  <c r="E195" i="4"/>
  <c r="E194" i="4"/>
  <c r="E193" i="4"/>
  <c r="E192" i="4"/>
  <c r="E191" i="4"/>
  <c r="E190" i="4"/>
  <c r="E189" i="4"/>
  <c r="E188" i="4"/>
  <c r="E187" i="4"/>
  <c r="E186" i="4"/>
  <c r="E185" i="4"/>
  <c r="E184" i="4"/>
  <c r="E183" i="4"/>
  <c r="E182" i="4"/>
  <c r="E181" i="4"/>
  <c r="E180" i="4"/>
  <c r="E179" i="4"/>
  <c r="E178" i="4"/>
  <c r="E177" i="4"/>
  <c r="E176" i="4"/>
  <c r="E175" i="4"/>
  <c r="E174" i="4"/>
  <c r="E173" i="4"/>
  <c r="E172" i="4"/>
  <c r="E171" i="4"/>
  <c r="E170" i="4"/>
  <c r="E169" i="4"/>
  <c r="E168" i="4"/>
  <c r="E167" i="4"/>
  <c r="E166" i="4"/>
  <c r="E165" i="4"/>
  <c r="E164" i="4"/>
  <c r="E163" i="4"/>
  <c r="E162" i="4"/>
  <c r="E161" i="4"/>
  <c r="E160" i="4"/>
  <c r="E159" i="4"/>
  <c r="E158" i="4"/>
  <c r="E157" i="4"/>
  <c r="E156" i="4"/>
  <c r="E155" i="4"/>
  <c r="E154" i="4"/>
  <c r="E153" i="4"/>
  <c r="E152" i="4"/>
  <c r="E151" i="4"/>
  <c r="E150" i="4"/>
  <c r="E149" i="4"/>
  <c r="E148" i="4"/>
  <c r="E147" i="4"/>
  <c r="E146" i="4"/>
  <c r="E145" i="4"/>
  <c r="E144" i="4"/>
  <c r="E143" i="4"/>
  <c r="E142" i="4"/>
  <c r="E141" i="4"/>
  <c r="E140" i="4"/>
  <c r="E139" i="4"/>
  <c r="E138" i="4"/>
  <c r="E137" i="4"/>
  <c r="E136" i="4"/>
  <c r="E135" i="4"/>
  <c r="E134" i="4"/>
  <c r="E133" i="4"/>
  <c r="E132" i="4"/>
  <c r="E131" i="4"/>
  <c r="E130" i="4"/>
  <c r="E129" i="4"/>
  <c r="E128" i="4"/>
  <c r="E127" i="4"/>
  <c r="E126" i="4"/>
  <c r="E125" i="4"/>
  <c r="E124" i="4"/>
  <c r="E123" i="4"/>
  <c r="E122" i="4"/>
  <c r="E121" i="4"/>
  <c r="E120" i="4"/>
  <c r="E119" i="4"/>
  <c r="E118" i="4"/>
  <c r="E117" i="4"/>
  <c r="E116" i="4"/>
  <c r="E115" i="4"/>
  <c r="E114" i="4"/>
  <c r="E113" i="4"/>
  <c r="E112" i="4"/>
  <c r="E111" i="4"/>
  <c r="E110" i="4"/>
  <c r="E109" i="4"/>
  <c r="E108" i="4"/>
  <c r="E107" i="4"/>
  <c r="E106" i="4"/>
  <c r="E105" i="4"/>
  <c r="E104" i="4"/>
  <c r="E103" i="4"/>
  <c r="E102" i="4"/>
  <c r="E101" i="4"/>
  <c r="E100" i="4"/>
  <c r="E99" i="4"/>
  <c r="E98" i="4"/>
  <c r="E97" i="4"/>
  <c r="E96" i="4"/>
  <c r="E95" i="4"/>
  <c r="E94" i="4"/>
  <c r="E93" i="4"/>
  <c r="E92" i="4"/>
  <c r="E91" i="4"/>
  <c r="E90" i="4"/>
  <c r="E89" i="4"/>
  <c r="E88" i="4"/>
  <c r="E87" i="4"/>
  <c r="E86" i="4"/>
  <c r="E85" i="4"/>
  <c r="E84" i="4"/>
  <c r="E83" i="4"/>
  <c r="E82" i="4"/>
  <c r="E81" i="4"/>
  <c r="E80" i="4"/>
  <c r="E79" i="4"/>
  <c r="E78" i="4"/>
  <c r="E77" i="4"/>
  <c r="E76" i="4"/>
  <c r="E75" i="4"/>
  <c r="E74" i="4"/>
  <c r="E73" i="4"/>
  <c r="E72" i="4"/>
  <c r="E71" i="4"/>
  <c r="E70" i="4"/>
  <c r="E69" i="4"/>
  <c r="E68" i="4"/>
  <c r="E67" i="4"/>
  <c r="E66" i="4"/>
  <c r="E65" i="4"/>
  <c r="E64" i="4"/>
  <c r="E63" i="4"/>
  <c r="E62" i="4"/>
  <c r="E61" i="4"/>
  <c r="E60" i="4"/>
  <c r="E59" i="4"/>
  <c r="E58" i="4"/>
  <c r="E57" i="4"/>
  <c r="E56" i="4"/>
  <c r="E55" i="4"/>
  <c r="E54" i="4"/>
  <c r="E53" i="4"/>
  <c r="E52" i="4"/>
  <c r="E51" i="4"/>
  <c r="E50" i="4"/>
  <c r="E49" i="4"/>
  <c r="E48" i="4"/>
  <c r="E47" i="4"/>
  <c r="E46" i="4"/>
  <c r="E45" i="4"/>
  <c r="E44" i="4"/>
  <c r="E43" i="4"/>
  <c r="E42" i="4"/>
  <c r="E41" i="4"/>
  <c r="E40" i="4"/>
  <c r="E39" i="4"/>
  <c r="E38" i="4"/>
  <c r="E37" i="4"/>
  <c r="E36" i="4"/>
  <c r="E35" i="4"/>
  <c r="E34" i="4"/>
  <c r="E33" i="4"/>
  <c r="E32" i="4"/>
  <c r="E31" i="4"/>
  <c r="E30" i="4"/>
  <c r="E29" i="4"/>
  <c r="E28" i="4"/>
  <c r="E27" i="4"/>
  <c r="E26" i="4"/>
  <c r="E25" i="4"/>
  <c r="E24" i="4"/>
  <c r="E23" i="4"/>
  <c r="E22" i="4"/>
  <c r="E21" i="4"/>
  <c r="E20" i="4"/>
  <c r="E19" i="4"/>
  <c r="E18" i="4"/>
  <c r="E17" i="4"/>
  <c r="E16" i="4"/>
  <c r="E15" i="4"/>
  <c r="E14" i="4"/>
  <c r="E13" i="4"/>
  <c r="E12" i="4"/>
  <c r="E11" i="4"/>
  <c r="E10" i="4"/>
  <c r="E9" i="4"/>
  <c r="E8" i="4"/>
  <c r="E7" i="4"/>
  <c r="E6" i="4"/>
  <c r="E5" i="4"/>
  <c r="E4" i="4"/>
  <c r="E3" i="4"/>
  <c r="E2" i="4"/>
  <c r="E354" i="3"/>
  <c r="E353" i="3"/>
  <c r="E352" i="3"/>
  <c r="E351" i="3"/>
  <c r="E350" i="3"/>
  <c r="E349" i="3"/>
  <c r="E348" i="3"/>
  <c r="E347" i="3"/>
  <c r="E346" i="3"/>
  <c r="E345" i="3"/>
  <c r="E344" i="3"/>
  <c r="E343" i="3"/>
  <c r="E342" i="3"/>
  <c r="E341" i="3"/>
  <c r="E340" i="3"/>
  <c r="E339" i="3"/>
  <c r="E338" i="3"/>
  <c r="E337" i="3"/>
  <c r="E336" i="3"/>
  <c r="E335" i="3"/>
  <c r="E334" i="3"/>
  <c r="E333" i="3"/>
  <c r="E332" i="3"/>
  <c r="E331" i="3"/>
  <c r="E330" i="3"/>
  <c r="E329" i="3"/>
  <c r="E328" i="3"/>
  <c r="E327" i="3"/>
  <c r="E326" i="3"/>
  <c r="E325" i="3"/>
  <c r="E324" i="3"/>
  <c r="E323" i="3"/>
  <c r="E322" i="3"/>
  <c r="E321" i="3"/>
  <c r="E320" i="3"/>
  <c r="E319" i="3"/>
  <c r="E318" i="3"/>
  <c r="E317" i="3"/>
  <c r="E316" i="3"/>
  <c r="E315" i="3"/>
  <c r="E314" i="3"/>
  <c r="E313" i="3"/>
  <c r="E312" i="3"/>
  <c r="E311" i="3"/>
  <c r="E310" i="3"/>
  <c r="E309" i="3"/>
  <c r="E308" i="3"/>
  <c r="E307" i="3"/>
  <c r="E306" i="3"/>
  <c r="E305" i="3"/>
  <c r="E304" i="3"/>
  <c r="E303" i="3"/>
  <c r="E302" i="3"/>
  <c r="E301" i="3"/>
  <c r="E300" i="3"/>
  <c r="E299" i="3"/>
  <c r="E298" i="3"/>
  <c r="E297" i="3"/>
  <c r="E296" i="3"/>
  <c r="E295" i="3"/>
  <c r="E294" i="3"/>
  <c r="E293" i="3"/>
  <c r="E292" i="3"/>
  <c r="E291" i="3"/>
  <c r="E290" i="3"/>
  <c r="E289" i="3"/>
  <c r="E288" i="3"/>
  <c r="E287" i="3"/>
  <c r="E286" i="3"/>
  <c r="E285" i="3"/>
  <c r="E284" i="3"/>
  <c r="E283" i="3"/>
  <c r="E282" i="3"/>
  <c r="E281" i="3"/>
  <c r="E280" i="3"/>
  <c r="E279" i="3"/>
  <c r="E278" i="3"/>
  <c r="E277" i="3"/>
  <c r="E276" i="3"/>
  <c r="E275" i="3"/>
  <c r="E274" i="3"/>
  <c r="E273" i="3"/>
  <c r="E272" i="3"/>
  <c r="E271" i="3"/>
  <c r="E270" i="3"/>
  <c r="E269" i="3"/>
  <c r="E268" i="3"/>
  <c r="E267" i="3"/>
  <c r="E266" i="3"/>
  <c r="E265" i="3"/>
  <c r="E264" i="3"/>
  <c r="E263" i="3"/>
  <c r="E262" i="3"/>
  <c r="E261" i="3"/>
  <c r="E260" i="3"/>
  <c r="E259" i="3"/>
  <c r="E258" i="3"/>
  <c r="E257" i="3"/>
  <c r="E256" i="3"/>
  <c r="E255" i="3"/>
  <c r="E254" i="3"/>
  <c r="E253" i="3"/>
  <c r="E252" i="3"/>
  <c r="E251" i="3"/>
  <c r="E250" i="3"/>
  <c r="E249" i="3"/>
  <c r="E248" i="3"/>
  <c r="E247" i="3"/>
  <c r="E246" i="3"/>
  <c r="E245" i="3"/>
  <c r="E244" i="3"/>
  <c r="E243" i="3"/>
  <c r="E242" i="3"/>
  <c r="E241" i="3"/>
  <c r="E240" i="3"/>
  <c r="E239" i="3"/>
  <c r="E238" i="3"/>
  <c r="E237" i="3"/>
  <c r="E236" i="3"/>
  <c r="E235" i="3"/>
  <c r="E234" i="3"/>
  <c r="E233" i="3"/>
  <c r="E232" i="3"/>
  <c r="E231" i="3"/>
  <c r="E230" i="3"/>
  <c r="E229" i="3"/>
  <c r="E228" i="3"/>
  <c r="E227" i="3"/>
  <c r="E226" i="3"/>
  <c r="E225" i="3"/>
  <c r="E224" i="3"/>
  <c r="E223" i="3"/>
  <c r="E222" i="3"/>
  <c r="E221" i="3"/>
  <c r="E220" i="3"/>
  <c r="E219" i="3"/>
  <c r="E218" i="3"/>
  <c r="E217" i="3"/>
  <c r="E216" i="3"/>
  <c r="E215" i="3"/>
  <c r="E214" i="3"/>
  <c r="E213" i="3"/>
  <c r="E212" i="3"/>
  <c r="E211" i="3"/>
  <c r="E210" i="3"/>
  <c r="E209" i="3"/>
  <c r="E208" i="3"/>
  <c r="E207" i="3"/>
  <c r="E206" i="3"/>
  <c r="E205" i="3"/>
  <c r="E204" i="3"/>
  <c r="E203" i="3"/>
  <c r="E202" i="3"/>
  <c r="E201" i="3"/>
  <c r="E200" i="3"/>
  <c r="E199" i="3"/>
  <c r="E198" i="3"/>
  <c r="E197" i="3"/>
  <c r="E196" i="3"/>
  <c r="E195" i="3"/>
  <c r="E194" i="3"/>
  <c r="E193" i="3"/>
  <c r="E192" i="3"/>
  <c r="E191" i="3"/>
  <c r="E190" i="3"/>
  <c r="E189" i="3"/>
  <c r="E188" i="3"/>
  <c r="E187" i="3"/>
  <c r="E186" i="3"/>
  <c r="E185" i="3"/>
  <c r="E184" i="3"/>
  <c r="E183" i="3"/>
  <c r="E182" i="3"/>
  <c r="E181" i="3"/>
  <c r="E180" i="3"/>
  <c r="E179" i="3"/>
  <c r="E178" i="3"/>
  <c r="E177" i="3"/>
  <c r="E176" i="3"/>
  <c r="E175" i="3"/>
  <c r="E174" i="3"/>
  <c r="E173" i="3"/>
  <c r="E172" i="3"/>
  <c r="E171" i="3"/>
  <c r="E170" i="3"/>
  <c r="E169" i="3"/>
  <c r="E168" i="3"/>
  <c r="E167" i="3"/>
  <c r="E166" i="3"/>
  <c r="E165" i="3"/>
  <c r="E164" i="3"/>
  <c r="E163" i="3"/>
  <c r="E162" i="3"/>
  <c r="E161" i="3"/>
  <c r="E160" i="3"/>
  <c r="E159" i="3"/>
  <c r="E158" i="3"/>
  <c r="E157" i="3"/>
  <c r="E156" i="3"/>
  <c r="E155" i="3"/>
  <c r="E154" i="3"/>
  <c r="E153" i="3"/>
  <c r="E152" i="3"/>
  <c r="E151" i="3"/>
  <c r="E150" i="3"/>
  <c r="E149" i="3"/>
  <c r="E148" i="3"/>
  <c r="E147" i="3"/>
  <c r="E146" i="3"/>
  <c r="E145" i="3"/>
  <c r="E144" i="3"/>
  <c r="E143" i="3"/>
  <c r="E142" i="3"/>
  <c r="E141" i="3"/>
  <c r="E140" i="3"/>
  <c r="E139" i="3"/>
  <c r="E138" i="3"/>
  <c r="E137" i="3"/>
  <c r="E136" i="3"/>
  <c r="E135" i="3"/>
  <c r="E134" i="3"/>
  <c r="E133" i="3"/>
  <c r="E132" i="3"/>
  <c r="E131" i="3"/>
  <c r="E130" i="3"/>
  <c r="E129" i="3"/>
  <c r="E128" i="3"/>
  <c r="E127" i="3"/>
  <c r="E126" i="3"/>
  <c r="E125" i="3"/>
  <c r="E124" i="3"/>
  <c r="E123" i="3"/>
  <c r="E122" i="3"/>
  <c r="E121" i="3"/>
  <c r="E120" i="3"/>
  <c r="E119" i="3"/>
  <c r="E118" i="3"/>
  <c r="E117" i="3"/>
  <c r="E116" i="3"/>
  <c r="E115" i="3"/>
  <c r="E114" i="3"/>
  <c r="E113" i="3"/>
  <c r="E112" i="3"/>
  <c r="E111" i="3"/>
  <c r="E110" i="3"/>
  <c r="E109" i="3"/>
  <c r="E108" i="3"/>
  <c r="E107" i="3"/>
  <c r="E106" i="3"/>
  <c r="E105" i="3"/>
  <c r="E104" i="3"/>
  <c r="E103" i="3"/>
  <c r="E102" i="3"/>
  <c r="E101" i="3"/>
  <c r="E100" i="3"/>
  <c r="E99" i="3"/>
  <c r="E98" i="3"/>
  <c r="E97" i="3"/>
  <c r="E96" i="3"/>
  <c r="E95" i="3"/>
  <c r="E94" i="3"/>
  <c r="E93" i="3"/>
  <c r="E92" i="3"/>
  <c r="E91" i="3"/>
  <c r="E90" i="3"/>
  <c r="E89" i="3"/>
  <c r="E88" i="3"/>
  <c r="E87" i="3"/>
  <c r="E86" i="3"/>
  <c r="E85" i="3"/>
  <c r="E84" i="3"/>
  <c r="E83" i="3"/>
  <c r="E82" i="3"/>
  <c r="E81" i="3"/>
  <c r="E80" i="3"/>
  <c r="E79" i="3"/>
  <c r="E78" i="3"/>
  <c r="E77" i="3"/>
  <c r="E76" i="3"/>
  <c r="E75" i="3"/>
  <c r="E74" i="3"/>
  <c r="E73" i="3"/>
  <c r="E72" i="3"/>
  <c r="E71" i="3"/>
  <c r="E70" i="3"/>
  <c r="E69" i="3"/>
  <c r="E68" i="3"/>
  <c r="E67" i="3"/>
  <c r="E66" i="3"/>
  <c r="E65" i="3"/>
  <c r="E64" i="3"/>
  <c r="E63" i="3"/>
  <c r="E62" i="3"/>
  <c r="E61" i="3"/>
  <c r="E60" i="3"/>
  <c r="E59" i="3"/>
  <c r="E58" i="3"/>
  <c r="E57" i="3"/>
  <c r="E56" i="3"/>
  <c r="E55" i="3"/>
  <c r="E54" i="3"/>
  <c r="E53" i="3"/>
  <c r="E52" i="3"/>
  <c r="E51" i="3"/>
  <c r="E50" i="3"/>
  <c r="E49" i="3"/>
  <c r="E48" i="3"/>
  <c r="E47" i="3"/>
  <c r="E46" i="3"/>
  <c r="E45" i="3"/>
  <c r="E44" i="3"/>
  <c r="E43" i="3"/>
  <c r="E42" i="3"/>
  <c r="E41" i="3"/>
  <c r="E40" i="3"/>
  <c r="E39" i="3"/>
  <c r="E38" i="3"/>
  <c r="E37" i="3"/>
  <c r="E36" i="3"/>
  <c r="E35" i="3"/>
  <c r="E34" i="3"/>
  <c r="E33" i="3"/>
  <c r="E32" i="3"/>
  <c r="E31" i="3"/>
  <c r="E30" i="3"/>
  <c r="E29" i="3"/>
  <c r="E28" i="3"/>
  <c r="E27" i="3"/>
  <c r="E26" i="3"/>
  <c r="E25" i="3"/>
  <c r="E24" i="3"/>
  <c r="E23" i="3"/>
  <c r="E22" i="3"/>
  <c r="E21" i="3"/>
  <c r="E20" i="3"/>
  <c r="E19" i="3"/>
  <c r="E18" i="3"/>
  <c r="E17" i="3"/>
  <c r="E16" i="3"/>
  <c r="E15" i="3"/>
  <c r="E14" i="3"/>
  <c r="E13" i="3"/>
  <c r="E12" i="3"/>
  <c r="E11" i="3"/>
  <c r="E10" i="3"/>
  <c r="E9" i="3"/>
  <c r="E8" i="3"/>
  <c r="E7" i="3"/>
  <c r="E6" i="3"/>
  <c r="E5" i="3"/>
  <c r="E4" i="3"/>
  <c r="E3" i="3"/>
  <c r="E2" i="3"/>
  <c r="E354" i="2"/>
  <c r="E353" i="2"/>
  <c r="E352" i="2"/>
  <c r="E351" i="2"/>
  <c r="E350" i="2"/>
  <c r="E349" i="2"/>
  <c r="E348" i="2"/>
  <c r="E347" i="2"/>
  <c r="E346" i="2"/>
  <c r="E345" i="2"/>
  <c r="E344" i="2"/>
  <c r="E343" i="2"/>
  <c r="E342" i="2"/>
  <c r="E341" i="2"/>
  <c r="E340" i="2"/>
  <c r="E339" i="2"/>
  <c r="E338" i="2"/>
  <c r="E337" i="2"/>
  <c r="E336" i="2"/>
  <c r="E335" i="2"/>
  <c r="E334" i="2"/>
  <c r="E333" i="2"/>
  <c r="E332" i="2"/>
  <c r="E331" i="2"/>
  <c r="E330" i="2"/>
  <c r="E329" i="2"/>
  <c r="E328" i="2"/>
  <c r="E327" i="2"/>
  <c r="E326" i="2"/>
  <c r="E325" i="2"/>
  <c r="E324" i="2"/>
  <c r="E323" i="2"/>
  <c r="E322" i="2"/>
  <c r="E321" i="2"/>
  <c r="E320" i="2"/>
  <c r="E319" i="2"/>
  <c r="E318" i="2"/>
  <c r="E317" i="2"/>
  <c r="E316" i="2"/>
  <c r="E315" i="2"/>
  <c r="E314" i="2"/>
  <c r="E313" i="2"/>
  <c r="E312" i="2"/>
  <c r="E311" i="2"/>
  <c r="E310" i="2"/>
  <c r="E309" i="2"/>
  <c r="E308" i="2"/>
  <c r="E307" i="2"/>
  <c r="E306" i="2"/>
  <c r="E305" i="2"/>
  <c r="E304" i="2"/>
  <c r="E303" i="2"/>
  <c r="E302" i="2"/>
  <c r="E301" i="2"/>
  <c r="E300" i="2"/>
  <c r="E299" i="2"/>
  <c r="E298" i="2"/>
  <c r="E297" i="2"/>
  <c r="E296" i="2"/>
  <c r="E295" i="2"/>
  <c r="E294" i="2"/>
  <c r="E293" i="2"/>
  <c r="E292" i="2"/>
  <c r="E291" i="2"/>
  <c r="E290" i="2"/>
  <c r="E289" i="2"/>
  <c r="E288" i="2"/>
  <c r="E287" i="2"/>
  <c r="E286" i="2"/>
  <c r="E285" i="2"/>
  <c r="E284" i="2"/>
  <c r="E283" i="2"/>
  <c r="E282" i="2"/>
  <c r="E281" i="2"/>
  <c r="E280" i="2"/>
  <c r="E279" i="2"/>
  <c r="E278" i="2"/>
  <c r="E277" i="2"/>
  <c r="E276" i="2"/>
  <c r="E275" i="2"/>
  <c r="E274" i="2"/>
  <c r="E273" i="2"/>
  <c r="E272" i="2"/>
  <c r="E271" i="2"/>
  <c r="E270" i="2"/>
  <c r="E269" i="2"/>
  <c r="E268" i="2"/>
  <c r="E267" i="2"/>
  <c r="E266" i="2"/>
  <c r="E265" i="2"/>
  <c r="E264" i="2"/>
  <c r="E263" i="2"/>
  <c r="E262" i="2"/>
  <c r="E261" i="2"/>
  <c r="E260" i="2"/>
  <c r="E259" i="2"/>
  <c r="E258" i="2"/>
  <c r="E257" i="2"/>
  <c r="E256" i="2"/>
  <c r="E255" i="2"/>
  <c r="E254" i="2"/>
  <c r="E253" i="2"/>
  <c r="E252" i="2"/>
  <c r="E251" i="2"/>
  <c r="E250" i="2"/>
  <c r="E249" i="2"/>
  <c r="E248" i="2"/>
  <c r="E247" i="2"/>
  <c r="E246" i="2"/>
  <c r="E245" i="2"/>
  <c r="E244" i="2"/>
  <c r="E243" i="2"/>
  <c r="E242" i="2"/>
  <c r="E241" i="2"/>
  <c r="E240" i="2"/>
  <c r="E239" i="2"/>
  <c r="E238" i="2"/>
  <c r="E237" i="2"/>
  <c r="E236" i="2"/>
  <c r="E235" i="2"/>
  <c r="E234" i="2"/>
  <c r="E233" i="2"/>
  <c r="E232" i="2"/>
  <c r="E231" i="2"/>
  <c r="E230" i="2"/>
  <c r="E229" i="2"/>
  <c r="E228" i="2"/>
  <c r="E227" i="2"/>
  <c r="E226" i="2"/>
  <c r="E225" i="2"/>
  <c r="E224" i="2"/>
  <c r="E223" i="2"/>
  <c r="E222" i="2"/>
  <c r="E221" i="2"/>
  <c r="E220" i="2"/>
  <c r="E219" i="2"/>
  <c r="E218" i="2"/>
  <c r="E217" i="2"/>
  <c r="E216" i="2"/>
  <c r="E215" i="2"/>
  <c r="E214" i="2"/>
  <c r="E213" i="2"/>
  <c r="E212" i="2"/>
  <c r="E211" i="2"/>
  <c r="E210" i="2"/>
  <c r="E209" i="2"/>
  <c r="E208" i="2"/>
  <c r="E207" i="2"/>
  <c r="E206" i="2"/>
  <c r="E205" i="2"/>
  <c r="E204" i="2"/>
  <c r="E203" i="2"/>
  <c r="E202" i="2"/>
  <c r="E201" i="2"/>
  <c r="E200" i="2"/>
  <c r="E199" i="2"/>
  <c r="E198" i="2"/>
  <c r="E197" i="2"/>
  <c r="E196" i="2"/>
  <c r="E195" i="2"/>
  <c r="E194" i="2"/>
  <c r="E193" i="2"/>
  <c r="E192" i="2"/>
  <c r="E191" i="2"/>
  <c r="E190" i="2"/>
  <c r="E189" i="2"/>
  <c r="E188" i="2"/>
  <c r="E187" i="2"/>
  <c r="E186" i="2"/>
  <c r="E185" i="2"/>
  <c r="E184" i="2"/>
  <c r="E183" i="2"/>
  <c r="E182" i="2"/>
  <c r="E181" i="2"/>
  <c r="E180" i="2"/>
  <c r="E179" i="2"/>
  <c r="E178" i="2"/>
  <c r="E177" i="2"/>
  <c r="E176" i="2"/>
  <c r="E175" i="2"/>
  <c r="E174" i="2"/>
  <c r="E173" i="2"/>
  <c r="E172" i="2"/>
  <c r="E171" i="2"/>
  <c r="E170" i="2"/>
  <c r="E169" i="2"/>
  <c r="E168" i="2"/>
  <c r="E167" i="2"/>
  <c r="E166" i="2"/>
  <c r="E165" i="2"/>
  <c r="E164" i="2"/>
  <c r="E163" i="2"/>
  <c r="E162" i="2"/>
  <c r="E161" i="2"/>
  <c r="E160" i="2"/>
  <c r="E159" i="2"/>
  <c r="E158" i="2"/>
  <c r="E157" i="2"/>
  <c r="E156" i="2"/>
  <c r="E155" i="2"/>
  <c r="E154" i="2"/>
  <c r="E153" i="2"/>
  <c r="E152" i="2"/>
  <c r="E151" i="2"/>
  <c r="E150" i="2"/>
  <c r="E149" i="2"/>
  <c r="E148" i="2"/>
  <c r="E147" i="2"/>
  <c r="E146" i="2"/>
  <c r="E145" i="2"/>
  <c r="E144" i="2"/>
  <c r="E143" i="2"/>
  <c r="E142" i="2"/>
  <c r="E141" i="2"/>
  <c r="E140" i="2"/>
  <c r="E139" i="2"/>
  <c r="E138" i="2"/>
  <c r="E137" i="2"/>
  <c r="E136" i="2"/>
  <c r="E135" i="2"/>
  <c r="E134" i="2"/>
  <c r="E133" i="2"/>
  <c r="E132" i="2"/>
  <c r="E131" i="2"/>
  <c r="E130" i="2"/>
  <c r="E129" i="2"/>
  <c r="E128" i="2"/>
  <c r="E127" i="2"/>
  <c r="E126" i="2"/>
  <c r="E125" i="2"/>
  <c r="E124" i="2"/>
  <c r="E123" i="2"/>
  <c r="E122" i="2"/>
  <c r="E121" i="2"/>
  <c r="E120" i="2"/>
  <c r="E119" i="2"/>
  <c r="E118" i="2"/>
  <c r="E117" i="2"/>
  <c r="E116" i="2"/>
  <c r="E115" i="2"/>
  <c r="E114" i="2"/>
  <c r="E113" i="2"/>
  <c r="E112" i="2"/>
  <c r="E111" i="2"/>
  <c r="E110" i="2"/>
  <c r="E109" i="2"/>
  <c r="E108" i="2"/>
  <c r="E107" i="2"/>
  <c r="E106" i="2"/>
  <c r="E105" i="2"/>
  <c r="E104" i="2"/>
  <c r="E103" i="2"/>
  <c r="E102" i="2"/>
  <c r="E101" i="2"/>
  <c r="E100" i="2"/>
  <c r="E99" i="2"/>
  <c r="E98" i="2"/>
  <c r="E97" i="2"/>
  <c r="E96" i="2"/>
  <c r="E95" i="2"/>
  <c r="E94" i="2"/>
  <c r="E93" i="2"/>
  <c r="E92" i="2"/>
  <c r="E91" i="2"/>
  <c r="E90" i="2"/>
  <c r="E89" i="2"/>
  <c r="E88" i="2"/>
  <c r="E87" i="2"/>
  <c r="E86" i="2"/>
  <c r="E85" i="2"/>
  <c r="E84" i="2"/>
  <c r="E83" i="2"/>
  <c r="E82" i="2"/>
  <c r="E81" i="2"/>
  <c r="E80" i="2"/>
  <c r="E79" i="2"/>
  <c r="E78" i="2"/>
  <c r="E77" i="2"/>
  <c r="E76" i="2"/>
  <c r="E75" i="2"/>
  <c r="E74" i="2"/>
  <c r="E73" i="2"/>
  <c r="E72" i="2"/>
  <c r="E71" i="2"/>
  <c r="E70" i="2"/>
  <c r="E69" i="2"/>
  <c r="E68" i="2"/>
  <c r="E67" i="2"/>
  <c r="E66" i="2"/>
  <c r="E65" i="2"/>
  <c r="E64" i="2"/>
  <c r="E63" i="2"/>
  <c r="E62" i="2"/>
  <c r="E61" i="2"/>
  <c r="E60" i="2"/>
  <c r="E59" i="2"/>
  <c r="E58" i="2"/>
  <c r="E57" i="2"/>
  <c r="E56" i="2"/>
  <c r="E55" i="2"/>
  <c r="E54" i="2"/>
  <c r="E53" i="2"/>
  <c r="E52" i="2"/>
  <c r="E51" i="2"/>
  <c r="E50" i="2"/>
  <c r="E49" i="2"/>
  <c r="E48" i="2"/>
  <c r="E47" i="2"/>
  <c r="E46" i="2"/>
  <c r="E45" i="2"/>
  <c r="E44" i="2"/>
  <c r="E43" i="2"/>
  <c r="E42" i="2"/>
  <c r="E41" i="2"/>
  <c r="E40" i="2"/>
  <c r="E39" i="2"/>
  <c r="E38" i="2"/>
  <c r="E37" i="2"/>
  <c r="E36" i="2"/>
  <c r="E35" i="2"/>
  <c r="E34" i="2"/>
  <c r="E33" i="2"/>
  <c r="E32" i="2"/>
  <c r="E31" i="2"/>
  <c r="E30" i="2"/>
  <c r="E29" i="2"/>
  <c r="E28" i="2"/>
  <c r="E27" i="2"/>
  <c r="E26" i="2"/>
  <c r="E25" i="2"/>
  <c r="E24" i="2"/>
  <c r="E23" i="2"/>
  <c r="E22" i="2"/>
  <c r="E21" i="2"/>
  <c r="E20" i="2"/>
  <c r="E19" i="2"/>
  <c r="E18" i="2"/>
  <c r="E17" i="2"/>
  <c r="E16" i="2"/>
  <c r="E15" i="2"/>
  <c r="E14" i="2"/>
  <c r="E13" i="2"/>
  <c r="E12" i="2"/>
  <c r="E11" i="2"/>
  <c r="E10" i="2"/>
  <c r="E9" i="2"/>
  <c r="E8" i="2"/>
  <c r="E7" i="2"/>
  <c r="E6" i="2"/>
  <c r="E5" i="2"/>
  <c r="E4" i="2"/>
  <c r="E3" i="2"/>
  <c r="E2" i="2"/>
  <c r="G354" i="1"/>
  <c r="F354" i="1"/>
  <c r="G353" i="1"/>
  <c r="F353" i="1"/>
  <c r="G352" i="1"/>
  <c r="F352" i="1"/>
  <c r="G351" i="1"/>
  <c r="F351" i="1"/>
  <c r="G350" i="1"/>
  <c r="F350" i="1"/>
  <c r="G349" i="1"/>
  <c r="F349" i="1"/>
  <c r="G348" i="1"/>
  <c r="F348" i="1"/>
  <c r="G347" i="1"/>
  <c r="F347" i="1"/>
  <c r="G346" i="1"/>
  <c r="F346" i="1"/>
  <c r="G345" i="1"/>
  <c r="F345" i="1"/>
  <c r="G344" i="1"/>
  <c r="F344" i="1"/>
  <c r="G343" i="1"/>
  <c r="F343" i="1"/>
  <c r="G342" i="1"/>
  <c r="F342" i="1"/>
  <c r="G341" i="1"/>
  <c r="F341" i="1"/>
  <c r="G340" i="1"/>
  <c r="F340" i="1"/>
  <c r="G339" i="1"/>
  <c r="F339" i="1"/>
  <c r="G338" i="1"/>
  <c r="F338" i="1"/>
  <c r="G337" i="1"/>
  <c r="F337" i="1"/>
  <c r="G336" i="1"/>
  <c r="F336" i="1"/>
  <c r="G335" i="1"/>
  <c r="F335" i="1"/>
  <c r="G334" i="1"/>
  <c r="F334" i="1"/>
  <c r="G333" i="1"/>
  <c r="F333" i="1"/>
  <c r="G332" i="1"/>
  <c r="F332" i="1"/>
  <c r="G331" i="1"/>
  <c r="F331" i="1"/>
  <c r="G330" i="1"/>
  <c r="F330" i="1"/>
  <c r="G329" i="1"/>
  <c r="F329" i="1"/>
  <c r="G328" i="1"/>
  <c r="F328" i="1"/>
  <c r="G327" i="1"/>
  <c r="F327" i="1"/>
  <c r="G326" i="1"/>
  <c r="F326" i="1"/>
  <c r="G325" i="1"/>
  <c r="F325" i="1"/>
  <c r="G324" i="1"/>
  <c r="F324" i="1"/>
  <c r="G323" i="1"/>
  <c r="F323" i="1"/>
  <c r="G322" i="1"/>
  <c r="F322" i="1"/>
  <c r="G321" i="1"/>
  <c r="F321" i="1"/>
  <c r="G320" i="1"/>
  <c r="F320" i="1"/>
  <c r="G319" i="1"/>
  <c r="F319" i="1"/>
  <c r="G318" i="1"/>
  <c r="F318" i="1"/>
  <c r="G317" i="1"/>
  <c r="F317" i="1"/>
  <c r="G316" i="1"/>
  <c r="F316" i="1"/>
  <c r="G315" i="1"/>
  <c r="F315" i="1"/>
  <c r="G314" i="1"/>
  <c r="F314" i="1"/>
  <c r="G313" i="1"/>
  <c r="F313" i="1"/>
  <c r="G312" i="1"/>
  <c r="F312" i="1"/>
  <c r="G311" i="1"/>
  <c r="F311" i="1"/>
  <c r="G310" i="1"/>
  <c r="F310" i="1"/>
  <c r="G309" i="1"/>
  <c r="F309" i="1"/>
  <c r="G308" i="1"/>
  <c r="F308" i="1"/>
  <c r="G307" i="1"/>
  <c r="F307" i="1"/>
  <c r="G306" i="1"/>
  <c r="F306" i="1"/>
  <c r="G305" i="1"/>
  <c r="F305" i="1"/>
  <c r="G304" i="1"/>
  <c r="F304" i="1"/>
  <c r="G303" i="1"/>
  <c r="F303" i="1"/>
  <c r="G302" i="1"/>
  <c r="F302" i="1"/>
  <c r="G301" i="1"/>
  <c r="F301" i="1"/>
  <c r="G300" i="1"/>
  <c r="F300" i="1"/>
  <c r="G299" i="1"/>
  <c r="F299" i="1"/>
  <c r="G298" i="1"/>
  <c r="F298" i="1"/>
  <c r="G297" i="1"/>
  <c r="F297" i="1"/>
  <c r="G296" i="1"/>
  <c r="F296" i="1"/>
  <c r="G295" i="1"/>
  <c r="F295" i="1"/>
  <c r="G294" i="1"/>
  <c r="F294" i="1"/>
  <c r="G293" i="1"/>
  <c r="F293" i="1"/>
  <c r="G292" i="1"/>
  <c r="F292" i="1"/>
  <c r="G291" i="1"/>
  <c r="F291" i="1"/>
  <c r="G290" i="1"/>
  <c r="F290" i="1"/>
  <c r="G289" i="1"/>
  <c r="F289" i="1"/>
  <c r="G288" i="1"/>
  <c r="F288" i="1"/>
  <c r="G287" i="1"/>
  <c r="F287" i="1"/>
  <c r="G286" i="1"/>
  <c r="F286" i="1"/>
  <c r="G285" i="1"/>
  <c r="F285" i="1"/>
  <c r="G284" i="1"/>
  <c r="F284" i="1"/>
  <c r="G283" i="1"/>
  <c r="F283" i="1"/>
  <c r="G282" i="1"/>
  <c r="F282" i="1"/>
  <c r="G281" i="1"/>
  <c r="F281" i="1"/>
  <c r="G280" i="1"/>
  <c r="F280" i="1"/>
  <c r="G279" i="1"/>
  <c r="F279" i="1"/>
  <c r="G278" i="1"/>
  <c r="F278" i="1"/>
  <c r="G277" i="1"/>
  <c r="F277" i="1"/>
  <c r="G276" i="1"/>
  <c r="F276" i="1"/>
  <c r="G275" i="1"/>
  <c r="F275" i="1"/>
  <c r="G274" i="1"/>
  <c r="F274" i="1"/>
  <c r="G273" i="1"/>
  <c r="F273" i="1"/>
  <c r="G272" i="1"/>
  <c r="F272" i="1"/>
  <c r="G271" i="1"/>
  <c r="F271" i="1"/>
  <c r="G270" i="1"/>
  <c r="F270" i="1"/>
  <c r="G269" i="1"/>
  <c r="F269" i="1"/>
  <c r="G268" i="1"/>
  <c r="F268" i="1"/>
  <c r="G267" i="1"/>
  <c r="F267" i="1"/>
  <c r="G266" i="1"/>
  <c r="F266" i="1"/>
  <c r="G265" i="1"/>
  <c r="F265" i="1"/>
  <c r="G264" i="1"/>
  <c r="F264" i="1"/>
  <c r="G263" i="1"/>
  <c r="F263" i="1"/>
  <c r="G262" i="1"/>
  <c r="F262" i="1"/>
  <c r="G261" i="1"/>
  <c r="F261" i="1"/>
  <c r="G260" i="1"/>
  <c r="F260" i="1"/>
  <c r="G259" i="1"/>
  <c r="F259" i="1"/>
  <c r="G258" i="1"/>
  <c r="F258" i="1"/>
  <c r="G257" i="1"/>
  <c r="F257" i="1"/>
  <c r="G256" i="1"/>
  <c r="F256" i="1"/>
  <c r="G255" i="1"/>
  <c r="F255" i="1"/>
  <c r="G254" i="1"/>
  <c r="F254" i="1"/>
  <c r="G253" i="1"/>
  <c r="F253" i="1"/>
  <c r="G252" i="1"/>
  <c r="F252" i="1"/>
  <c r="G251" i="1"/>
  <c r="F251" i="1"/>
  <c r="G250" i="1"/>
  <c r="F250" i="1"/>
  <c r="G249" i="1"/>
  <c r="F249" i="1"/>
  <c r="G248" i="1"/>
  <c r="F248" i="1"/>
  <c r="G247" i="1"/>
  <c r="F247" i="1"/>
  <c r="G246" i="1"/>
  <c r="F246" i="1"/>
  <c r="G245" i="1"/>
  <c r="F245" i="1"/>
  <c r="G244" i="1"/>
  <c r="F244" i="1"/>
  <c r="G243" i="1"/>
  <c r="F243" i="1"/>
  <c r="G242" i="1"/>
  <c r="F242" i="1"/>
  <c r="G241" i="1"/>
  <c r="F241" i="1"/>
  <c r="G240" i="1"/>
  <c r="F240" i="1"/>
  <c r="G239" i="1"/>
  <c r="F239" i="1"/>
  <c r="G238" i="1"/>
  <c r="F238" i="1"/>
  <c r="G237" i="1"/>
  <c r="F237" i="1"/>
  <c r="G236" i="1"/>
  <c r="F236" i="1"/>
  <c r="G235" i="1"/>
  <c r="F235" i="1"/>
  <c r="G234" i="1"/>
  <c r="F234" i="1"/>
  <c r="G233" i="1"/>
  <c r="F233" i="1"/>
  <c r="G232" i="1"/>
  <c r="F232" i="1"/>
  <c r="G231" i="1"/>
  <c r="F231" i="1"/>
  <c r="G230" i="1"/>
  <c r="F230" i="1"/>
  <c r="G229" i="1"/>
  <c r="F229" i="1"/>
  <c r="G228" i="1"/>
  <c r="F228" i="1"/>
  <c r="G227" i="1"/>
  <c r="F227" i="1"/>
  <c r="G226" i="1"/>
  <c r="F226" i="1"/>
  <c r="G225" i="1"/>
  <c r="F225" i="1"/>
  <c r="G224" i="1"/>
  <c r="F224" i="1"/>
  <c r="G223" i="1"/>
  <c r="F223" i="1"/>
  <c r="G222" i="1"/>
  <c r="F222" i="1"/>
  <c r="G221" i="1"/>
  <c r="F221" i="1"/>
  <c r="G220" i="1"/>
  <c r="F220" i="1"/>
  <c r="G219" i="1"/>
  <c r="F219" i="1"/>
  <c r="G218" i="1"/>
  <c r="F218" i="1"/>
  <c r="G217" i="1"/>
  <c r="F217" i="1"/>
  <c r="G216" i="1"/>
  <c r="F216" i="1"/>
  <c r="G215" i="1"/>
  <c r="F215" i="1"/>
  <c r="G214" i="1"/>
  <c r="F214" i="1"/>
  <c r="G213" i="1"/>
  <c r="F213" i="1"/>
  <c r="G212" i="1"/>
  <c r="F212" i="1"/>
  <c r="G211" i="1"/>
  <c r="F211" i="1"/>
  <c r="G210" i="1"/>
  <c r="F210" i="1"/>
  <c r="G209" i="1"/>
  <c r="F209" i="1"/>
  <c r="G208" i="1"/>
  <c r="F208" i="1"/>
  <c r="G207" i="1"/>
  <c r="F207" i="1"/>
  <c r="G206" i="1"/>
  <c r="F206" i="1"/>
  <c r="G205" i="1"/>
  <c r="F205" i="1"/>
  <c r="G204" i="1"/>
  <c r="F204" i="1"/>
  <c r="G203" i="1"/>
  <c r="F203" i="1"/>
  <c r="G202" i="1"/>
  <c r="F202" i="1"/>
  <c r="G201" i="1"/>
  <c r="F201" i="1"/>
  <c r="G200" i="1"/>
  <c r="F200" i="1"/>
  <c r="G199" i="1"/>
  <c r="F199" i="1"/>
  <c r="G198" i="1"/>
  <c r="F198" i="1"/>
  <c r="G197" i="1"/>
  <c r="F197" i="1"/>
  <c r="G196" i="1"/>
  <c r="F196" i="1"/>
  <c r="G195" i="1"/>
  <c r="F195" i="1"/>
  <c r="G194" i="1"/>
  <c r="F194" i="1"/>
  <c r="G193" i="1"/>
  <c r="F193" i="1"/>
  <c r="G192" i="1"/>
  <c r="F192" i="1"/>
  <c r="G191" i="1"/>
  <c r="F191" i="1"/>
  <c r="G190" i="1"/>
  <c r="F190" i="1"/>
  <c r="G189" i="1"/>
  <c r="F189" i="1"/>
  <c r="G188" i="1"/>
  <c r="F188" i="1"/>
  <c r="G187" i="1"/>
  <c r="F187" i="1"/>
  <c r="G186" i="1"/>
  <c r="F186" i="1"/>
  <c r="G185" i="1"/>
  <c r="F185" i="1"/>
  <c r="G184" i="1"/>
  <c r="F184" i="1"/>
  <c r="G183" i="1"/>
  <c r="F183" i="1"/>
  <c r="G182" i="1"/>
  <c r="F182" i="1"/>
  <c r="G181" i="1"/>
  <c r="F181" i="1"/>
  <c r="G180" i="1"/>
  <c r="F180" i="1"/>
  <c r="G179" i="1"/>
  <c r="F179" i="1"/>
  <c r="G178" i="1"/>
  <c r="F178" i="1"/>
  <c r="G177" i="1"/>
  <c r="F177" i="1"/>
  <c r="G176" i="1"/>
  <c r="F176" i="1"/>
  <c r="G175" i="1"/>
  <c r="F175" i="1"/>
  <c r="G174" i="1"/>
  <c r="F174" i="1"/>
  <c r="G173" i="1"/>
  <c r="F173" i="1"/>
  <c r="G172" i="1"/>
  <c r="F172" i="1"/>
  <c r="G171" i="1"/>
  <c r="F171" i="1"/>
  <c r="G170" i="1"/>
  <c r="F170" i="1"/>
  <c r="G169" i="1"/>
  <c r="F169" i="1"/>
  <c r="G168" i="1"/>
  <c r="F168" i="1"/>
  <c r="G167" i="1"/>
  <c r="F167" i="1"/>
  <c r="G166" i="1"/>
  <c r="F166" i="1"/>
  <c r="G165" i="1"/>
  <c r="F165" i="1"/>
  <c r="G164" i="1"/>
  <c r="F164" i="1"/>
  <c r="G163" i="1"/>
  <c r="F163" i="1"/>
  <c r="G162" i="1"/>
  <c r="F162" i="1"/>
  <c r="G161" i="1"/>
  <c r="F161" i="1"/>
  <c r="G160" i="1"/>
  <c r="F160" i="1"/>
  <c r="G159" i="1"/>
  <c r="F159" i="1"/>
  <c r="G158" i="1"/>
  <c r="F158" i="1"/>
  <c r="G157" i="1"/>
  <c r="F157" i="1"/>
  <c r="G156" i="1"/>
  <c r="F156" i="1"/>
  <c r="G155" i="1"/>
  <c r="F155" i="1"/>
  <c r="G154" i="1"/>
  <c r="F154" i="1"/>
  <c r="G153" i="1"/>
  <c r="F153" i="1"/>
  <c r="G152" i="1"/>
  <c r="F152" i="1"/>
  <c r="G151" i="1"/>
  <c r="F151" i="1"/>
  <c r="G150" i="1"/>
  <c r="F150" i="1"/>
  <c r="G149" i="1"/>
  <c r="F149" i="1"/>
  <c r="G148" i="1"/>
  <c r="F148" i="1"/>
  <c r="G147" i="1"/>
  <c r="F147" i="1"/>
  <c r="G146" i="1"/>
  <c r="F146" i="1"/>
  <c r="G145" i="1"/>
  <c r="F145" i="1"/>
  <c r="G144" i="1"/>
  <c r="F144" i="1"/>
  <c r="G143" i="1"/>
  <c r="F143" i="1"/>
  <c r="G142" i="1"/>
  <c r="F142" i="1"/>
  <c r="G141" i="1"/>
  <c r="F141" i="1"/>
  <c r="G140" i="1"/>
  <c r="F140" i="1"/>
  <c r="G139" i="1"/>
  <c r="F139" i="1"/>
  <c r="G138" i="1"/>
  <c r="F138" i="1"/>
  <c r="G137" i="1"/>
  <c r="F137" i="1"/>
  <c r="G136" i="1"/>
  <c r="F136" i="1"/>
  <c r="G135" i="1"/>
  <c r="F135" i="1"/>
  <c r="G134" i="1"/>
  <c r="F134" i="1"/>
  <c r="G133" i="1"/>
  <c r="F133" i="1"/>
  <c r="G132" i="1"/>
  <c r="F132" i="1"/>
  <c r="G131" i="1"/>
  <c r="F131" i="1"/>
  <c r="G130" i="1"/>
  <c r="F130" i="1"/>
  <c r="G129" i="1"/>
  <c r="F129" i="1"/>
  <c r="G128" i="1"/>
  <c r="F128" i="1"/>
  <c r="G127" i="1"/>
  <c r="F127" i="1"/>
  <c r="G126" i="1"/>
  <c r="F126" i="1"/>
  <c r="G125" i="1"/>
  <c r="F125" i="1"/>
  <c r="G124" i="1"/>
  <c r="F124" i="1"/>
  <c r="G123" i="1"/>
  <c r="F123" i="1"/>
  <c r="G122" i="1"/>
  <c r="F122" i="1"/>
  <c r="G121" i="1"/>
  <c r="F121" i="1"/>
  <c r="G120" i="1"/>
  <c r="F120" i="1"/>
  <c r="G119" i="1"/>
  <c r="F119" i="1"/>
  <c r="G118" i="1"/>
  <c r="F118" i="1"/>
  <c r="G117" i="1"/>
  <c r="F117" i="1"/>
  <c r="G116" i="1"/>
  <c r="F116" i="1"/>
  <c r="G115" i="1"/>
  <c r="F115" i="1"/>
  <c r="G114" i="1"/>
  <c r="F114" i="1"/>
  <c r="G113" i="1"/>
  <c r="F113" i="1"/>
  <c r="G112" i="1"/>
  <c r="F112" i="1"/>
  <c r="G111" i="1"/>
  <c r="F111" i="1"/>
  <c r="G110" i="1"/>
  <c r="F110" i="1"/>
  <c r="G109" i="1"/>
  <c r="F109" i="1"/>
  <c r="G108" i="1"/>
  <c r="F108" i="1"/>
  <c r="G107" i="1"/>
  <c r="F107" i="1"/>
  <c r="G106" i="1"/>
  <c r="F106" i="1"/>
  <c r="G105" i="1"/>
  <c r="F105" i="1"/>
  <c r="G104" i="1"/>
  <c r="F104" i="1"/>
  <c r="G103" i="1"/>
  <c r="F103" i="1"/>
  <c r="G102" i="1"/>
  <c r="F102" i="1"/>
  <c r="G101" i="1"/>
  <c r="F101" i="1"/>
  <c r="G100" i="1"/>
  <c r="F100" i="1"/>
  <c r="G99" i="1"/>
  <c r="F99" i="1"/>
  <c r="G98" i="1"/>
  <c r="F98" i="1"/>
  <c r="G97" i="1"/>
  <c r="F97" i="1"/>
  <c r="G96" i="1"/>
  <c r="F96" i="1"/>
  <c r="G95" i="1"/>
  <c r="F95" i="1"/>
  <c r="G94" i="1"/>
  <c r="F94" i="1"/>
  <c r="G93" i="1"/>
  <c r="F93" i="1"/>
  <c r="G92" i="1"/>
  <c r="F92" i="1"/>
  <c r="G91" i="1"/>
  <c r="F91" i="1"/>
  <c r="G90" i="1"/>
  <c r="F90" i="1"/>
  <c r="G89" i="1"/>
  <c r="F89" i="1"/>
  <c r="G88" i="1"/>
  <c r="F88" i="1"/>
  <c r="G87" i="1"/>
  <c r="F87" i="1"/>
  <c r="G86" i="1"/>
  <c r="F86" i="1"/>
  <c r="G85" i="1"/>
  <c r="F85" i="1"/>
  <c r="G84" i="1"/>
  <c r="F84" i="1"/>
  <c r="G83" i="1"/>
  <c r="F83" i="1"/>
  <c r="G82" i="1"/>
  <c r="F82" i="1"/>
  <c r="G81" i="1"/>
  <c r="F81" i="1"/>
  <c r="G80" i="1"/>
  <c r="F80" i="1"/>
  <c r="G79" i="1"/>
  <c r="F79" i="1"/>
  <c r="G78" i="1"/>
  <c r="F78" i="1"/>
  <c r="G77" i="1"/>
  <c r="F77" i="1"/>
  <c r="G76" i="1"/>
  <c r="F76" i="1"/>
  <c r="G75" i="1"/>
  <c r="F75" i="1"/>
  <c r="G74" i="1"/>
  <c r="F74" i="1"/>
  <c r="G73" i="1"/>
  <c r="F73" i="1"/>
  <c r="G72" i="1"/>
  <c r="F72" i="1"/>
  <c r="G71" i="1"/>
  <c r="F71" i="1"/>
  <c r="G70" i="1"/>
  <c r="F70" i="1"/>
  <c r="G69" i="1"/>
  <c r="F69" i="1"/>
  <c r="G68" i="1"/>
  <c r="F68" i="1"/>
  <c r="G67" i="1"/>
  <c r="F67" i="1"/>
  <c r="G66" i="1"/>
  <c r="F66" i="1"/>
  <c r="G65" i="1"/>
  <c r="F65" i="1"/>
  <c r="G64" i="1"/>
  <c r="F64" i="1"/>
  <c r="G63" i="1"/>
  <c r="F63" i="1"/>
  <c r="G62" i="1"/>
  <c r="F62" i="1"/>
  <c r="G61" i="1"/>
  <c r="F61" i="1"/>
  <c r="G60" i="1"/>
  <c r="F60" i="1"/>
  <c r="G59" i="1"/>
  <c r="F59" i="1"/>
  <c r="G58" i="1"/>
  <c r="F58" i="1"/>
  <c r="G57" i="1"/>
  <c r="F57" i="1"/>
  <c r="G56" i="1"/>
  <c r="F56" i="1"/>
  <c r="G55" i="1"/>
  <c r="F55" i="1"/>
  <c r="G54" i="1"/>
  <c r="F54" i="1"/>
  <c r="G53" i="1"/>
  <c r="F53" i="1"/>
  <c r="G52" i="1"/>
  <c r="F52" i="1"/>
  <c r="G51" i="1"/>
  <c r="F51" i="1"/>
  <c r="G50" i="1"/>
  <c r="F50" i="1"/>
  <c r="G49" i="1"/>
  <c r="F49" i="1"/>
  <c r="G48" i="1"/>
  <c r="F48" i="1"/>
  <c r="G47" i="1"/>
  <c r="F47" i="1"/>
  <c r="G46" i="1"/>
  <c r="F46" i="1"/>
  <c r="G45" i="1"/>
  <c r="F45" i="1"/>
  <c r="G44" i="1"/>
  <c r="F44" i="1"/>
  <c r="G43" i="1"/>
  <c r="F43" i="1"/>
  <c r="G42" i="1"/>
  <c r="F42" i="1"/>
  <c r="G41" i="1"/>
  <c r="F41" i="1"/>
  <c r="G40" i="1"/>
  <c r="F40" i="1"/>
  <c r="G39" i="1"/>
  <c r="F39" i="1"/>
  <c r="G38" i="1"/>
  <c r="F38" i="1"/>
  <c r="G37" i="1"/>
  <c r="F37" i="1"/>
  <c r="G36" i="1"/>
  <c r="F36" i="1"/>
  <c r="G35" i="1"/>
  <c r="F35" i="1"/>
  <c r="G34" i="1"/>
  <c r="F34" i="1"/>
  <c r="G33" i="1"/>
  <c r="F33" i="1"/>
  <c r="G32" i="1"/>
  <c r="F32" i="1"/>
  <c r="G31" i="1"/>
  <c r="F31" i="1"/>
  <c r="G30" i="1"/>
  <c r="F30" i="1"/>
  <c r="G29" i="1"/>
  <c r="F29" i="1"/>
  <c r="G28" i="1"/>
  <c r="F28" i="1"/>
  <c r="G27" i="1"/>
  <c r="F27" i="1"/>
  <c r="G26" i="1"/>
  <c r="F26" i="1"/>
  <c r="G25" i="1"/>
  <c r="F25" i="1"/>
  <c r="G24" i="1"/>
  <c r="F24" i="1"/>
  <c r="G23" i="1"/>
  <c r="F23" i="1"/>
  <c r="G22" i="1"/>
  <c r="F22" i="1"/>
  <c r="G21" i="1"/>
  <c r="F21" i="1"/>
  <c r="G20" i="1"/>
  <c r="F20" i="1"/>
  <c r="G19" i="1"/>
  <c r="F19" i="1"/>
  <c r="G18" i="1"/>
  <c r="F18" i="1"/>
  <c r="G17" i="1"/>
  <c r="F17" i="1"/>
  <c r="G16" i="1"/>
  <c r="F16" i="1"/>
  <c r="G15" i="1"/>
  <c r="F15" i="1"/>
  <c r="G14" i="1"/>
  <c r="F14" i="1"/>
  <c r="G13" i="1"/>
  <c r="F13" i="1"/>
  <c r="G12" i="1"/>
  <c r="F12" i="1"/>
  <c r="G11" i="1"/>
  <c r="F11" i="1"/>
  <c r="G10" i="1"/>
  <c r="F10" i="1"/>
  <c r="G9" i="1"/>
  <c r="F9" i="1"/>
  <c r="G8" i="1"/>
  <c r="F8" i="1"/>
  <c r="G7" i="1"/>
  <c r="F7" i="1"/>
  <c r="G6" i="1"/>
  <c r="F6" i="1"/>
  <c r="G5" i="1"/>
  <c r="F5" i="1"/>
  <c r="G4" i="1"/>
  <c r="F4" i="1"/>
  <c r="G3" i="1"/>
  <c r="F3" i="1"/>
  <c r="G2" i="1"/>
  <c r="F2" i="1"/>
</calcChain>
</file>

<file path=xl/sharedStrings.xml><?xml version="1.0" encoding="utf-8"?>
<sst xmlns="http://schemas.openxmlformats.org/spreadsheetml/2006/main" count="41184" uniqueCount="10552">
  <si>
    <t>Paper_ID</t>
  </si>
  <si>
    <t>Title</t>
  </si>
  <si>
    <t>Year</t>
  </si>
  <si>
    <t>Venue</t>
  </si>
  <si>
    <t>DOI</t>
  </si>
  <si>
    <t>DOI_Link</t>
  </si>
  <si>
    <t>PDF_Path</t>
  </si>
  <si>
    <t>Extraction_Confidence</t>
  </si>
  <si>
    <t>Needs_Human_Review</t>
  </si>
  <si>
    <t>Filename</t>
  </si>
  <si>
    <t>Hosmer_2018</t>
  </si>
  <si>
    <t>Defending IoT Infrastructures with the Raspberry Pi: Monitoring and Detecting Nefarious Behavior in Real Time</t>
  </si>
  <si>
    <t>2018</t>
  </si>
  <si>
    <t>Apress</t>
  </si>
  <si>
    <t>10.1007/978-1-4842-3700-7</t>
  </si>
  <si>
    <t>High</t>
  </si>
  <si>
    <t>2018_10_1007_978_1_4842_3700_7_defending_iot_infrastructures_with_the_raspberry_pi_monitoring_and_detecting_ne.pdf</t>
  </si>
  <si>
    <t>Sen_2025_ECCE</t>
  </si>
  <si>
    <t>Intrusion Detection System on IoT Devices via Federated Learning</t>
  </si>
  <si>
    <t>2025</t>
  </si>
  <si>
    <t>2025 International Conference on Electrical, Computer and Communication Engineering (ECCE)</t>
  </si>
  <si>
    <t>10.1109/ECCE64574.2025.11013816</t>
  </si>
  <si>
    <t>2025_10.1109_ecce64574.2025.11013816_Intrusion_Detection_System_on_IoT_Devices_via_Federated_Learning.pdf</t>
  </si>
  <si>
    <t>ICICT2023-Siddhartha</t>
  </si>
  <si>
    <t>Enhancing Home Security: user Authentication Techniques for Home Automation</t>
  </si>
  <si>
    <t>2023</t>
  </si>
  <si>
    <t>International Conference on Inventive Computation Technologies (ICICT 2023)</t>
  </si>
  <si>
    <t>10.1109/ICICT57646.2023.10133997</t>
  </si>
  <si>
    <t>2023_10.1109_icict57646.2023.10133997_Enhancing_Home_Security__user_Authentication_Techniques_for_Home_Automation.pdf</t>
  </si>
  <si>
    <t>sensors-23-8407</t>
  </si>
  <si>
    <t>A Lightweight Unsupervised Intrusion Detection Model Based on Variational Auto-Encoder</t>
  </si>
  <si>
    <t>Sensors 2023, 23, 8407</t>
  </si>
  <si>
    <t>10.3390/s23208407</t>
  </si>
  <si>
    <t>2023_10_3390_s23208407_a_lightweight_unsupervised_intrusion_detection_model_based_on_variational_auto_encoder.pdf</t>
  </si>
  <si>
    <t>Mansour et al. (2021)</t>
  </si>
  <si>
    <t>An Optimal Big Data Analytics with Concept Drift Detection on High-Dimensional Streaming Data</t>
  </si>
  <si>
    <t>2021</t>
  </si>
  <si>
    <t>Computers, Materials &amp; Continua</t>
  </si>
  <si>
    <t>10.32604/cmc.2021.016626</t>
  </si>
  <si>
    <t>2021_10.32604_cmc.2021.016626_An_optimal_big_data_analytics_with_concept_drift_detection_on_high-dimensional_streaming_data.pdf</t>
  </si>
  <si>
    <t>Chapter 11</t>
  </si>
  <si>
    <t>Security and Privacy Issues in RIS-Based Wireless Communication Systems</t>
  </si>
  <si>
    <t>Reconfigurable Intelligent Surfaces for 6G and Beyond Wireless Networks</t>
  </si>
  <si>
    <t>10.1002/9781394250141.ch11</t>
  </si>
  <si>
    <t>Low</t>
  </si>
  <si>
    <t>2025_10.1002_9781394250141.ch11_Security_and_privacy_issues_in_RIS-based_wireless_communication_systems.pdf</t>
  </si>
  <si>
    <t>Xu_2026</t>
  </si>
  <si>
    <t>Robust and Privacy-Aware Network Flow Watermarking for Digital Twin Communications in 5G/6G Edge Environments</t>
  </si>
  <si>
    <t>2026</t>
  </si>
  <si>
    <t>IEEE Communications Standards Magazine</t>
  </si>
  <si>
    <t>10.1109/MCOMSTD.2026.3653959</t>
  </si>
  <si>
    <t>2026_10.1109_mcomstd.2026.3653959_Robust_and_Privacy-Aware_Network_Flow_Watermarking_for_Digital_Twin_Communications_in_5G_6G_Edge_Environments.pdf</t>
  </si>
  <si>
    <t>DroidPortrait_2020</t>
  </si>
  <si>
    <t>DroidPortrait: Android Malware Portrait Construction Based on Multidimensional Behavior Analysis</t>
  </si>
  <si>
    <t>2020</t>
  </si>
  <si>
    <t>Applied Sciences</t>
  </si>
  <si>
    <t>10.3390/app10113978</t>
  </si>
  <si>
    <t>2020_10_3390_app10113978_droid_portrait_android_malware_portrait_construction_based_on_multidimensional_behavior_a.pdf</t>
  </si>
  <si>
    <t>Gaidarski_2024</t>
  </si>
  <si>
    <t>Management approaches and application areas of information security in organizations</t>
  </si>
  <si>
    <t>2024</t>
  </si>
  <si>
    <t>Environment. Technology. Resources. Proceedings of the 15th International Scientific and Practical Conference</t>
  </si>
  <si>
    <t>10.17770/etr2024vol2.8062</t>
  </si>
  <si>
    <t>2024_10.17770_etr2024vol2.8062_Management_approaches_and_application_areas_of_information_security_in_organizations.pdf</t>
  </si>
  <si>
    <t>Bai et al. (2018)</t>
  </si>
  <si>
    <t>Towards Model Checking Android Applications</t>
  </si>
  <si>
    <t>IEEE Transactions on Software Engineering</t>
  </si>
  <si>
    <t>10.1109/TSE.2017.2697848</t>
  </si>
  <si>
    <t>2018_10.1109_tse.2017.2697848_Towards_Model_Checking_Android_Applications.pdf</t>
  </si>
  <si>
    <t>Otoom et al. (2023)</t>
  </si>
  <si>
    <t>Scheduling algorithms for data-protection based on security-classification constraints to data-dissemination</t>
  </si>
  <si>
    <t>PeerJ Computer Science</t>
  </si>
  <si>
    <t>10.7717/peerj-cs.1543</t>
  </si>
  <si>
    <t>2023_10.7717_peerj-cs.1543_Scheduling_algorithms_for_data-protection_based_on_security-classification_constraints_to_data-dissemination.pdf</t>
  </si>
  <si>
    <t>10.1109/ACCESS.2024.3363640</t>
  </si>
  <si>
    <t>How Can Credit Supervision Mechanism Improve Security Crowdsourcing Ecosystem Governance: An Evolutionary Game Theory Perspective</t>
  </si>
  <si>
    <t>IEEE Access</t>
  </si>
  <si>
    <t>2024_10_1109_access_2024_3363640_how_can_credit_supervision_mechanism_improve_security_crowdsourcing_ecosystem_go.pdf</t>
  </si>
  <si>
    <t>Saveleva_2025_Photogrammetry</t>
  </si>
  <si>
    <t>Performance Comparison of Various Software Tools in Photogrammetry-Based Digitization and Visualization of Energy Infrastructure Objects</t>
  </si>
  <si>
    <t>Scientific Visualization</t>
  </si>
  <si>
    <t>10.26583/sv.17.5.11</t>
  </si>
  <si>
    <t>2025_10_26583_sv_17_5_11_performance_comparison_of_various_software_tools_in_photogrammetry_based_digitiz.pdf</t>
  </si>
  <si>
    <t>Lee2025_LightweightFL</t>
  </si>
  <si>
    <t>Lightweight federated learning-based intrusion detection system for industrial internet of things</t>
  </si>
  <si>
    <t>ICT Express</t>
  </si>
  <si>
    <t>10.1016/j.icte.2025.05.002</t>
  </si>
  <si>
    <t>2025_10.1016_j.icte.2025.05.002_Lightweight_federated_learning-based_intrusion_detection_system_for_industrial_internet_of_things.pdf</t>
  </si>
  <si>
    <t>SentinelGuard_2024</t>
  </si>
  <si>
    <t>SentinelGuard: An Integration of Intelligent Text Data Loss Prevention Mechanism for Organizational Security (I-ITDLP)</t>
  </si>
  <si>
    <t>2024 International Conference on Science Technology Engineering and Management (ICSTEM)</t>
  </si>
  <si>
    <t>10.1109/ICSTEM61137.2024.10560825</t>
  </si>
  <si>
    <t>2024_10.1109_icstem61137.2024.10560825_SentinelGuard__An_Integration_of_Intelligent_Text_Data_Loss_Prevention_Mechanism_for_Organizational_Security_(.pdf</t>
  </si>
  <si>
    <t>Wu_2025_ITC</t>
  </si>
  <si>
    <t>QuEST: Quantitative Entropy based Security and Trojan Detection Framework for Confidentiality Verification</t>
  </si>
  <si>
    <t>IEEE International Test Conference (ITC)</t>
  </si>
  <si>
    <t>10.1109/ITC58126.2025.00011</t>
  </si>
  <si>
    <t>2025_10.1109_itc58126.2025.00011_QuEST__Quantitative_Entropy_based_Security_and_Trojan_Detection_Framework_for_Confidentiality_Verification.pdf</t>
  </si>
  <si>
    <t>Yuninda_2022_Telemedicine_Security</t>
  </si>
  <si>
    <t>Patient Data Security in Telemedicine Services from Data Misuse in Health Practice</t>
  </si>
  <si>
    <t>2022</t>
  </si>
  <si>
    <t>2022 IEEE 8th International Conference on Computing, Engineering and Design (ICCED)</t>
  </si>
  <si>
    <t>10.1109/ICCED56140.2022.10010685</t>
  </si>
  <si>
    <t>2022_10.1109_icced56140.2022.10010685_Patient_Data_Security_in_Telemedicine_Services_from_Data_Misuse_in_Health_Practice.pdf</t>
  </si>
  <si>
    <t>Thapliyal_2023_Healthcare_Big_Data</t>
  </si>
  <si>
    <t>Security Threats in Healthcare Big Data: A Comparative Study</t>
  </si>
  <si>
    <t>2023 International Conference on Computational Intelligence and Sustainable Engineering Solutions (CISES)</t>
  </si>
  <si>
    <t>10.1109/CISES58720.2023.10183402</t>
  </si>
  <si>
    <t>2023_10.1109_cises58720.2023.10183402_Security_Threats_in_Healthcare_Big_Data__A_Comparative_Study.pdf</t>
  </si>
  <si>
    <t>Reimann_2021</t>
  </si>
  <si>
    <t>QFlow: Quantitative Information Flow for Security-Aware Hardware Design in Verilog</t>
  </si>
  <si>
    <t>IEEE International Conference on Computer Design (ICCD)</t>
  </si>
  <si>
    <t>arXiv:2109.02379v2</t>
  </si>
  <si>
    <t>2021_10_1109_iccd53106_2021_00097_qflow_quantitative_information_flow_for_security_aware_hardware_design_in_verilog.pdf</t>
  </si>
  <si>
    <t>Desai et al. (2022)</t>
  </si>
  <si>
    <t>Background knowledge attacks in privacy-preserving data publishing models</t>
  </si>
  <si>
    <t>Computers &amp; Security</t>
  </si>
  <si>
    <t>10.1016/j.cose.2022.102874</t>
  </si>
  <si>
    <t>2022_10.1016_j.cose.2022.102874_Background_knowledge_attacks_in_privacy-preserving_data_publishing_models.pdf</t>
  </si>
  <si>
    <t>Vutukuru2025</t>
  </si>
  <si>
    <t>QryptaShield: Quantum-Inspired Feature Selection and RL-Calibrated Federated Learning for Low-False-Positive IoT Intrusion Detection</t>
  </si>
  <si>
    <t>SSRG International Journal of Electronics and Communication Engineering</t>
  </si>
  <si>
    <t>10.14445/23488549/IJECE-V12I10P115</t>
  </si>
  <si>
    <t>2025_10_14445_23488549_ijece_v12i10p115_qryptashield_quantum_inspired_feature_selection_and_rl_calibrated_federated_lea.pdf</t>
  </si>
  <si>
    <t>Gaikwad_2022_BYOD_Blockchain</t>
  </si>
  <si>
    <t>Security Challenges and Cyber Forensics For IoT Driven BYOD Systems</t>
  </si>
  <si>
    <t>2022 IEEE 7th International Conference for Convergence in Technology (I2CT)</t>
  </si>
  <si>
    <t>10.1109/I2CT54291.2022.9824368</t>
  </si>
  <si>
    <t>2022_10.1109_i2ct54291.2022.9824368_Security_Challenges_and_Cyber_Forensics_For_IoT_Driven_BYOD_Systems.pdf</t>
  </si>
  <si>
    <t>Li_2023_uThingNet</t>
  </si>
  <si>
    <t>µThingNet: Leveraging Fine-Grained Power Analysis towards A Robust Zero-Day Defender</t>
  </si>
  <si>
    <t>IEEE 36th International System-on-Chip Conference (SOCC)</t>
  </si>
  <si>
    <t>10.1109/SOCC58585.2023.10256758</t>
  </si>
  <si>
    <t>2023_10.1109_socc58585.2023.10256758_μThingNet__Leveraging_Fine-Grained_Power_Analysis_towards_A_Robust_Zero-Day_Defender.pdf</t>
  </si>
  <si>
    <t>Ali2019_BYOD_Framework</t>
  </si>
  <si>
    <t>BYOD Secured Solution Framework</t>
  </si>
  <si>
    <t>2019</t>
  </si>
  <si>
    <t>International Journal of Engineering and Advanced Technology (IJEAT)</t>
  </si>
  <si>
    <t>10.35940/ijeat.F8202.088619</t>
  </si>
  <si>
    <t>2019_10_35940_ijeat_f8202_088619_byod_secured_solution_framework.pdf</t>
  </si>
  <si>
    <t>Shahapurkar2023</t>
  </si>
  <si>
    <t>Concept drift and machine learning model for detecting fraudulent transactions in streaming environment</t>
  </si>
  <si>
    <t>International Journal of Electrical and Computer Engineering (IJECE)</t>
  </si>
  <si>
    <t>10.11591/ijece.v13i5.pp5560-5568</t>
  </si>
  <si>
    <t>2023_10_11591_ijece_v13i5_pp5560_5568_concept_drift_and_machine_learning_model_for_detecting_fraudulent_transactions_in_streamin.pdf</t>
  </si>
  <si>
    <t>Gaharwar_Android_Data_Leakage_IDS</t>
  </si>
  <si>
    <t>Android data leakage and anomaly based Intrusion detection System</t>
  </si>
  <si>
    <t>IEEE Xplore (Specific conference not explicit in OCR, references cited up to 2019)</t>
  </si>
  <si>
    <t>Not Reported</t>
  </si>
  <si>
    <t>2020_10.1109_idea49133.2020.9170738_Android_data_leakage_and_anomaly_based_Intrusion_detection_System.pdf</t>
  </si>
  <si>
    <t>Han_2025_PPATF</t>
  </si>
  <si>
    <t>PPATF: A Privacy-Preserving Adversarial Training Framework to Enhance the Robustness of Lightweight Intrusion Detection Models</t>
  </si>
  <si>
    <t>10.1109/ACCESS.2025.3635667</t>
  </si>
  <si>
    <t>2025_10.1109_access.2025.3635667_PPATF__A_Privacy-Preserving_Adversarial_Training_Framework_to_Enhance_the_Robustness_of_Lightweight_Intrusion_.pdf</t>
  </si>
  <si>
    <t>Huth2013_GuestEditorial</t>
  </si>
  <si>
    <t>Guest editorial: A brief overview of data leakage and insider threats</t>
  </si>
  <si>
    <t>2013</t>
  </si>
  <si>
    <t>Information Systems Frontiers</t>
  </si>
  <si>
    <t>10.1007/s10796-013-9419-8</t>
  </si>
  <si>
    <t>2013_10_1007_s10796_013_9419_8_guest_editorial_a_brief_overview_of_data_leakage_and_insider_threats.pdf</t>
  </si>
  <si>
    <t>978-1-6654-5082-9/22/$31.00©2022 IEEE</t>
  </si>
  <si>
    <t>Model to Identify the Profile of Countermeasures for Information Leakage in Financial Organizations</t>
  </si>
  <si>
    <t>IEEE Engineering International Research Conference (EIRCON)</t>
  </si>
  <si>
    <t>10.1109/EIRCON56026.2022.9934810</t>
  </si>
  <si>
    <t>2022_10.1109_eircon56026.2022.9934810_Model_to_Identify_the_Profile_of_Countermeasures_for_Information_Leakage_in_Financial_Organizations.pdf</t>
  </si>
  <si>
    <t>Ruhlander2024</t>
  </si>
  <si>
    <t>On the Security and Privacy Implications of Large Language Models: In-Depth Threat Analysis</t>
  </si>
  <si>
    <t>2024 IEEE International Conferences on Internet of Things (iThings) and IEEE Green Computing &amp; Communications (GreenCom) and IEEE Cyber, Physical &amp; Social Computing (CPSCom) and IEEE Smart Data (SmartData) and IEEE Congress</t>
  </si>
  <si>
    <t>10.1109/iThings-GreenCom-CPSCom-SmartData-Cybermatics62450.2024.00102</t>
  </si>
  <si>
    <t>2024_10.1109_ithings-greencom-cpscom-smartdata-cybermatics62450.2024.00102_On_the_Security_and_Privacy_Implications_of_Large_Language_Models__In-Depth_Threat_Analysis.pdf</t>
  </si>
  <si>
    <t>Palma2025</t>
  </si>
  <si>
    <t>A Post-Quantum Cryptography Enabled Feature-Level Fusion Framework for Privacy-Preserving Multimodal Biometric Recognition</t>
  </si>
  <si>
    <t>Cryptography</t>
  </si>
  <si>
    <t>10.3390/cryptography9040072</t>
  </si>
  <si>
    <t>2025_10_3390_cryptography9040072_a_post_quantum_cryptography_enabled_feature_level_fusion_framework_for_privacy_preserving.pdf</t>
  </si>
  <si>
    <t>Hosseini2025_TrustworthyAI</t>
  </si>
  <si>
    <t>Trustworthy AI for Security Decision-Making in ICSs: Towards Compliance with the EU AI Act</t>
  </si>
  <si>
    <t>2025 IEEE 30th International Conference on Emerging Technologies and Factory Automation (ETFA)</t>
  </si>
  <si>
    <t>10.1109/ETFA65518.2025.11205756</t>
  </si>
  <si>
    <t>2025_10.1109_etfa65518.2025.11205756_Trustworthy_AI_for_Security_Decision-Making_in_ICSs__Towards_Compliance_with_the_EU_AI_Act.pdf</t>
  </si>
  <si>
    <t>PENG-2025</t>
  </si>
  <si>
    <t>BCTD-ICS: A Blockchain-Aided Framework for Trusted Detection of Industrial Control System Components</t>
  </si>
  <si>
    <t>IEEE Internet of Things Journal</t>
  </si>
  <si>
    <t>10.1109/JIOT.2025.3583304</t>
  </si>
  <si>
    <t>2025_10.1109_jiot.2025.3583304_BCTD-ICS__A_Blockchain-Aided_Framework_for_Trusted_Detection_of_Industrial_Control_System_Components.pdf</t>
  </si>
  <si>
    <t>Pandey_Towards_Automated_Threat_based_Risk_Assessment</t>
  </si>
  <si>
    <t>Towards Automated Threat-based Risk Assessment for Cyber Security in Smarthomes</t>
  </si>
  <si>
    <t>2019_Towards_automated_threat-based_risk_assessment_for_cyber_security_in_smarthomes.pdf</t>
  </si>
  <si>
    <t>Costante2017</t>
  </si>
  <si>
    <t>A white-box anomaly-based framework for database leakage detection</t>
  </si>
  <si>
    <t>2017</t>
  </si>
  <si>
    <t>Journal of Information Security and Applications</t>
  </si>
  <si>
    <t>10.1016/j.jisa.2016.10.001</t>
  </si>
  <si>
    <t>2017_10.1016_j.jisa.2016.10.001_A_white-box_anomaly-based_framework_for_database_leakage_detection.pdf</t>
  </si>
  <si>
    <t>Minh Hoang et al. - Network Analytics for Improving Students’ Cybersecurity Awareness</t>
  </si>
  <si>
    <t>Network Analytics for Improving Students’ Cybersecurity Awareness in Online Learning Systems</t>
  </si>
  <si>
    <t>IEEE Xplore (Inferred from footer)</t>
  </si>
  <si>
    <t>2020_10.1109_rivf48685.2020.9140781_Network_Analytics_for_Improving_Students'_Cybersecurity_Awareness_in_Online_Learning_Systems.pdf</t>
  </si>
  <si>
    <t>Chen et al. (2023)</t>
  </si>
  <si>
    <t>IP-Tag: Tag-Based Runtime 3PIP Hardware Trojan Detection in SoC Platforms</t>
  </si>
  <si>
    <t>IEEE TRANSACTIONS ON COMPUTER-AIDED DESIGN OF INTEGRATED CIRCUITS AND SYSTEMS</t>
  </si>
  <si>
    <t>10.1109/TCAD.2022.3174171</t>
  </si>
  <si>
    <t>2023_10.1109_tcad.2022.3174171_IP-Tag__Tag-Based_Runtime_3PIP_Hardware_Trojan_Detection_in_SoC_Platforms.pdf</t>
  </si>
  <si>
    <t>Thenmozhi_2025</t>
  </si>
  <si>
    <t>A Survey on AI-Enabled Anomaly Detection with Privacy Preservation in Wireless Sensor Healthcare IoT Environment</t>
  </si>
  <si>
    <t>2025 IEEE 6th International Conference in Robotics and Manufacturing Automation (ROMA)</t>
  </si>
  <si>
    <t>10.1109/ROMA66616.2025.11155405</t>
  </si>
  <si>
    <t>2025_10.1109_roma66616.2025.11155405_A_Survey_on_AI-Enabled_Anomaly_Detection_with_Privacy_Preservation_in_Wireless_Sensor_Healthcare_IoT_Environme.pdf</t>
  </si>
  <si>
    <t>Sugii_2015_Fujitsu</t>
  </si>
  <si>
    <t>Device Management Technology for Preventing Data Leakage</t>
  </si>
  <si>
    <t>2015</t>
  </si>
  <si>
    <t>FUJITSU Sci. Tech. J., Vol. 51, No. 2</t>
  </si>
  <si>
    <t>2015_Device_management_technology_for_preventing_data_leakage.pdf</t>
  </si>
  <si>
    <t>Short2014</t>
  </si>
  <si>
    <t>Android Smartphone Third Party Advertising Library Data Leak Analysis</t>
  </si>
  <si>
    <t>2014</t>
  </si>
  <si>
    <t>2014 IEEE 11th International Conference on Mobile Ad Hoc and Sensor Systems (MASS)</t>
  </si>
  <si>
    <t>10.1109/MASS.2014.131</t>
  </si>
  <si>
    <t>2015_10.1109_mass.2014.131_Android_smartphone_third_party_advertising_library_data_leak_analysis.pdf</t>
  </si>
  <si>
    <t>Kumaraswamy2025_SecureBlockchainSVM</t>
  </si>
  <si>
    <t>A Secure Blockchain Framework using Stacked SVM-RF with Advanced Encryption Standard – Galois/Counter Mode</t>
  </si>
  <si>
    <t>2025 2nd International Conference on Intelligent Algorithms for Computational Intelligence Systems (IACIS)</t>
  </si>
  <si>
    <t>10.1109/IACIS65746.2025.11211489</t>
  </si>
  <si>
    <t>2025_10.1109_iacis65746.2025.11211489_A_Secure_Blockchain_Framework_Using_Stacked_SVM-RF_with_Advanced_Encryption_Standard_Galois_Counter_Mode.pdf</t>
  </si>
  <si>
    <t>Shishodia2022_DLP</t>
  </si>
  <si>
    <t>Data Leakage Prevention System for Internal Security</t>
  </si>
  <si>
    <t>2022 International Conference on Futuristic Technologies (INCOFT)</t>
  </si>
  <si>
    <t>10.1109/INCOFT55651.2022.10094509</t>
  </si>
  <si>
    <t>2022_10.1109_incoft55651.2022.10094509_Data_Leakage_Prevention_System_for_Internal_Security.pdf</t>
  </si>
  <si>
    <t>Myrzashova_2025_Safeguarding_Patient_Data</t>
  </si>
  <si>
    <t>Safeguarding Patient Data-Sharing: Blockchain-Enabled Federated Learning in Medical Diagnostics</t>
  </si>
  <si>
    <t>IEEE TRANSACTIONS ON SUSTAINABLE COMPUTING</t>
  </si>
  <si>
    <t>10.1109/TSUSC.2024.3409329</t>
  </si>
  <si>
    <t>2025_10.1109_tsusc.2024.3409329_Safeguarding_Patient_Data-Sharing__Blockchain-Enabled_Federated_Learning_in_Medical_Diagnostics.pdf</t>
  </si>
  <si>
    <t>Alzubaidi2021</t>
  </si>
  <si>
    <t>Measuring the level of cyber-security awareness for cybercrime in Saudi Arabia</t>
  </si>
  <si>
    <t>Heliyon</t>
  </si>
  <si>
    <t>10.1016/j.heliyon.2021.e06016</t>
  </si>
  <si>
    <t>2021_10.1016_j.heliyon.2021.e06016_Measuring_the_level_of_cyber-security_awareness_for_cybercrime_in_Saudi_Arabia.pdf</t>
  </si>
  <si>
    <t>Obarafor_2024_ICCR</t>
  </si>
  <si>
    <t>Feed-forward ANN with Random Forest Technique for Identifying Malicious Internet of Things Network Intrusion</t>
  </si>
  <si>
    <t>2024 2nd International Conference on Cyber Resilience (ICCR)</t>
  </si>
  <si>
    <t>10.1109/ICCR61006.2024.10532886</t>
  </si>
  <si>
    <t>2024_10.1109_iccr61006.2024.10532886_Feed-forward_ANN_with_Random_Forest_Technique_for_Identifying_Malicious_Internet_of_Things_Network_Intrusion.pdf</t>
  </si>
  <si>
    <t>Thabit2022</t>
  </si>
  <si>
    <t>Trust management and data protection for online social networks</t>
  </si>
  <si>
    <t>IET Communications</t>
  </si>
  <si>
    <t>10.1049/cmu2.12401</t>
  </si>
  <si>
    <t>2022_10.1049_cmu2.12401_Trust_management_and_data_protection_for_online_social_networks.pdf</t>
  </si>
  <si>
    <t>Schulze_2017</t>
  </si>
  <si>
    <t>Combating Data Leakage Trojans in Sequential Circuits Through Randomized Encoding</t>
  </si>
  <si>
    <t>2017 IEEE 15th International Conference on Dependable, Autonomic and Secure Computing (DASC)</t>
  </si>
  <si>
    <t>10.1109/DASC-PICom-DataCom-CyberSciTec.2017.112</t>
  </si>
  <si>
    <t>2017_10.1109_dasc-picom-datacom-cyberscitec.2017.112_Combating_data_leakage_trojans_in_sequential_circuits_through_randomized_encoding.pdf</t>
  </si>
  <si>
    <t>Damljanovic_2021_DDECS</t>
  </si>
  <si>
    <t>A Benchmark Suite of RT-level Hardware Trojans for Pipelined Microprocessor Cores</t>
  </si>
  <si>
    <t>2021 24th International Symposium on Design and Diagnostics of Electronic Circuits &amp; Systems (DDECS)</t>
  </si>
  <si>
    <t>10.1109/DDECS52668.2021.9417061</t>
  </si>
  <si>
    <t>2021_10.1109_ddecs52668.2021.9417061_A_Benchmark_Suite_of_RT-level_Hardware_Trojans_for_Pipelined_Microprocessor_Cores.pdf</t>
  </si>
  <si>
    <t>Zhao_et_al_2023</t>
  </si>
  <si>
    <t>2024_10_1109_access_2024_3363640_how_can_credit_supervision_mechanism_improve_security_crowdsourcing_ecosystem_governance.pdf</t>
  </si>
  <si>
    <t>D’Agostino et al. 2021</t>
  </si>
  <si>
    <t>Toward Pinpointing Data Leakage from Advanced Persistent Threats</t>
  </si>
  <si>
    <t>2021 7th IEEE Intl Conference on Big Data Security on Cloud (BigDataSecurity)</t>
  </si>
  <si>
    <t>10.1109/BigDataSecurityHPSCIDS52275.2021.00038</t>
  </si>
  <si>
    <t>2021_10.1109_bigdatasecurityhpscids52275.2021.00038_Toward_Pinpointing_Data_Leakage_from_Advanced_Persistent_Threats.pdf</t>
  </si>
  <si>
    <t>Koch2010</t>
  </si>
  <si>
    <t>User Identification in Encrypted Network Communications</t>
  </si>
  <si>
    <t>2010</t>
  </si>
  <si>
    <t>CNSM 2010</t>
  </si>
  <si>
    <t>2010_10.1109_cnsm.2010.5691292_User_identification_in_encrypted_network_communications.pdf</t>
  </si>
  <si>
    <t>Rekha_2024</t>
  </si>
  <si>
    <t>Determining Intrusion Attacks Against Online Applications Using Cloud-Based Data Security</t>
  </si>
  <si>
    <t>EAI Endorsed Transactions on Scalable Information Systems</t>
  </si>
  <si>
    <t>10.4108/eetsis.5028</t>
  </si>
  <si>
    <t>2024_10_4108_eetsis_5028_determining_intrusion_attacks_against_online_applications_using_cloud_based_data_security.pdf</t>
  </si>
  <si>
    <t>Schnepf2017</t>
  </si>
  <si>
    <t>Automated Verification of Security Chains in Software-Defined Networks with Synaptic</t>
  </si>
  <si>
    <t>NetSoft 2017 - IEEE Conference on Network Softwarization</t>
  </si>
  <si>
    <t>10.1109/NETSOFT.2017.8004195</t>
  </si>
  <si>
    <t>2017_10_1109_netsoft_2017_8004195_automated_verification_of_security_chains_in_software_defined_networks_with_synaptic.pdf</t>
  </si>
  <si>
    <t>Aftabjahani_2021_CAD_Hardware_Security</t>
  </si>
  <si>
    <t>Special Session: CAD for Hardware Security - Automation is Key to Adoption of Solutions</t>
  </si>
  <si>
    <t>IEEE 39th VLSI Test Symposium (VTS)</t>
  </si>
  <si>
    <t>10.1109/VTS50974.2021.9441032</t>
  </si>
  <si>
    <t>2021_10.1109_vts50974.2021.9441032_Special_session__CAD_for_hardware_security_-_Automation_is_key_to_adoption_of_solutions.pdf</t>
  </si>
  <si>
    <t>Shen et al. 2024</t>
  </si>
  <si>
    <t>SGD3QN: Joint Stochastic Games and Dueling Double Deep Q-Networks for Defending Malware Propagation in Edge Intelligence-Enabled Internet of Things</t>
  </si>
  <si>
    <t>IEEE Transactions on Information Forensics and Security</t>
  </si>
  <si>
    <t>10.1109/TIFS.2024.3420233</t>
  </si>
  <si>
    <t>2024_10.1109_tifs.2024.3420233_SGD3QN__Joint_Stochastic_Games_and_Dueling_Double_Deep_Q-Networks_for_Defending_Malware_Propagation_in_Edge_In.pdf</t>
  </si>
  <si>
    <t>Han et al. (2024)</t>
  </si>
  <si>
    <t>An online ensemble classification algorithm for multi-class imbalanced data stream</t>
  </si>
  <si>
    <t>Knowledge and Information Systems</t>
  </si>
  <si>
    <t>10.1007/s10115-024-02184-6</t>
  </si>
  <si>
    <t>2024_10.1007_s10115-024-02184-6_An_online_ensemble_classification_algorithm_for_multi-class_imbalanced_data_stream.pdf</t>
  </si>
  <si>
    <t>10.1109/ICIMIA67127.2025.11200972</t>
  </si>
  <si>
    <t>An Intelligent Data Leakage Prevention in Cloud Computing using Golden Jackal Optimization</t>
  </si>
  <si>
    <t>4th International Conference on Innovative Mechanisms for Industry Applications (ICIMIA-2025)</t>
  </si>
  <si>
    <t>2025_10.1109_icimia67127.2025.11200972_An_Intelligent_Data_Leakage_Prevention_in_Cloud_Computing_using_Golden_Jackal_Optimization.pdf.pdf</t>
  </si>
  <si>
    <t>NoiseHopper_HOST2024</t>
  </si>
  <si>
    <t>NoiseHopper: Emission Hopping Air-Gap Covert Side Channel with Lower Probability of Detection</t>
  </si>
  <si>
    <t>IEEE International Symposium on Hardware Oriented Security and Trust (HOST)</t>
  </si>
  <si>
    <t>10.1109/HOST55342.2024.10545402</t>
  </si>
  <si>
    <t>2024_10.1109_host55342.2024.10545402_NoiseHopper__Emission_Hopping_Air-Gap_Covert_Side_Channel_with_Lower_Probability_of_Detection.pdf</t>
  </si>
  <si>
    <t>Kober2022</t>
  </si>
  <si>
    <t>Sensitive and Personal Data: What Exactly Are You Talking About?</t>
  </si>
  <si>
    <t>2023_10_1109_mobilsoft59058_2023_00016_sensitive_and_personal_data_what_exactly_are_you_talking_about.pdf</t>
  </si>
  <si>
    <t>Yin et al. (2021)</t>
  </si>
  <si>
    <t>A Real-time Dynamic Concept Adaptive Learning Algorithm for Exploitability Prediction</t>
  </si>
  <si>
    <t>Neurocomputing</t>
  </si>
  <si>
    <t>10.1016/j.neucom.2021.01.076</t>
  </si>
  <si>
    <t>2022_10_1016_j_neucom_2021_01_144_a_real_time_dynamic_concept_adaptive_learning_algorithm_for_exploitability_prediction.pdf</t>
  </si>
  <si>
    <t>Yu_Shen_2021</t>
  </si>
  <si>
    <t>The Relationship between Online Political Participation and Privacy Protection: Evidence from 10 Asian Societies of Different Levels of Cybersecurity</t>
  </si>
  <si>
    <t>Behaviour &amp; Information Technology</t>
  </si>
  <si>
    <t>10.1080/0144929X.2021.1953597</t>
  </si>
  <si>
    <t>2022_10_1080_0144929x_2021_1953597_the_relationship_between_online_political_participation_and_privacy_protection_evidence_f.pdf</t>
  </si>
  <si>
    <t>Priya et al. (2023)</t>
  </si>
  <si>
    <t>Deep learning framework for handling concept drift and class imbalanced complex decision-making on streaming data</t>
  </si>
  <si>
    <t>Complex &amp; Intelligent Systems</t>
  </si>
  <si>
    <t>10.1007/s40747-021-00456-0</t>
  </si>
  <si>
    <t>2023_10_1007_s40747_021_00456_0_deep_learning_framework_for_handling_concept_drift_and_class_imbalanced_complex_decision_m.pdf</t>
  </si>
  <si>
    <t>FEXGBIDS: Federated XGBoost-Based Intrusion Detection System for In-Vehicle Network</t>
  </si>
  <si>
    <t>10.1109/ACCESS.2025.3569356</t>
  </si>
  <si>
    <t>2025_10.1109_access.2025.3569356_FEXGBIDS__Federated_XGBoost-Based_Intrusion_Detection_System_for_In-Vehicle_Network.pdf</t>
  </si>
  <si>
    <t>Phan_2017_eddLeak</t>
  </si>
  <si>
    <t>eddLeak: Enhancing Precision of Detecting Inter-app Data Leakage in Android Applications</t>
  </si>
  <si>
    <t>2017 9th IEEE International Conference on Communication Software and Networks</t>
  </si>
  <si>
    <t>10.1109/ICCSN.2017.8230353</t>
  </si>
  <si>
    <t>2017_10.1109_iccsn.2017.8230197_EddLeak__Enhancing_precision_of_detecting_inter-app_data_leakage_in_Android_applications.pdf</t>
  </si>
  <si>
    <t>EL_HADDOUTI_2023</t>
  </si>
  <si>
    <t>Enhancing Mobile Security: A Systematic Review of AI and Blockchain Integration Strategies for Effective Analysis</t>
  </si>
  <si>
    <t>2023 International Conference on Innovation and Intelligence for Informatics, Computing, and Technologies (3ICT)</t>
  </si>
  <si>
    <t>10.1109/3ICT60104.2023.10391475</t>
  </si>
  <si>
    <t>2023_10.1109_3ict60104.2023.10391475_Enhancing_Mobile_Security__A_Systematic_Review_of_AI_and_Blockchain_Integration_Strategies_for_Effective_Analy.pdf</t>
  </si>
  <si>
    <t>Zhang_2025_Mobile_network_intelligent_recommendation</t>
  </si>
  <si>
    <t>Mobile network intelligent recommendation based on data mining and network security application in college student employment recommendation system</t>
  </si>
  <si>
    <t>International Journal of System Assurance Engineering and Management</t>
  </si>
  <si>
    <t>10.1007/s13198-025-03013-x</t>
  </si>
  <si>
    <t>2025_10.1007_s13198-025-03013-x_Mobile_network_intelligent_recommendation_based_on_data_mining_and_network_security_application_in_college_stu.pdf</t>
  </si>
  <si>
    <t>Wang et al. (2018)</t>
  </si>
  <si>
    <t>Security-Driven Task Scheduling for Multiprocessor System-on-Chips with Performance Constraints</t>
  </si>
  <si>
    <t>IEEE Computer Society Annual Symposium on VLSI (ISVLSI)</t>
  </si>
  <si>
    <t>10.1109/ISVLSI.2018.00105</t>
  </si>
  <si>
    <t>2018_10.1109_isvlsi.2018.00105_Security-driven_task_scheduling_for_multiprocessor_system-on-chips_with_performance_constraints.pdf</t>
  </si>
  <si>
    <t>KhaleghiMoghaddam2020</t>
  </si>
  <si>
    <t>Exploring data leakage in encrypted payload using supervised machine learning</t>
  </si>
  <si>
    <t>ARES 2020</t>
  </si>
  <si>
    <t>10.1145/3407023.3409216</t>
  </si>
  <si>
    <t>2020_10.1145_3407023.3409216_Exploring_data_leakage_in_encrypted_payload_using_supervised_machine_learning.pdf</t>
  </si>
  <si>
    <t>Khan_2020_CacheOut</t>
  </si>
  <si>
    <t>Cache-Out: Leaking Cache Memory Using Hardware Trojan</t>
  </si>
  <si>
    <t>IEEE TRANSACTIONS ON VERY LARGE SCALE INTEGRATION (VLSI) SYSTEMS, VOL. 28, NO. 6</t>
  </si>
  <si>
    <t>10.1109/TVLSI.2020.2982188</t>
  </si>
  <si>
    <t>2020_10.1109_tvlsi.2020.2982188_Cache-Out__Leaking_Cache_Memory_Using_Hardware_Trojan.pdf</t>
  </si>
  <si>
    <t>Wu_2023_ISCTech</t>
  </si>
  <si>
    <t>An attack-aware shipping enterprise cybersecurity framework based on deep learning</t>
  </si>
  <si>
    <t>2023 11th International Conference on Information Systems and Computing Technology (ISCTech)</t>
  </si>
  <si>
    <t>10.1109/ISCTech60480.2023.00028</t>
  </si>
  <si>
    <t>2023_10.1109_isctech60480.2023.00028_An_attack-aware_shipping_enterprise_cybersecurity_framework_based_on_deep_learning.pdf</t>
  </si>
  <si>
    <t>Alneyadi2016</t>
  </si>
  <si>
    <t>A survey on data leakage prevention systems</t>
  </si>
  <si>
    <t>2016</t>
  </si>
  <si>
    <t>Journal of Network and Computer Applications</t>
  </si>
  <si>
    <t>10.1016/j.jnca.2016.01.008</t>
  </si>
  <si>
    <t>2016_10.1016_j.jnca.2016.01.008_A_survey_on_data_leakage_prevention_systems.pdf</t>
  </si>
  <si>
    <t>Bhardwaj et al. (2024)</t>
  </si>
  <si>
    <t>Risks for Conversational AI Security</t>
  </si>
  <si>
    <t>Conversational Artificial Intelligence (Book Chapter)</t>
  </si>
  <si>
    <t>10.1002/9781394200801.ch32</t>
  </si>
  <si>
    <t>2024_10.1002_9781394200801.ch32_Risks_for_conversational_AI_security.pdf</t>
  </si>
  <si>
    <t>Kynigos_2016_Utilizing_Cloud_Hijacked_Images</t>
  </si>
  <si>
    <t>Utilizing the Cloud to Store Hijacked Camera Images</t>
  </si>
  <si>
    <t>49th Hawaii International Conference on System Sciences (HICSS)</t>
  </si>
  <si>
    <t>10.1109/HICSS.2016.679</t>
  </si>
  <si>
    <t>2016_10.1109_hicss.2016.679_Utilizing_the_cloud_to_store_hijacked_camera_images.pdf</t>
  </si>
  <si>
    <t>2023_10_11591_ijece_v13i5_pp5560_5568_concept_drift_and_machine_learning_model_for_detecting_fraudulent_transactions_i.pdf</t>
  </si>
  <si>
    <t>10.1587/transfun.2023EAP1049</t>
  </si>
  <si>
    <t>Real-Time Monitoring Systems that Provide M2M Communication between Machines</t>
  </si>
  <si>
    <t>IEICE Transactions on Fundamentals of Electronics, Communications and Computer Sciences</t>
  </si>
  <si>
    <t>2024_10_1587_transfun_2023eap1049_real_time_monitoring_systems_that_provide_m2m_communication_between_machines.pdf</t>
  </si>
  <si>
    <t>Frhan_2026_IIDS</t>
  </si>
  <si>
    <t>Intrusion Detection System – IIDS</t>
  </si>
  <si>
    <t>WSEAS TRANSACTIONS on INFORMATION SCIENCE and APPLICATIONS</t>
  </si>
  <si>
    <t>10.37394/23209.2026.23.6</t>
  </si>
  <si>
    <t>2026_10_37394_23209_2026_23_6_intrusion_detection_system_iids.pdf</t>
  </si>
  <si>
    <t>fi15090296</t>
  </si>
  <si>
    <t>FREDY: Federated Resilience Enhanced with Differential Privacy</t>
  </si>
  <si>
    <t>Future Internet</t>
  </si>
  <si>
    <t>10.3390/fi15090296</t>
  </si>
  <si>
    <t>2023_10_3390_fi15090296_fredy_federated_resilience_enhanced_with_differential_privacy.pdf</t>
  </si>
  <si>
    <t>Zhao2025_ISCTT</t>
  </si>
  <si>
    <t>Distributed network intrusion detection model based on multi-feature fusion generative adversarial network and federated learning</t>
  </si>
  <si>
    <t>2025 10th International Conference on Information Science, Computer Technology and Transportation (ISCTT)</t>
  </si>
  <si>
    <t>10.1109/ISCTT66403.2025.11137906</t>
  </si>
  <si>
    <t>2025_10.1109_isctt66403.2025.11137906_Distributed_Network_Intrusion_Detection_Model_Based_on_Multi-Feature_Fusion_Generative_Adversarial_Network_and.pdf</t>
  </si>
  <si>
    <t>Sousa-Dias_et_al_2023</t>
  </si>
  <si>
    <t>A Review of Cybersecurity Concerns for Transactive Energy Markets</t>
  </si>
  <si>
    <t>Energies</t>
  </si>
  <si>
    <t>10.3390/en16134838</t>
  </si>
  <si>
    <t>2023_10_3390_en16134838_a_review_of_cybersecurity_concerns_for_transactive_energy_markets.pdf</t>
  </si>
  <si>
    <t>arXiv:1907.05851</t>
  </si>
  <si>
    <t>CTRL-ALT-LED: Leaking Data from Air-Gapped Computers via Keyboard LEDs</t>
  </si>
  <si>
    <t>arXiv</t>
  </si>
  <si>
    <t>arXiv:1907.05851v1</t>
  </si>
  <si>
    <t>2019_10_1109_compsac_2019_00118_ctrl_alt_led_leaking_data_from_air_gapped_computers_via_keyboard_leds.pdf</t>
  </si>
  <si>
    <t>Gopalan et al. (2018)</t>
  </si>
  <si>
    <t>Don’t Be Surprised: I See Your Mobile App Stealing Your Data</t>
  </si>
  <si>
    <t>International Conference on Computing, Networking and Communications (ICNC)</t>
  </si>
  <si>
    <t>10.1109/ICCNC.2018.8390282</t>
  </si>
  <si>
    <t>2018_10.1109_iccnc.2018.8390242_Don't_Be_Surprised__I_See_Your_Mobile_App_Stealing_Your_Data.pdf</t>
  </si>
  <si>
    <t>Hosmer2018_DefendingIoT</t>
  </si>
  <si>
    <t>Apress (Book)</t>
  </si>
  <si>
    <t>2018_10_1007_978_1_4842_3700_7_defending_iot_infrastructures_with_the_raspberry_pi_monitoring_and_detecting_nefarious_be.pdf</t>
  </si>
  <si>
    <t>Khraisat2025_RF-FedAvg</t>
  </si>
  <si>
    <t>RF-FedAvg: Federated learning-based random forest model for intrusion detection in wireless sensor networks</t>
  </si>
  <si>
    <t>Cluster Computing</t>
  </si>
  <si>
    <t>10.1007/s10586-025-05591-8</t>
  </si>
  <si>
    <t>2025_10.1007_s10586-025-05591-8_RF-FedAvg__Federated_learning-based_random_forest_model_for_intrusion_detection_in_wireless_sensor_networks.pdf</t>
  </si>
  <si>
    <t>Xiang et al. (2025)</t>
  </si>
  <si>
    <t>The Gradient Puppeteer: Adversarial Domination in Gradient Leakage Attacks Through Model Poisoning</t>
  </si>
  <si>
    <t>IEEE TRANSACTIONS ON INFORMATION FORENSICS AND SECURITY</t>
  </si>
  <si>
    <t>10.1109/TIFS.2025.3607271</t>
  </si>
  <si>
    <t>2025_10.1109_tifs.2025.3607271_The_Gradient_Puppeteer__Adversarial_Domination_in_Gradient_Leakage_Attacks_Through_Model_Poisoning.pdf</t>
  </si>
  <si>
    <t>Yoon2015_MobileSecurity</t>
  </si>
  <si>
    <t>Mobile Security Technology for Smart Devices</t>
  </si>
  <si>
    <t>ICTC 2015</t>
  </si>
  <si>
    <t>10.1109/ICTC.2015.7354763</t>
  </si>
  <si>
    <t>2015_10.1109_ictc.2015.7354766_Mobile_security_technology_for_smart_devices.pdf</t>
  </si>
  <si>
    <t>Mallampati_2024_DataLeakage</t>
  </si>
  <si>
    <t>A Comparative Study on the Impacts of Data Leakage During Feature Selection using the CIC-IoT 2023 Intrusion Detection Dataset</t>
  </si>
  <si>
    <t>2024 10th International Conference on Electrical Energy Systems (ICEES)</t>
  </si>
  <si>
    <t>10.1109/ICEES61253.2024.10776873</t>
  </si>
  <si>
    <t>2024_10.1109_icees61253.2024.10776873_A_Comparative_Study_on_the_Impacts_of_Data_Leakage_During_Feature_Selection_using_the_CIC-IoT_2023_Intrusion_D.pdf</t>
  </si>
  <si>
    <t>Hur_2023_TNET</t>
  </si>
  <si>
    <t>Packet Chunking for File Detection</t>
  </si>
  <si>
    <t>IEEE/ACM Transactions on Networking</t>
  </si>
  <si>
    <t>10.1109/TNET.2022.3215549</t>
  </si>
  <si>
    <t>2023_10.1109_tnet.2022.3215549_Packet_Chunking_for_File_Detection.pdf</t>
  </si>
  <si>
    <t>HarTBleed_2020</t>
  </si>
  <si>
    <t>HarTBleed: Using Hardware Trojans for Data Leakage Exploits</t>
  </si>
  <si>
    <t>IEEE TRANSACTIONS ON VERY LARGE SCALE INTEGRATION (VLSI) SYSTEMS</t>
  </si>
  <si>
    <t>10.1109/TVLSI.2019.2961358</t>
  </si>
  <si>
    <t>2020_10.1109_tvlsi.2019.2961358_HarTBleed__Using_Hardware_Trojans_for_Data_Leakage_Exploits.pdf</t>
  </si>
  <si>
    <t>Serik_2025</t>
  </si>
  <si>
    <t>Integration of Cybersecurity into Computer Science Teachers’ Training: A Systematic Review</t>
  </si>
  <si>
    <t>International Journal of Engineering Pedagogy (iJEP)</t>
  </si>
  <si>
    <t>10.3991/ijep.v15i4.53127</t>
  </si>
  <si>
    <t>2025_10_3991_ijep_v15i4_53127_integration_of_cybersecurity_into_computer_science_teachers_training_a_systematic_review.pdf</t>
  </si>
  <si>
    <t>Chou et al. (2025)</t>
  </si>
  <si>
    <t>Invited Paper: 2025 ICCAD CAD Contest Problem A: Hardware Trojan Detection on Gate-Level Netlist</t>
  </si>
  <si>
    <t>ICCAD</t>
  </si>
  <si>
    <t>10.1109/ICCAD66269.2025.11240658</t>
  </si>
  <si>
    <t>2025_10.1109_iccad66269.2025.11240658_Invited_Paper__2025_ICCAD_CAD_Contest_Problem_A__Hardware_Trojan_Detection_on_Gate-Level_Netlist.pdf</t>
  </si>
  <si>
    <t>Mihelic_2019</t>
  </si>
  <si>
    <t>Testing the Human Backdoor: Organizational Response to a Phishing Campaign</t>
  </si>
  <si>
    <t>Journal of Universal Computer Science</t>
  </si>
  <si>
    <t>2019_Testing_the_human_backdoor__organizational_response_to_a_phishing_campaign.pdf</t>
  </si>
  <si>
    <t>Neghina2013_ManagingITSecurity</t>
  </si>
  <si>
    <t>Managing Information Technology Security in the Context of Cyber Crime Trends</t>
  </si>
  <si>
    <t>INT J COMPUT COMMUN</t>
  </si>
  <si>
    <t>2013_10_15837_ijccc_2013_1_173_managing_information_technology_security_in_the_context_of_cyber_crime_trends.pdf</t>
  </si>
  <si>
    <t>Al-Slais2023</t>
  </si>
  <si>
    <t>Robotic Process Automation and Intelligent Automation Security Challenges: A Review</t>
  </si>
  <si>
    <t>2023 International Conference On Cyber Management And Engineering (CyMaEn)</t>
  </si>
  <si>
    <t>10.1109/CyMaEn57228.2023.10050996</t>
  </si>
  <si>
    <t>2023_10.1109_cymaen57228.2023.10050996_Robotic_Process_Automation_and_Intelligent_Automation_Security_Challenges__A_Review.pdf</t>
  </si>
  <si>
    <t>Almiani2022_IntelligentEnsemble</t>
  </si>
  <si>
    <t>Intelligent Ensemble based System for Rare Attacks Dectection in IoT Networks</t>
  </si>
  <si>
    <t>IEEE Global Communications Conference (GLOBECOM)</t>
  </si>
  <si>
    <t>10.1109/GLOBECOM48099.2022.10001017</t>
  </si>
  <si>
    <t>2022_10.1109_globecom48099.2022.10001017_Intelligent_Ensemble_based_System_for_Rare_Attacks_Dectection_in_IoT_Networks.pdf</t>
  </si>
  <si>
    <t>Zou et al. (2021)</t>
  </si>
  <si>
    <t>Detecting Data Leakage in DNS Traffic based on Time Series Anomaly Detection</t>
  </si>
  <si>
    <t>IEEE 23rd Int Conf on High Performance Computing &amp; Communications (HPCC)</t>
  </si>
  <si>
    <t>10.1109/HPCC-DSS-SMARTCITY-DEPENDSYS53884.2021.00090</t>
  </si>
  <si>
    <t>2022_10.1109_hpcc-dss-smartcity-dependsys53884.2021.00090_Detecting_Data_Leakage_in_DNS_Traffic_based_on_Time_Series_Anomaly_Detection.pdf</t>
  </si>
  <si>
    <t>Guri et al. (2019)</t>
  </si>
  <si>
    <t>Using malware for the greater good: Mitigating data leakage</t>
  </si>
  <si>
    <t>10.1016/j.jnca.2019.07.006</t>
  </si>
  <si>
    <t>2019_10.1016_j.jnca.2019.07.006_Using_malware_for_the_greater_good__Mitigating_data_leakage.pdf</t>
  </si>
  <si>
    <t>10.1002/sec.1531</t>
  </si>
  <si>
    <t>DAT detectors: uncovering TCP/IP covert channels by descriptive analytics</t>
  </si>
  <si>
    <t>Security and Communication Networks</t>
  </si>
  <si>
    <t>2016_10.1002_sec.1531_DAT_detectors__uncovering_TCP_IP_covert_channels_by_descriptive_analytics.pdf</t>
  </si>
  <si>
    <t>Al-Shehari2023</t>
  </si>
  <si>
    <t>Random resampling algorithms for addressing the imbalanced dataset classes in insider threat detection</t>
  </si>
  <si>
    <t>International Journal of Information Security</t>
  </si>
  <si>
    <t>10.1007/s10207-022-00651-1</t>
  </si>
  <si>
    <t>2023_10.1007_s10207-022-00651-1_Random_resampling_algorithms_for_addressing_the_imbalanced_dataset_classes_in_insider_threat_detection.pdf</t>
  </si>
  <si>
    <t>Fei et al. (2025)</t>
  </si>
  <si>
    <t>Security verification framework for NDN access control</t>
  </si>
  <si>
    <t>Scientific Reports</t>
  </si>
  <si>
    <t>10.1038/s41598-025-88856-x</t>
  </si>
  <si>
    <t>2025_10_1038_s41598_025_88856_x_security_verification_framework_for_ndn_access_control.pdf</t>
  </si>
  <si>
    <t>Fraunholz2018_Honeytoken</t>
  </si>
  <si>
    <t>On The Detection and Handling of Security Incidents and Perimeter Breaches - A Modular and Flexible Honeytoken based Framework</t>
  </si>
  <si>
    <t>IEEE (Conference not explicitly named, ISBN: 978-1-5386-3662-6)</t>
  </si>
  <si>
    <t>2018_10.1109_ntms.2018.8328709_On_the_detection_and_handling_of_security_incidents_and_perimeter_breaches_-_A_modular_and_flexible_honeytoken.pdf</t>
  </si>
  <si>
    <t>Khalis et al. (2026)</t>
  </si>
  <si>
    <t>Robust CNN-Based Threat Detection in SDN-Enabled IoT Networks</t>
  </si>
  <si>
    <t>Journal of Network and Systems Management</t>
  </si>
  <si>
    <t>10.1007/s10922-026-10034-9</t>
  </si>
  <si>
    <t>2026_10.1007_s10922-026-10034-9_Robust_CNN-Based_Threat_Detection_in_SDN-Enabled_IoT_Networks.pdf</t>
  </si>
  <si>
    <t>Salama2022</t>
  </si>
  <si>
    <t>AI in Blockchain Towards Realizing Cyber Security</t>
  </si>
  <si>
    <t>2022 International Conference on Artificial Intelligence in Everything (AIE)</t>
  </si>
  <si>
    <t>10.1109/AIE57029.2022.00096</t>
  </si>
  <si>
    <t>2022_10.1109_aie57029.2022.00096_AI_in_Blockchain_Towards_Realizing_Cyber_Security.pdf</t>
  </si>
  <si>
    <t>Alneyadi2015_DetectingDataSemantic</t>
  </si>
  <si>
    <t>Detecting data semantic: A data leakage prevention approach</t>
  </si>
  <si>
    <t>IEEE Trustcom/BigDataSE/ISPA</t>
  </si>
  <si>
    <t>10.1109/Trustcom.2015.464</t>
  </si>
  <si>
    <t>2015_10.1109_trustcom.2015.464_Detecting_data_semantic__A_data_leakage_prevention_approach.pdf</t>
  </si>
  <si>
    <t>2024_10_4108_eetsis_5028_determining_intrusion_attacks_against_online_applications_using_cloud_based_data.pdf</t>
  </si>
  <si>
    <t>Vysakh_2020_Smartphone_Security_Survey</t>
  </si>
  <si>
    <t>Exploring the information security practices on the smartphone by the postgraduate students of University of Calicut</t>
  </si>
  <si>
    <t>ca. 2020</t>
  </si>
  <si>
    <t>Unknown (Affiliated with University of Calicut / Tumkur University)</t>
  </si>
  <si>
    <t>2021_Exploring_the_information_security_practices_on_the_smartphone_by_the_postgraduate_students_of_University_of_C.pdf</t>
  </si>
  <si>
    <t>Dakhale2023</t>
  </si>
  <si>
    <t>Automated Detection of Hardware Trojans using Power Side-Channel Analysis and VGG-Net</t>
  </si>
  <si>
    <t>2023 2nd International Conference on Paradigm Shifts in Communications Embedded Systems, Machine Learning and Signal Processing (PCEMS)</t>
  </si>
  <si>
    <t>10.1109/PCEMS58491.2023.10136083</t>
  </si>
  <si>
    <t>2023_10.1109_pcems58491.2023.10136083_Automated_Detection_of_Hardware_Trojans_using_Power_Side-Channel_Analysis_and_VGG-Net.pdf</t>
  </si>
  <si>
    <t>Al-Rumaim2023</t>
  </si>
  <si>
    <t>Exploring the Evolving Landscape of API Security Challenges in the Healthcare Industry: A Comprehensive Review</t>
  </si>
  <si>
    <t>2023 16th International Conference on Security of Information and Networks (SIN)</t>
  </si>
  <si>
    <t>10.1109/SIN60469.2023.10474998</t>
  </si>
  <si>
    <t>2023_10.1109_sin60469.2023.10474998_Exploring_the_Evolving_Landscape_of_API_Security_Challenges_in_the_Healthcare_Industry__A_Comprehensive_Review.pdf</t>
  </si>
  <si>
    <t>SAND2013-6555C</t>
  </si>
  <si>
    <t>Streaming Malware Classification in the Presence of Concept Drift and Class Imbalance</t>
  </si>
  <si>
    <t>Sandia National Laboratories Technical Report</t>
  </si>
  <si>
    <t>2013_10_1109_icmla_2013_104_streaming_malware_classification_in_the_presence_of_concept_drift_and_class_imbalance.pdf</t>
  </si>
  <si>
    <t>Abidi et al. (2024)</t>
  </si>
  <si>
    <t>Enhancing Healthcare Data Security and Disease Detection Using Crossover-Based Multilayer Perceptron in Smart Healthcare Systems</t>
  </si>
  <si>
    <t>Computer Modeling in Engineering &amp; Sciences</t>
  </si>
  <si>
    <t>10.32604/cmes.2023.044169</t>
  </si>
  <si>
    <t>2023_10_32604_cmes_2023_044169_enhancing_healthcare_data_security_and_disease_detection_using_crossover_based_m.pdf</t>
  </si>
  <si>
    <t>10.1109/TDSC.2023.3323713</t>
  </si>
  <si>
    <t>Leakage of Authorization-Data in IoT Device Sharing: New Attacks and Countermeasure</t>
  </si>
  <si>
    <t>IEEE Transactions on Dependable and Secure Computing</t>
  </si>
  <si>
    <t>2024_10_1109_tdsc_2023_3323713_leakage_of_authorization_data_in_iot_device_sharing_new_attacks_and_countermeas.pdf</t>
  </si>
  <si>
    <t>Alneyadi_2013_Adaptable_N-gram</t>
  </si>
  <si>
    <t>Adaptable N-gram Classification Model for Data Leakage Prevention</t>
  </si>
  <si>
    <t>IEEE TrustCom / IEEE Xplore (Context implies conference proceedings, ISBN 978-1-4799-1319-0)</t>
  </si>
  <si>
    <t>10.1109/TrustCom.2013.149</t>
  </si>
  <si>
    <t>2013_10.1109_icspcs.2013.6723919_Adaptable_N-gram_classification_model_for_data_leakage_prevention.pdf</t>
  </si>
  <si>
    <t>Omotunde2023</t>
  </si>
  <si>
    <t>A Comprehensive Review of Security Measures in Database Systems: Assessing Authentication, Access Control, and Beyond</t>
  </si>
  <si>
    <t>Mesopotamian journal of Cybersecurity</t>
  </si>
  <si>
    <t>https://doi.org/10.58496/MJCS/2023/016</t>
  </si>
  <si>
    <t>2023_10.58496_mjcs_2023_016_A_Comprehensive_Review_of_Security_Measures_in_Database_Systems__Assessing_Authentication,_Access_Control,_and.pdf</t>
  </si>
  <si>
    <t>Bierecki et al. (2025)</t>
  </si>
  <si>
    <t>Artificial Intelligence in e-Administration</t>
  </si>
  <si>
    <t>Prawo i Więź</t>
  </si>
  <si>
    <t>10.36128/PRIW.VI53.1201</t>
  </si>
  <si>
    <t>2025_10_36128_priw_vi54_1201_artificial_intelligence_in_e_administration.pdf</t>
  </si>
  <si>
    <t>VanLangendonck_2025_PPT-GNN</t>
  </si>
  <si>
    <t>PPT-GNN: A Practical Pretrained Spatio-Temporal Graph Neural Network for Network Security</t>
  </si>
  <si>
    <t>IEEE European Symposium on Security and Privacy Workshops (EuroS&amp;PW)</t>
  </si>
  <si>
    <t>10.1109/EuroSPW67616.2025.00026</t>
  </si>
  <si>
    <t>2025_10.1109_eurospw67616.2025.00026_PPT-GNN__A_Practical_Pretrained_Spatio-Temporal_Graph_Neural_Network_for_Network_Security.pdf</t>
  </si>
  <si>
    <t>Nagesh_2025_Adaptive_GAT</t>
  </si>
  <si>
    <t>Adaptive Graph Attention Network-Approach for Detecting Hardware Trojans</t>
  </si>
  <si>
    <t>2025 IEEE International Conference on Distributed Computing, VLSI, Electrical Circuits and Robotics (DISCOVER)</t>
  </si>
  <si>
    <t>10.1109/DISCOVER66922.2025.11259004</t>
  </si>
  <si>
    <t>2025_10.1109_discover66922.2025.11259004_Adaptive_Graph_Attention_Network-Approach_for_Detecting_Hardware_Trojans.pdf</t>
  </si>
  <si>
    <t>Alghaithi_2024</t>
  </si>
  <si>
    <t>IoT Network Anomaly Detection using Machine Learning and Deep Learning Techniques - Research Study</t>
  </si>
  <si>
    <t>2024 IEEE Students Conference on Engineering and Systems (SCES)</t>
  </si>
  <si>
    <t>10.1109/SCES61914.2024.10652305</t>
  </si>
  <si>
    <t>2024_10.1109_sces61914.2024.10652305_IoT_Network_Anomaly_Detection_Using_Machine_Learning_and_Deep_Learning_Techniques_-_Research_Study.pdf</t>
  </si>
  <si>
    <t>YANG_2024_Android_Whitelist</t>
  </si>
  <si>
    <t>A Whitelist Network Control Based on Android Kernel Driver (基于Android内核驱动的白名单网络控制)</t>
  </si>
  <si>
    <t>ACTA ELECTRONICA SINICA (Vol. 52, No. 3)</t>
  </si>
  <si>
    <t>10.12263/DZXB.20220611</t>
  </si>
  <si>
    <t>2024_10.12263_dzxb.20220611_A_Whitelist_Network_Control_Based_on_Android_Kernel_Driver;_基于_Android_内核驱动的白名单网络控制.pdf</t>
  </si>
  <si>
    <t>Huertas Celdran et al. (2022)</t>
  </si>
  <si>
    <t>Intelligent Fingerprinting to Detect Data Leakage Attacks on Spectrum Sensors</t>
  </si>
  <si>
    <t>ICC 2022 - IEEE International Conference on Communications</t>
  </si>
  <si>
    <t>10.1109/ICC45855.2022.9839001</t>
  </si>
  <si>
    <t>2022_10.1109_icc45855.2022.9839001_Intelligent_Fingerprinting_to_Detect_Data_Leakage_Attacks_on_Spectrum_Sensors.pdf</t>
  </si>
  <si>
    <t>Zhou2024_ICCSIE</t>
  </si>
  <si>
    <t>Intelligent Talent Information System Guarantee Based on Cyberspace Security Technology</t>
  </si>
  <si>
    <t>ICCSIE 2024: 9th International Conference on Cyber Security and Information Engineering</t>
  </si>
  <si>
    <t>10.1145/3689236.3689867</t>
  </si>
  <si>
    <t>2024_10.1145_3689236.3689867_Intelligent_Talent_Information_System_Guarantee_Based_on_Cyberspace_Security_Technology.pdf</t>
  </si>
  <si>
    <t>Reimann2021</t>
  </si>
  <si>
    <t>Medium</t>
  </si>
  <si>
    <t>2021_10_1109_iccd53106_2021_00097_qflow_quantitative_information_flow_for_security_aware_hardware_design_in_veril.pdf</t>
  </si>
  <si>
    <t>Moustafa_2019_IoT_Ensemble</t>
  </si>
  <si>
    <t>An Ensemble Intrusion Detection Technique Based on Proposed Statistical Flow Features for Protecting Network Traffic of Internet of Things</t>
  </si>
  <si>
    <t>10.1109/JIOT.2018.2871719</t>
  </si>
  <si>
    <t>2019_10.1109_jiot.2018.2871719_An_ensemble_intrusion_detection_technique_based_on_proposed_statistical_flow_features_for_protecting_network_t.pdf</t>
  </si>
  <si>
    <t>Heurix_2012_HICSS</t>
  </si>
  <si>
    <t>Pseudonymization with Metadata Encryption for Privacy-Preserving Searchable Documents</t>
  </si>
  <si>
    <t>2012</t>
  </si>
  <si>
    <t>45th Hawaii International Conference on System Sciences (HICSS)</t>
  </si>
  <si>
    <t>10.1109/HICSS.2012.491</t>
  </si>
  <si>
    <t>2012_10.1109_hicss.2012.491_Pseudonymization_with_metadata_encryption_for_privacy-preserving_searchable_documents.pdf</t>
  </si>
  <si>
    <t>Khan et al. (2025)</t>
  </si>
  <si>
    <t>A feature-level ensemble machine learning approach for attack detection in IoT networks</t>
  </si>
  <si>
    <t>Discover Internet of Things</t>
  </si>
  <si>
    <t>10.1007/s43926-025-00185-7</t>
  </si>
  <si>
    <t>2025_10_1007_s43926_025_00185_7_a_feature_level_ensemble_machine_learning_approach_for_attack_detection_in_iot_networks.pdf</t>
  </si>
  <si>
    <t>Kumar_SNCS_2024</t>
  </si>
  <si>
    <t>P3IDF-EC: PCA-Based Privacy-Preserving Intrusion Detection Framework for Edge Computing</t>
  </si>
  <si>
    <t>SN Computer Science</t>
  </si>
  <si>
    <t>10.1007/s42979-024-03152-1</t>
  </si>
  <si>
    <t>2024_10.1007_s42979-024-03152-1_P3IDF-EC__PCA-Based_Privacy-Preserving_Intrusion_Detection_Framework_for_Edge_Computing.pdf</t>
  </si>
  <si>
    <t>Vajpayee et al., 2025</t>
  </si>
  <si>
    <t>Insider Threat Pattern Detection Using Deep Learning to Evaluate Cyber Value at Risk (CVaR)</t>
  </si>
  <si>
    <t>2025 13th International Symposium on Digital Forensics and Security (ISDFS)</t>
  </si>
  <si>
    <t>10.1109/ISDFS65363.2025.11012123</t>
  </si>
  <si>
    <t>2025_10.1109_isdfs65363.2025.11012123_Insider_Threat_Pattern_Detection_Using_Deep_Learning_to_Evaluate_Cyber_Value_at_Risk_(CVaR).pdf</t>
  </si>
  <si>
    <t>Kurylets_2023_OntoSecRPA</t>
  </si>
  <si>
    <t>Security Ontology OntoSecRPA for Robotic Process Automation Domain</t>
  </si>
  <si>
    <t>10.3390/app13095568</t>
  </si>
  <si>
    <t>2023_10_3390_app13095568_security_ontology_ontosecrpa_for_robotic_process_automation_domain.pdf</t>
  </si>
  <si>
    <t>Pitta et al. (2024)</t>
  </si>
  <si>
    <t>Secure Cloud-WSNs with Advanced Intrusion Detection System using Kepler Optimization and Bi ConGRU Network Approaches</t>
  </si>
  <si>
    <t>ICCES-2024</t>
  </si>
  <si>
    <t>10.1109/ICCES63552.2024.10860119</t>
  </si>
  <si>
    <t>2024_10.1109_icces63552.2024.10860119_Secure_Cloud-WSNs_with_Advanced_Intrusion_Detection_System_using_Kepler_Optimization_and_Bi-ConGRU_Network_App.pdf</t>
  </si>
  <si>
    <t>Zhao2025_AD-FG</t>
  </si>
  <si>
    <t>Anomaly Detection in Network Traffic via Cross-Domain Federated Graph Representation Learning</t>
  </si>
  <si>
    <t>10.3390/app15116258</t>
  </si>
  <si>
    <t>2025_10_3390_app15116258_anomaly_detection_in_network_traffic_via_cross_domain_federated_graph_representation_learn.pdf</t>
  </si>
  <si>
    <t>Vinutha_2025_Secure_Wireless_Frameworks</t>
  </si>
  <si>
    <t>Secure Wireless Connectivity Frameworks for Financial Internet Services</t>
  </si>
  <si>
    <t>Journal of Internet Services and Information Security (JISIS)</t>
  </si>
  <si>
    <t>10.58346/JISIS.2025.I3.021</t>
  </si>
  <si>
    <t>2025_10_58346_jisis_2025_i3_021_secure_wireless_connectivity_frameworks_for_financial_internet_services.pdf</t>
  </si>
  <si>
    <t>IC3-2021-Puri</t>
  </si>
  <si>
    <t>Examining Security for Different Data Models</t>
  </si>
  <si>
    <t>IC3 '21</t>
  </si>
  <si>
    <t>10.1145/3474124.3474195</t>
  </si>
  <si>
    <t>2021_10.1145_3474124.3474195_Examining_security_for_different_data_models.pdf</t>
  </si>
  <si>
    <t>Manavi et al. (2012)</t>
  </si>
  <si>
    <t>Hierarchical Secure Virtualization Model for Cloud</t>
  </si>
  <si>
    <t>IEEE (ISBN: 978-1-4673-1677-4)</t>
  </si>
  <si>
    <t>10.1109/CyberSec.2012.6246115</t>
  </si>
  <si>
    <t>2012_10.1109_cybersec.2012.6246117_Hierarchical_secure_virtualization_model_for_cloud.pdf</t>
  </si>
  <si>
    <t>Khallaf et al. (2025)</t>
  </si>
  <si>
    <t>Blockchain-based color medical image cryptosystem for industrial Internet of Healthcare Things (IoHT)</t>
  </si>
  <si>
    <t>Multimedia Tools and Applications</t>
  </si>
  <si>
    <t>10.1007/s11042-023-16777-w</t>
  </si>
  <si>
    <t>2025_10.1007_s11042-023-16777-w_Blockchain-based_color_medical_image_cryptosystem_for_industrial_Internet_of_Healthcare_Things_(IoHT).pdf</t>
  </si>
  <si>
    <t>Kim et al. (2013)</t>
  </si>
  <si>
    <t>Application of density-based outlier detection to database activity monitoring</t>
  </si>
  <si>
    <t>10.1007/s10796-010-9266-9</t>
  </si>
  <si>
    <t>2013_10.1007_s10796-010-9266-9_Application_of_density-based_outlier_detection_to_database_activity_monitoring.pdf</t>
  </si>
  <si>
    <t>Rappel et al., 2016</t>
  </si>
  <si>
    <t>Dynamic Intrusion Detection in Database Systems: A Machine-Learning Approach</t>
  </si>
  <si>
    <t>Thirty Seventh International Conference on Information Systems (ICIS)</t>
  </si>
  <si>
    <t>2016_Dynamic_intrusion_detection_in_database_systems__A_machine-learning_approach.pdf</t>
  </si>
  <si>
    <t>Electronics 2025, 14, 4590</t>
  </si>
  <si>
    <t>PriFed-IDS: A Privacy-Preserving Federated Reinforcement Learning Framework for Secure and Intelligent Intrusion Detection in Digital Health Systems</t>
  </si>
  <si>
    <t>Electronics</t>
  </si>
  <si>
    <t>10.3390/electronics14234590</t>
  </si>
  <si>
    <t>2025_10_3390_electronics14234590_prifed_ids_a_privacy_preserving_federated_reinforcement_learning_framework_for_secure_and.pdf</t>
  </si>
  <si>
    <t>Kim et al. 2020</t>
  </si>
  <si>
    <t>Fast Packet Inspection for End-To-End Encryption</t>
  </si>
  <si>
    <t>Electronics (MDPI)</t>
  </si>
  <si>
    <t>10.3390/electronics9111937</t>
  </si>
  <si>
    <t>2020_10_3390_electronics9111937_fast_packet_inspection_for_end_to_end_encryption.pdf</t>
  </si>
  <si>
    <t>Hamdi_2023_Federated_IDS</t>
  </si>
  <si>
    <t>Federated learning-based intrusion detection system for Internet of Things</t>
  </si>
  <si>
    <t>10.1007/s10207-023-00727-6</t>
  </si>
  <si>
    <t>2023_10.1007_s10207-023-00727-6_Federated_learning-based_intrusion_detection_system_for_Internet_of_Things.pdf</t>
  </si>
  <si>
    <t>Kurita2015</t>
  </si>
  <si>
    <t>Fujitsu’s Security Technology Based on Practical Knowledge</t>
  </si>
  <si>
    <t>2015_Fujitsu's_security_technology_based_on_practical_knowledge.pdf</t>
  </si>
  <si>
    <t>Alharbi_2024_FL_TL_IoMT</t>
  </si>
  <si>
    <t>Federated transfer learning for attack detection for Internet of Medical Things</t>
  </si>
  <si>
    <t>10.1007/s10207-023-00805-9</t>
  </si>
  <si>
    <t>2024_10.1007_s10207-023-00805-9_Federated_transfer_learning_for_attack_detection_for_Internet_of_Medical_Things.pdf</t>
  </si>
  <si>
    <t>Abdullah2025</t>
  </si>
  <si>
    <t>Detecting Wormhole Attack in Environmental Monitoring System for Agriculture using Deep Learning</t>
  </si>
  <si>
    <t>Journal of Advanced Research in Applied Sciences and Engineering Technology</t>
  </si>
  <si>
    <t>10.37934/araset.51.2.153176</t>
  </si>
  <si>
    <t>2025_10_37934_araset_51_2_153176_detecting_wormhole_attack_in_environmental_monitoring_system_for_agriculture_usi.pdf</t>
  </si>
  <si>
    <t>Samaranayake_2019_Enhanced_Secure_Solution_PoS</t>
  </si>
  <si>
    <t>Enhanced Secure Solution for PoS Architecture</t>
  </si>
  <si>
    <t>2019 International Conference on Advancements in Computing (ICAC)</t>
  </si>
  <si>
    <t>978-1-7281-4170-1/19/$31.00</t>
  </si>
  <si>
    <t>2019_10.1109_icac49085.2019.9103339_Enhanced_Secure_Solution_for_PoS_Architecture.pdf</t>
  </si>
  <si>
    <t>Entropy 2021, 23, 1258</t>
  </si>
  <si>
    <t>An Insider Data Leakage Detection Using One-Hot Encoding, Synthetic Minority Oversampling and Machine Learning Techniques</t>
  </si>
  <si>
    <t>Entropy</t>
  </si>
  <si>
    <t>10.3390/e23101258</t>
  </si>
  <si>
    <t>2021_10_3390_e23101258_an_insider_data_leakage_detection_using_one_hot_encoding_synthetic_minority_oversampling.pdf</t>
  </si>
  <si>
    <t>TaintART_CCS2016</t>
  </si>
  <si>
    <t>TaintART: A Practical Multi-level Information-Flow Tracking System for Android RunTime</t>
  </si>
  <si>
    <t>CCS '16</t>
  </si>
  <si>
    <t>10.1145/2976749.2978343</t>
  </si>
  <si>
    <t>2016_10.1145_2976749.2978343_TaintART__A_practical_multi-level_information-flow_tracking_system_for_Android_RunTime.pdf</t>
  </si>
  <si>
    <t>Basharat et al. (2022)</t>
  </si>
  <si>
    <t>Machine Learning Techniques for Intrusion Detection In Smart Healthcare Systems: A Comparative Analysis</t>
  </si>
  <si>
    <t>2022 4th International Conference on Smart Sensors and Application (ICSSA)</t>
  </si>
  <si>
    <t>10.1109/ICSSA54161.2022.9870973</t>
  </si>
  <si>
    <t>2022_10.1109_icssa54161.2022.9870973_Machine_Learning_Techniques_for_Intrusion_Detection_in_Smart_Healthcare_Systems__A_Comparative_Analysis.pdf</t>
  </si>
  <si>
    <t>Koka2024</t>
  </si>
  <si>
    <t>An Enhanced Framework to Mitigate Post-Installation Cyber Attacks on Android Apps</t>
  </si>
  <si>
    <t>Engineering, Technology &amp; Applied Science Research</t>
  </si>
  <si>
    <t>10.48084/etasr.7467</t>
  </si>
  <si>
    <t>2024_10.48084_etasr.7467_An_Enhanced_Framework_to_Mitigate_Post-Installation_Cyber_Attacks_on_Android_Apps.pdf</t>
  </si>
  <si>
    <t>Korsipati2025_MultiResolution_TransferLearning</t>
  </si>
  <si>
    <t>Multi-resolution transfer learning for tampered image classification using SE-enhanced fused-MBConv and optimized CNN heads</t>
  </si>
  <si>
    <t>10.1038/s41598-025-17799-0</t>
  </si>
  <si>
    <t>2025_10_1038_s41598_025_17799_0_multi_resolution_transfer_learning_for_tampered_image_classification_using_se_en.pdf</t>
  </si>
  <si>
    <t>Wu et al. 2014</t>
  </si>
  <si>
    <t>Application Research on Retrospective Analysis System in Network Intrusion Detection</t>
  </si>
  <si>
    <t>2014 Tenth International Conference on Computational Intelligence and Security</t>
  </si>
  <si>
    <t>10.1109/CIS.2014.133</t>
  </si>
  <si>
    <t>2015_10.1109_cis.2014.133_Application_research_on_retrospective_analysis_system_in_network_intrusion_detection.pdf</t>
  </si>
  <si>
    <t>Tang_et_al_2023</t>
  </si>
  <si>
    <t>PE-FedAvg: A Privacy-Enhanced Federated Learning for Distributed Android Malware Detection</t>
  </si>
  <si>
    <t>ISPA/BDCloud/SocialCom/SustainCom</t>
  </si>
  <si>
    <t>10.1109/ISPA-BDCloud-SocialCom-SustainCom59178.2023.00094</t>
  </si>
  <si>
    <t>2023_10.1109_airosip58759.2023.10873912_Smart_Closed-Loop_Jamming_System.pdf</t>
  </si>
  <si>
    <t>Jing2024</t>
  </si>
  <si>
    <t>An Authentication Mechanism Based on Zero Trust With Radio Frequency Fingerprinting for Internet of Things Networks</t>
  </si>
  <si>
    <t>10.1109/JIOT.2024.3385989</t>
  </si>
  <si>
    <t>2024_10.1109_jiot.2024.3385989_An_Authentication_Mechanism_Based_on_Zero_Trust_With_Radio_Frequency_Fingerprint_for_Internet_of_Things_Networ.pdf</t>
  </si>
  <si>
    <t>Li2017_AndroidDataLeakage</t>
  </si>
  <si>
    <t>Data Leakage Between C/S Communication: A Case Study on Android Music App</t>
  </si>
  <si>
    <t>IEEE</t>
  </si>
  <si>
    <t>10.1109/IAEAC.2017.8054452</t>
  </si>
  <si>
    <t>2017_10.1109_wcsp.2017.8170908_Data_leakage_between_C_S_communication__A_case_study_on_Android_music_app.pdf</t>
  </si>
  <si>
    <t>Herlambang2025_FL_IoT</t>
  </si>
  <si>
    <t>Federated Learning Approaches for IoT Intrusion Detection Based on FedAvg and FedProx on IID and Non-IID Data</t>
  </si>
  <si>
    <t>2025 International Conference on Information and Communication Technology (ICoICT)</t>
  </si>
  <si>
    <t>10.1109/ICoICT66265.2025.11192987</t>
  </si>
  <si>
    <t>2025_10.1109_icoict66265.2025.11192987_Federated_Learning_Approaches_for_IoT_Intrusion_Detection_Based_on_FedAvg_and_FedProx_on_IID_and_Non-IID_Data.pdf</t>
  </si>
  <si>
    <t>Hunt_2013</t>
  </si>
  <si>
    <t>Security Testing in Android Networks – A Practical Case Study</t>
  </si>
  <si>
    <t>IEEE International Conference on Networks (ICON)</t>
  </si>
  <si>
    <t>10.1109/ICON.2013.6781977</t>
  </si>
  <si>
    <t>2013_10.1109_icon.2013.6781950_Security_testing_in_Android_networks_-_A_practical_case_study.pdf</t>
  </si>
  <si>
    <t>978-93-80544-51-9</t>
  </si>
  <si>
    <t>A DNA-based Authentication System for Securing Cloud Data Storage and Transactions</t>
  </si>
  <si>
    <t>2024 11th International Conference on Computing for Sustainable Global Development (INDIACom)</t>
  </si>
  <si>
    <t>2024_10.23919_indiacom61295.2024.10499164_A_DNA-based_Authentication_System_for_Securing_Cloud_Data_Storage_and_Transactions.pdf</t>
  </si>
  <si>
    <t>Hamid et al. (2019)</t>
  </si>
  <si>
    <t>OTPAF: A Security Requirement Conceptual Model of SaaS for Malaysian Government based on Common Criteria</t>
  </si>
  <si>
    <t>2019 International Conference on Electrical Engineering and Informatics (ICEEI)</t>
  </si>
  <si>
    <t>2019_10.1109_iceei47359.2019.8988832_OTPAF__A_Security_Requirement_Conceptual_Model_of_SaaS_for_Malaysian_Government_based_on_Common_Criteria.pdf</t>
  </si>
  <si>
    <t>Bracciale2024</t>
  </si>
  <si>
    <t>In Plain Sight: A Pragmatic Exploration of the Italian Medical Landscape (In)security</t>
  </si>
  <si>
    <t>ITASEC 2024: The Italian Conference on CyberSecurity</t>
  </si>
  <si>
    <t>2024_In_Plain_Sight__A_Pragmatic_Exploration_of_the_Italian_Medical_Landscape_(In)security.pdf.pdf</t>
  </si>
  <si>
    <t>Karras_2025</t>
  </si>
  <si>
    <t>LLMs for Cybersecurity in the Big Data Era: A Comprehensive Review of Applications, Challenges, and Future Directions</t>
  </si>
  <si>
    <t>Information (MDPI)</t>
  </si>
  <si>
    <t>10.3390/info16110957</t>
  </si>
  <si>
    <t>2025_10_3390_info16110957_llms_for_cybersecurity_in_the_big_data_era_a_comprehensive_review_of_applications_challe.pdf</t>
  </si>
  <si>
    <t>Zannat et al. (2026)</t>
  </si>
  <si>
    <t>ASTRID-Net: SE-enhanced triple attention deep learning framework for IoT and IIoT security</t>
  </si>
  <si>
    <t>10.1038/s41598-026-36731-8</t>
  </si>
  <si>
    <t>2010_CollSec_2010_-_2010_Workshop_on_Collaborative_Methods_for_Security_and_Privacy.pdf</t>
  </si>
  <si>
    <t>Velinov2019</t>
  </si>
  <si>
    <t>Covert Channels in the MQTT-Based Internet of Things</t>
  </si>
  <si>
    <t>10.1109/ACCESS.2019.2951425</t>
  </si>
  <si>
    <t>2019_10_1109_access_2019_2951425_covert_channels_in_the_mqtt_based_internet_of_things.pdf</t>
  </si>
  <si>
    <t>Achar2022</t>
  </si>
  <si>
    <t>Data Leakage in Android and Anomaly Based Intrusion Detection and Prevention System</t>
  </si>
  <si>
    <t>2022 2nd Asian Conference on Innovation in Technology (ASIANCON)</t>
  </si>
  <si>
    <t>10.1109/ASIANCON55314.2022.9909471</t>
  </si>
  <si>
    <t>2022_10.1109_asiancon55314.2022.9909471_Data_Leakage_in_Android_and_Anomaly_Based_Intrusion_Detection_and_Prevention_System.pdf</t>
  </si>
  <si>
    <t>2540011</t>
  </si>
  <si>
    <t>A Hybrid BiLSTM-Attention and Homomorphic Encryption Framework for Privacy-Preserving Threat Detection in Cloud Computing Environments</t>
  </si>
  <si>
    <t>SPIN</t>
  </si>
  <si>
    <t>10.1142/S2010324725400119</t>
  </si>
  <si>
    <t>2025_10.1142_s2010324725400119_A_Hybrid_BiLSTM-Attention_and_Homomorphic_Encryption_Framework_for_Privacy-Preserving_Threat_Detection_in_Clou.pdf</t>
  </si>
  <si>
    <t>2025_10_3991_ijep_v15i4_53127_integration_of_cybersecurity_into_computer_science_teachers_training_a_systema.pdf</t>
  </si>
  <si>
    <t>10.20473/mi.v7i3.55931</t>
  </si>
  <si>
    <t>Data Leakage of the Indonesian Elections Commission in Legal Aspects of Personal Data Protection</t>
  </si>
  <si>
    <t>Media Iuris</t>
  </si>
  <si>
    <t>2024_10_20473_mi_v7i3_55931_data_leakage_of_the_indonesian_elections_commission_in_legal_aspects_of_personal.pdf</t>
  </si>
  <si>
    <t>Nixon et al.</t>
  </si>
  <si>
    <t>Practical Application of Machine Learning based Online Intrusion Detection to Internet of Things Networks</t>
  </si>
  <si>
    <t>2019_10_1109_gciot47977_2019_9058410_practical_application_of_machine_learning_based_online_intrusion_detection_to_internet_of.pdf</t>
  </si>
  <si>
    <t>Maniriho et al. 2024</t>
  </si>
  <si>
    <t>MeMalDet: A memory analysis-based malware detection framework using deep autoencoders and stacked ensemble under temporal evaluations</t>
  </si>
  <si>
    <t>10.1016/j.cose.2024.103864</t>
  </si>
  <si>
    <t>2024_10.1016_j.cose.2024.103864_MeMalDet__A_memory_analysis-based_malware_detection_framework_using_deep_autoencoders_and_stacked_ensemble_und.pdf</t>
  </si>
  <si>
    <t>Nigar_2025</t>
  </si>
  <si>
    <t>Enhanced Intrusion Detection via Hybrid Data Resampling and Feature Optimization</t>
  </si>
  <si>
    <t>10.1109/ACCESS.2025.3602562</t>
  </si>
  <si>
    <t>2025_10.1109_access.2025.3602562_Enhanced_Intrusion_Detection_via_Hybrid_Data_Resampling_and_Feature_Optimization.pdf</t>
  </si>
  <si>
    <t>Rashid et al. (2022)</t>
  </si>
  <si>
    <t>Adversarial training for deep learning-based cyberattack detection in IoT-based smart city applications</t>
  </si>
  <si>
    <t>10.1016/j.cose.2022.102783</t>
  </si>
  <si>
    <t>2022_10.1016_j.cose.2022.102783_Adversarial_training_for_deep_learning-based_cyberattack_detection_in_IoT-based_smart_city_applications.pdf</t>
  </si>
  <si>
    <t>Bidmeshki et al. (2021)</t>
  </si>
  <si>
    <t>Proof-Carrying Hardware-Based Information Flow Tracking in Analog/Mixed-Signal Designs</t>
  </si>
  <si>
    <t>IEEE JOURNAL ON EMERGING AND SELECTED TOPICS IN CIRCUITS AND SYSTEMS</t>
  </si>
  <si>
    <t>10.1109/JETCAS.2021.3075098</t>
  </si>
  <si>
    <t>2021_10.1109_jetcas.2021.3075098_Proof-Carrying_Hardware-Based_Information_Flow_Tracking_in_Analog_Mixed-Signal_Designs.pdf</t>
  </si>
  <si>
    <t>Randezvous_ACSAC22</t>
  </si>
  <si>
    <t>Randezvous: Making Randomization Effective on MCUs</t>
  </si>
  <si>
    <t>ACSAC '22</t>
  </si>
  <si>
    <t>10.1145/3564625.3567970</t>
  </si>
  <si>
    <t>2022_10.1145_3564625.3567970_Randezvous__Making_Randomization_Effective_on_MCUs.pdf</t>
  </si>
  <si>
    <t>Gaharwar2019_AndroidIDS</t>
  </si>
  <si>
    <t>2020_10.1109_iceee49618.2020.9102516_The_Techniques_of_Securing_Imaging_Data_in_Medical_System.pdf</t>
  </si>
  <si>
    <t>Tian et al. (2016)</t>
  </si>
  <si>
    <t>ProvUSB: Block-level Provenance-Based Data Protection for USB Storage Devices</t>
  </si>
  <si>
    <t>CCS'16</t>
  </si>
  <si>
    <t>10.1145/2976749.2978398</t>
  </si>
  <si>
    <t>2016_10.1145_2976749.2978398_ProvUSB__Block-level_provenance-based_data_protection_for_USB_storage_devices.pdf</t>
  </si>
  <si>
    <t>Gugelmann2015_DLP</t>
  </si>
  <si>
    <t>Can Content-Based Data Loss Prevention Solutions Prevent Data Leakage in Web Traffic?</t>
  </si>
  <si>
    <t>IEEE Security &amp; Privacy</t>
  </si>
  <si>
    <t>10.1109/MSP.2015.71</t>
  </si>
  <si>
    <t>2015_10.1109_msp.2015.88_Can_Content-Based_Data_Loss_Prevention_Solutions_Prevent_Data_Leakage_in_Web_Traffic_.pdf</t>
  </si>
  <si>
    <t>IEEE_GCAT_2023_Sidhu</t>
  </si>
  <si>
    <t>Exploring Advanced Model Optimization Strategies for Network Intrusion Detection in cloud computing</t>
  </si>
  <si>
    <t>2023 4th IEEE Global Conference for Advancement in Technology (GCAT)</t>
  </si>
  <si>
    <t>10.1109/GCAT59970.2023.10353244</t>
  </si>
  <si>
    <t>2023_10.1109_gcat59970.2023.10353244_Exploring_Advanced_Model_Optimization_Strategies_for_Network_Intrusion_Detection_in_cloud_computing.pdf</t>
  </si>
  <si>
    <t>Marchang_2022_AMRSys</t>
  </si>
  <si>
    <t>Assistive Multimodal Robotic System (AMRSys): Security and Privacy Issues, Challenges, and Possible Solutions</t>
  </si>
  <si>
    <t>10.3390/app12042174</t>
  </si>
  <si>
    <t>2022_10_3390_app12042174_assistive_multimodal_robotic_system_amrsys_security_and_privacy_issues_challenges_and.pdf</t>
  </si>
  <si>
    <t>Mamidi et al. (2024)</t>
  </si>
  <si>
    <t>Investigation of cyber attacks using post-installation app detection method</t>
  </si>
  <si>
    <t>Cogent Engineering</t>
  </si>
  <si>
    <t>10.1080/23311916.2024.2411859</t>
  </si>
  <si>
    <t>2024_10.1080_23311916.2024.2411859_Investigation_of_cyber_attacks_using_post-installation_app_detection_method.pdf</t>
  </si>
  <si>
    <t>Akter et al. (2022)</t>
  </si>
  <si>
    <t>Feature Engineering-Based Detection of Buffer Overflow Vulnerability in Source Code Using Neural Networks</t>
  </si>
  <si>
    <t>2023_10_1109_compsac57700_2023_00106_feature_engineering_based_detection_of_buffer_overflow_vulnerability_in_source_code_using.pdf</t>
  </si>
  <si>
    <t>ALTUNCU2021</t>
  </si>
  <si>
    <t>Deep Learning Based DNS Tunneling Detection and Blocking System</t>
  </si>
  <si>
    <t>Advances in Electrical and Computer Engineering</t>
  </si>
  <si>
    <t>10.4316/AECE.2021.03005</t>
  </si>
  <si>
    <t>2021_10.4316_aece.2021.03005_Deep_Learning_Based_DNS_Tunneling_Detection_and_Blocking_System.pdf</t>
  </si>
  <si>
    <t>Chen et al. (2022)</t>
  </si>
  <si>
    <t>Privacy-preserving knowledge transfer for intrusion detection with federated deep autoencoding gaussian mixture model</t>
  </si>
  <si>
    <t>Information Sciences</t>
  </si>
  <si>
    <t>10.1016/j.ins.2022.07.104</t>
  </si>
  <si>
    <t>2022_10.1016_j.ins.2022.07.104_Privacy-preserving_knowledge_transfer_for_intrusion_detection_with_federated_deep_autoencoding_gaussian_mixtur.pdf</t>
  </si>
  <si>
    <t>FICConvNet</t>
  </si>
  <si>
    <t>FICConvNet: A Privacy-Preserving Framework for Malware Detection Using CKKS Homomorphic Encryption</t>
  </si>
  <si>
    <t>10.3390/electronics14101982</t>
  </si>
  <si>
    <t>2025_10_3390_electronics14101982_ficconvnet_a_privacy_preserving_framework_for_malware_detection_using_ckks_homomorphic_en.pdf</t>
  </si>
  <si>
    <t>Preventive portfolio against data-selling ransomware—A game theory of encryption and deception</t>
  </si>
  <si>
    <t>10.1016/j.cose.2022.102644</t>
  </si>
  <si>
    <t>2022_10.1016_j.cose.2022.102644_Preventive_portfolio_against_data-selling_ransomware—A_game_theory_of_encryption_and_deception.pdf</t>
  </si>
  <si>
    <t>Munusamy et al. (2025)</t>
  </si>
  <si>
    <t>Secure IoMT Networks: A Federated Learning Approach to Intrusion Detection with Ensemble Voting Classifier</t>
  </si>
  <si>
    <t>2025 4th International Conference on Sensors and Related Networks (SENNET)</t>
  </si>
  <si>
    <t>10.1109/SENNET64220.2025.11135967</t>
  </si>
  <si>
    <t>2025_10.1109_sennet64220.2025.11135967_Secure_IoMT_Networks__A_Federated_Learning_Approach_to_Intrusion_Detection_with_Ensemble_Voting_Classifier.pdf</t>
  </si>
  <si>
    <t>Chen_2023_Microprocessors</t>
  </si>
  <si>
    <t>Empirical study on security verification and assessment of neural network accelerator</t>
  </si>
  <si>
    <t>Microprocessors and Microsystems</t>
  </si>
  <si>
    <t>10.1016/j.micpro.2023.104845</t>
  </si>
  <si>
    <t>2023_10.1016_j.micpro.2023.104845_Empirical_study_on_security_verification_and_assessment_of_neural_network_accelerator.pdf</t>
  </si>
  <si>
    <t>Le_Alsmadi_2026</t>
  </si>
  <si>
    <t>Intrusion Detection for Internet of Vehicles CAN Bus Communications Using Machine Learning: An Empirical Study on the CICIoV2024 Dataset</t>
  </si>
  <si>
    <t>10.3390/fi18010042</t>
  </si>
  <si>
    <t>2026_10_3390_fi18010042_intrusion_detection_for_internet_of_vehicles_can_bus_communications_using_machine_learning.pdf</t>
  </si>
  <si>
    <t>10.34190/EWS.20.004</t>
  </si>
  <si>
    <t>Mitigating Insider Threats: A Case Study of Data Leak Prevention</t>
  </si>
  <si>
    <t>EWS (European Conference on Cyber Warfare and Security)</t>
  </si>
  <si>
    <t>2020_10.34190_ews.20.004_Mitigating_insider_threats__A_case_study_of_data_leak_prevention.pdf</t>
  </si>
  <si>
    <t>Schulze_2016_RECORD</t>
  </si>
  <si>
    <t>RECORD: Temporarily Randomized Encoding of Combinational Logic for Resistance to Data Leakage from Hardware Trojan</t>
  </si>
  <si>
    <t>978-1-5090-5701-6/16/$31.00</t>
  </si>
  <si>
    <t>2017_10.1109_asianhost.2016.7835566_RECORD__Temporarily_randomized_encoding_of_combinational_logic_for_resistance_to_data_leakage_from_hardware_Tr.pdf</t>
  </si>
  <si>
    <t>Bamashmoos_2026</t>
  </si>
  <si>
    <t>Adaptive Privacy-Preserving Insider Threat Detection Using Generative Sequence Models</t>
  </si>
  <si>
    <t>10.3390/fi18010011</t>
  </si>
  <si>
    <t>2026_10.3390_fi18010011_Adaptive_Privacy-Preserving_Insider_Threat_Detection_Using_Generative_Sequence_Models.pdf</t>
  </si>
  <si>
    <t>Wen_2014_FVisor</t>
  </si>
  <si>
    <t>FVisor: Towards Thwarting Unauthorized File Accesses with A Light-weight Hypervisor</t>
  </si>
  <si>
    <t>2014 IEEE 17th International Conference on Computational Science and Engineering</t>
  </si>
  <si>
    <t>10.1109/CSE.2014.136</t>
  </si>
  <si>
    <t>2015_10.1109_cse.2014.136_Fvisor__Towards_thwarting_unauthorized_file_accesses_with_a_light-weght_hypervisor.pdf</t>
  </si>
  <si>
    <t>Wang et al. (2023)</t>
  </si>
  <si>
    <t>Online automated machine learning for class imbalanced data streams</t>
  </si>
  <si>
    <t>International Joint Conference on Neural Networks (IJCNN)</t>
  </si>
  <si>
    <t>10.1109/IJCNN54540.2023.10191926</t>
  </si>
  <si>
    <t>2023_10_1109_ijcnn54540_2023_10191926_online_automated_machine_learning_for_class_imbalanced_data_streams.pdf</t>
  </si>
  <si>
    <t>Priya2025</t>
  </si>
  <si>
    <t>Ensemble framework for concept drift detection and class imbalance in data streams</t>
  </si>
  <si>
    <t>10.1007/s11042-024-18349-y</t>
  </si>
  <si>
    <t>2025_10.1007_s11042-024-18349-y_Ensemble_framework_for_concept_drift_detection_and_class_imbalance_in_data_streams.pdf</t>
  </si>
  <si>
    <t>Walter_2024_FutureInternet</t>
  </si>
  <si>
    <t>Design and Evaluation of Steganographic Channels in Fifth-Generation New Radio</t>
  </si>
  <si>
    <t>Future Internet 2024, 16, 410</t>
  </si>
  <si>
    <t>10.3390/fi16110410</t>
  </si>
  <si>
    <t>2024_10_3390_fi16110410_design_and_evaluation_of_steganographic_channels_in_fifth_generation_new_radio.pdf</t>
  </si>
  <si>
    <t>DAVAST: data-centric system level activity visualization</t>
  </si>
  <si>
    <t>VizSec '14</t>
  </si>
  <si>
    <t>10.1145/2671491.2671499</t>
  </si>
  <si>
    <t>2014_10.1145_2671491.2671499_DAVAST__Data-centric_system_level_activity_visualization.pdf</t>
  </si>
  <si>
    <t>FederatedLearningIDS_2023</t>
  </si>
  <si>
    <t>Federated Learning-Based Intrusion Detection System for IoT Environments with Locally Adapted Model</t>
  </si>
  <si>
    <t>2023 IEEE 10th International Conference on Cyber Security and Cloud Computing (CSCloud)/2023 IEEE 9th International Conference on Edge Computing and Scalable Cloud (EdgeCom)</t>
  </si>
  <si>
    <t>10.1109/CSCloud-EdgeCom58631.2023.00043</t>
  </si>
  <si>
    <t>2023_10.1109_cscloud-edgecom58631.2023.00043_Federated_Learning-Based_Intrusion_Detection_System_for_IoT_Environments_with_Locally_Adapted_Model.pdf</t>
  </si>
  <si>
    <t>Munaye_et_al_2024</t>
  </si>
  <si>
    <t>Long Short-Term Memory and Synthetic Minority Over Sampling Technique-Based Network Traffic Classification</t>
  </si>
  <si>
    <t>2024 International Conference on Information and Communication Technology for Development for Africa (ICT4DA)</t>
  </si>
  <si>
    <t>10.1109/ICT4DA62874.2024.10777078</t>
  </si>
  <si>
    <t>2024_10.1109_ict4da62874.2024.10777078_Long_Short-Term_Memory_and_Synthetic_Minority_Over_Sampling_Technique-Based_Network_Traffic_Classification.pdf</t>
  </si>
  <si>
    <t>10.1109/COSITE60233.2023.10249650</t>
  </si>
  <si>
    <t>Evaluation of CyPACH: A Cyber Privacy Advisor Chatbot</t>
  </si>
  <si>
    <t>2023 2nd International Conference on Computer System, Information Technology, and Electrical Engineering (COSITE)</t>
  </si>
  <si>
    <t>2023_10.1109_cosite60233.2023.10249650_Evaluation_of_CyPACH__A_Cyber_Privacy_Advisor_Chatbot.pdf</t>
  </si>
  <si>
    <t>Demo Abstract: A Distributed Power Side-channel Auditing System for Online IoT Intrusion Detection</t>
  </si>
  <si>
    <t>2022 21st ACM/IEEE International Conference on Information Processing in Sensor Networks (IPSN)</t>
  </si>
  <si>
    <t>10.1109/IPSN54338.2022.00055</t>
  </si>
  <si>
    <t>2022_10.1109_ipsn54338.2022.00055_Demo_Abstract__A_Distributed_Power_Side-channel_Auditing_System_for_Online_loT_Intrusion_Detection.pdf</t>
  </si>
  <si>
    <t>Bouke_2024</t>
  </si>
  <si>
    <t>An empirical assessment of ML models for 5G network intrusion detection: A data leakage-free approach</t>
  </si>
  <si>
    <t>e-Prime - Advances in Electrical Engineering, Electronics and Energy</t>
  </si>
  <si>
    <t>10.1016/j.prime.2024.100590</t>
  </si>
  <si>
    <t>2024_10.1016_j.prime.2024.100590_An_empirical_assessment_of_ML_models_for_5G_network_intrusion_detection__A_data_leakage-free_approach.pdf</t>
  </si>
  <si>
    <t>Canim_2010</t>
  </si>
  <si>
    <t>Building Disclosure Risk Aware Query Optimizers for Relational Databases</t>
  </si>
  <si>
    <t>Proceedings of the VLDB Endowment, Vol. 3, No. 1</t>
  </si>
  <si>
    <t>2010_10_14778_1920841_1920849_building_disclosure_risk_aware_query_optimizers_for_relational_databases.pdf</t>
  </si>
  <si>
    <t>10.1109/TCSS.2025.3642006</t>
  </si>
  <si>
    <t>A Verifiable Federated Learning Mechanism for Digital Museum Collection Based on Homomorphic Proxy Re-Authentication Technology</t>
  </si>
  <si>
    <t>IEEE TRANSACTIONS ON COMPUTATIONAL SOCIAL SYSTEMS</t>
  </si>
  <si>
    <t>2026_10.1109_tcss.2025.3642006_A_Verifiable_Federated_Learning_Mechanism_for_Digital_Museum_Collection_Based_on_Homomorphic_Proxy_Re-Authenti.pdf</t>
  </si>
  <si>
    <t>Ye_et_al_2025</t>
  </si>
  <si>
    <t>GDT-IDS: graph-based decision tree intrusion detection system for controller area network</t>
  </si>
  <si>
    <t>The Journal of Supercomputing</t>
  </si>
  <si>
    <t>10.1007/s11227-025-07116-x</t>
  </si>
  <si>
    <t>2025_10.1007_s11227-025-07116-x_GDT-IDS__graph-based_decision_tree_intrusion_detection_system_for_controller_area_network.pdf.pdf</t>
  </si>
  <si>
    <t>Koch_2011</t>
  </si>
  <si>
    <t>Towards Next-Generation Intrusion Detection</t>
  </si>
  <si>
    <t>2011</t>
  </si>
  <si>
    <t>3rd International Conference on Cyber Conflict</t>
  </si>
  <si>
    <t>2011_Towards_next-generation_intrusion_detection.pdf</t>
  </si>
  <si>
    <t>Fortified_NoC_2022</t>
  </si>
  <si>
    <t>Fortified-NoC: A Robust Approach for Trojan-Resilient Network-on-Chips to Fortify Multicore-Based Consumer Electronics</t>
  </si>
  <si>
    <t>IEEE TRANSACTIONS ON CONSUMER ELECTRONICS</t>
  </si>
  <si>
    <t>10.1109/TCE.2021.3129155</t>
  </si>
  <si>
    <t>2022_10.1109_tce.2021.3129155_Fortified-NoC__A_Robust_Approach_for_Trojan-Resilient_Network-on-Chips_to_Fortify_Multicore-Based_Consumer_Ele.pdf</t>
  </si>
  <si>
    <t>Lubensky2016</t>
  </si>
  <si>
    <t>Cognitive mobile security: invited conference keynote</t>
  </si>
  <si>
    <t>MOBILESoft '16: Proceedings of the International Conference on Mobile Software Engineering and Systems</t>
  </si>
  <si>
    <t>10.1145/2897073.2897077</t>
  </si>
  <si>
    <t>2016_10.1145_2897073.2897077_Cognitive_mobile_security.pdf</t>
  </si>
  <si>
    <t>ICOA_2025_11236897</t>
  </si>
  <si>
    <t>Federated Learning for Privacy-Preserving Intrusion Detection in IoT using Edge and Cloud Infrastructure</t>
  </si>
  <si>
    <t>2025 11th International Conference on Optimization and Applications (ICOA)</t>
  </si>
  <si>
    <t>10.1109/ICOA66896.2025.11236897</t>
  </si>
  <si>
    <t>Moderate</t>
  </si>
  <si>
    <t>2025_10.1109_icoa66896.2025.11236897_Federated_Learning_for_Privacy-Preserving_Intrusion_Detection_in_IoT_using_Edge_and_Cloud_Infrastructure.pdf</t>
  </si>
  <si>
    <t>QRS.2018.00029</t>
  </si>
  <si>
    <t>Hypervisor-based Sensitive Data Leakage Detector</t>
  </si>
  <si>
    <t>2018 IEEE International Conference on Software Quality, Reliability and Security</t>
  </si>
  <si>
    <t>10.1109/QRS.2018.00029</t>
  </si>
  <si>
    <t>2018_10.1109_qrs.2018.00029_Hypervisor-based_sensitive_data_leakage_detector.pdf</t>
  </si>
  <si>
    <t>Patil_et_al_2022</t>
  </si>
  <si>
    <t>Data Leakage Detection in Cloud Computing Environment Using Classification Based on Deep Learning Architectures</t>
  </si>
  <si>
    <t>International Journal of Intelligent Systems and Applications in Engineering</t>
  </si>
  <si>
    <t>2022_Data_Leakage_Detection_in_Cloud_Computing_Environment_Using_Classification_Based_on_Deep_Learning_Architecture.pdf</t>
  </si>
  <si>
    <t>Guo_2023_SMC</t>
  </si>
  <si>
    <t>A New Federated Learning Model for Host Intrusion Detection System under Non-IID Data</t>
  </si>
  <si>
    <t>2023 IEEE International Conference on Systems, Man, and Cybernetics (SMC)</t>
  </si>
  <si>
    <t>10.1109/SMC53992.2023.10393972</t>
  </si>
  <si>
    <t>2023_10.1109_smc53992.2023.10393972_A_New_Federated_Learning_Model_for_Host_Intrusion_Detection_System_Under_Non-IID_Data.pdf</t>
  </si>
  <si>
    <t>Flood_Keane_2012_APS</t>
  </si>
  <si>
    <t>A PROPOSED FRAMEWORK FOR THE ACTIVE DETECTION OF SECURITY VULNERABILITIES IN MULTI-TENANCY CLOUD SYSTEMS</t>
  </si>
  <si>
    <t>2012 Third International Conference on Emerging Intelligent Data and Web Technologies</t>
  </si>
  <si>
    <t>10.1109/EIDWT.2012.43</t>
  </si>
  <si>
    <t>2012_10.1109_eidwt.2012.43_A_proposed_framework_for_the_active_detection_of_security_vulnerabilities_in_multi-tenancy_cloud_systems.pdf</t>
  </si>
  <si>
    <t>arXiv:1803.05542v1</t>
  </si>
  <si>
    <t>A Game-Theoretic Framework for the Virtual Machines Migration Timing Problem</t>
  </si>
  <si>
    <t>2021_10_1109_tcc_2019_2905605_a_game_theoretic_framework_for_the_virtual_machines_migration_timing_problem.pdf</t>
  </si>
  <si>
    <t>jcp5040092</t>
  </si>
  <si>
    <t>Hashing in the Fight Against CSAM: Technology at the Crossroads of Law and Ethics</t>
  </si>
  <si>
    <t>Journal of Cybersecurity and Privacy</t>
  </si>
  <si>
    <t>10.3390/jcp5040092</t>
  </si>
  <si>
    <t>2025_10_3390_jcp5040092_hashing_in_the_fight_against_csam_technology_at_the_crossroads_of_law_and_ethics.pdf</t>
  </si>
  <si>
    <t>Priya_2023</t>
  </si>
  <si>
    <t>2023_10_1007_s40747_021_00456_0_deep_learning_framework_for_handling_concept_drift_and_class_imbalanced_complex.pdf</t>
  </si>
  <si>
    <t>SCES_2024_Phishing</t>
  </si>
  <si>
    <t>Detecting Deceptive URLs: Exploring Logistic Regression and Decision Tree Models</t>
  </si>
  <si>
    <t>10.1109/SCES61914.2024.10652285</t>
  </si>
  <si>
    <t>2024_10.1109_sces61914.2024.10652285_Detecting_Deceptive_URLs__Exploring_Logistic_Regression_and_Decision_Tree_Models.pdf</t>
  </si>
  <si>
    <t>Bouke2024</t>
  </si>
  <si>
    <t>Towards robust and efficient intrusion detection in IoMT: a deep learning approach addressing data leakage and enhancing model generalizability</t>
  </si>
  <si>
    <t>https://doi.org/10.1007/s11042-024-19916-z</t>
  </si>
  <si>
    <t>2025_10.1007_s11042-024-19916-z_Towards_robust_and_efficient_intrusion_detection_in_IoMT__a_deep_learning_approach_addressing_data_leakage_and.pdf</t>
  </si>
  <si>
    <t>Khan2025</t>
  </si>
  <si>
    <t>2025_10_1007_s43926_025_00185_7_a_feature_level_ensemble_machine_learning_approach_for_attack_detection_in_iot_n.pdf</t>
  </si>
  <si>
    <t>Reddy2025</t>
  </si>
  <si>
    <t>Revolutionary hybrid ensembled deep learning model for accurate and robust side-channel attack detection in cloud computing</t>
  </si>
  <si>
    <t>https://doi.org/10.1038/s41598-025-89794-4</t>
  </si>
  <si>
    <t>2025_10_1038_s41598_025_89794_4_revolutionary_hybrid_ensembled_deep_learning_model_for_accurate_and_robust_side.pdf</t>
  </si>
  <si>
    <t>Wu_et_al_2023</t>
  </si>
  <si>
    <t>ADS-Bchain: A Blockchain-Based Trusted Service Scheme for Automatic Dependent Surveillance Broadcast</t>
  </si>
  <si>
    <t>IEEE TRANSACTIONS ON AEROSPACE AND ELECTRONIC SYSTEMS</t>
  </si>
  <si>
    <t>10.1109/TAES.2023.3306336</t>
  </si>
  <si>
    <t>2023_10.1109_taes.2023.3306336_ADS-Bchain__A_Blockchain-Based_Trusted_Service_Scheme_for_Automatic_Dependent_Surveillance_Broadcast.pdf</t>
  </si>
  <si>
    <t>10.1109/ICICCS65191.2025.10984995</t>
  </si>
  <si>
    <t>SDN based Firewall with Real Time Policy Updates</t>
  </si>
  <si>
    <t>2025 International Conference on Intelligent Computing and Control Systems (ICICCS)</t>
  </si>
  <si>
    <t>2025_10.1109_iciccs65191.2025.10984995_SDN_based_Firewall_with_Real_Time_Policy_Updates.pdf</t>
  </si>
  <si>
    <t>Ndichu_2023</t>
  </si>
  <si>
    <t>AI-Assisted Security Alert Data Analysis with Imbalanced Learning Methods</t>
  </si>
  <si>
    <t>Appl. Sci.</t>
  </si>
  <si>
    <t>10.3390/app13031977</t>
  </si>
  <si>
    <t>2023_10_3390_app13031977_ai_assisted_security_alert_data_analysis_with_imbalanced_learning_methods.pdf</t>
  </si>
  <si>
    <t>Kim_et_al_2014</t>
  </si>
  <si>
    <t>Analysis of mobile malware based on user awareness</t>
  </si>
  <si>
    <t>SIGITE/RIIT 2014</t>
  </si>
  <si>
    <t>10.1145/2656434.2656448</t>
  </si>
  <si>
    <t>2014_10.1145_2656434.2656448_Analysis_of_mobile_malware_based_on_user_awareness.pdf</t>
  </si>
  <si>
    <t>hal-01892397</t>
  </si>
  <si>
    <t>Synaptic: A formal checker for SDN-based security policies</t>
  </si>
  <si>
    <t>NOMS 2018 - IEEE/IFIP Network Operations and Management Symposium</t>
  </si>
  <si>
    <t>10.1109/NOMS.2018.8406122</t>
  </si>
  <si>
    <t>2018_10_1109_noms_2018_8406122_synaptic_a_formal_checker_for_sdn_based_security_policies.pdf</t>
  </si>
  <si>
    <t>Schnepf_2019</t>
  </si>
  <si>
    <t>Automated Factorization of Security Chains in Software-Defined Networks</t>
  </si>
  <si>
    <t>2019 IFIP/IEEE International Symposium on Integrated Network Management (IM2019): Mini-Conference</t>
  </si>
  <si>
    <t>2019_Automated_factorization_of_security_chains_in_software-defined_networks.pdf</t>
  </si>
  <si>
    <t>arXiv:2210.07719v1</t>
  </si>
  <si>
    <t>A Lightweight Moving Target Defense Framework for Multi-purpose Malware Affecting IoT Devices</t>
  </si>
  <si>
    <t>2023_10_1109_icc45041_2023_10278951_a_lightweight_moving_target_defense_framework_for_multi_purpose_malware_affecting_iot_devi.pdf</t>
  </si>
  <si>
    <t>Geetha2022</t>
  </si>
  <si>
    <t>A FKPCA-GWO WDBiLSTM classifier for intrusion detection system in cloud environments</t>
  </si>
  <si>
    <t>Knowledge-Based Systems</t>
  </si>
  <si>
    <t>10.1016/j.knosys.2022.109557</t>
  </si>
  <si>
    <t>2022_10.1016_j.knosys.2022.109557_A_FKPCA-GWO_WDBiLSTM_classifier_for_intrusion_detection_system_in_cloud_environments.pdf</t>
  </si>
  <si>
    <t>Jiang_Globecom_2010</t>
  </si>
  <si>
    <t>Skip Finite Automaton: A Content Scanning Engine to Secure Enterprise Networks</t>
  </si>
  <si>
    <t>IEEE Globecom 2010 proceedings</t>
  </si>
  <si>
    <t>2010_10.1109_glocom.2010.5683165_Skip_finite_automaton__A_content_scanning_engine_to_secure_enterprise_networks.pdf</t>
  </si>
  <si>
    <t>Kao2015</t>
  </si>
  <si>
    <t>A Digital Triage Forensics Framework of Window Malware Forensic Toolkit Based on ISO/IEC 27037:2012</t>
  </si>
  <si>
    <t>The 49th Annual IEEE International Carnahan Conference on Security Technology</t>
  </si>
  <si>
    <t>2016_10.1007_978-981-10-0557-2_68_Android_security_analysis_based_on_inter-application_relationships.pdf</t>
  </si>
  <si>
    <t>Wang2023</t>
  </si>
  <si>
    <t>Federated Learning-based Vehicle Trajectory Prediction against Cyberattacks</t>
  </si>
  <si>
    <t>arXiv / IEEE</t>
  </si>
  <si>
    <t>2023_10_1109_lanman58293_2023_10189424_federated_learning_based_vehicle_trajectory_prediction_against_cyberattacks.pdf</t>
  </si>
  <si>
    <t>Analyzing SocialArks Data Leak - A Brute Force Web Login Attack</t>
  </si>
  <si>
    <t>2022 4th International Conference on Computer Communication and the Internet (ICCCI)</t>
  </si>
  <si>
    <t>10.1109/ICCCI55554.2022.9850265</t>
  </si>
  <si>
    <t>2022_10.1109_iccci55554.2022.9850265_Analyzing_SocialArks_Data_Leak_-_A_Brute_Force_Web_Login_Attack.pdf</t>
  </si>
  <si>
    <t>Unknown</t>
  </si>
  <si>
    <t>Management Challenges in the Implementation of an Email Boundary Control for Data Leakage Prevention</t>
  </si>
  <si>
    <t>2021_10.1049_icp.2021.2407_Management_Challenges_in_the_Implementation_of_an_Email_Boundary_Control_for_Data_Leakage_Prevention.pdf</t>
  </si>
  <si>
    <t>EIJ-2025-100684</t>
  </si>
  <si>
    <t>Towards lightweight model using non-local-based graph convolution neural network for SQL injection detection</t>
  </si>
  <si>
    <t>Egyptian Informatics Journal</t>
  </si>
  <si>
    <t>10.1016/j.eij.2025.100684</t>
  </si>
  <si>
    <t>2025_10.1016_j.eij.2025.100684_Towards_lightweight_model_using_non-local-based_graph_convolution_neural_network_for_SQL_injection_detection.pdf</t>
  </si>
  <si>
    <t>BigDIA_2020_00035</t>
  </si>
  <si>
    <t>Analyzing network traffic for protocol identification: an ensemble online active learning method</t>
  </si>
  <si>
    <t>2020 6th International Conference on Big Data and Information Analytics (BigDIA)</t>
  </si>
  <si>
    <t>10.1109/BigDIA51454.2020.00035</t>
  </si>
  <si>
    <t>2020_10.1109_bigdia51454.2020.00035_Analyzing_network_traffic_for_protocol_identification__An_ensemble_online_active_learning_method.pdf</t>
  </si>
  <si>
    <t>Parkin2016</t>
  </si>
  <si>
    <t>Pragmatic Security: Modelling IT Security Management Responsibilities for SME Archetypes</t>
  </si>
  <si>
    <t>MIST '16: Proceedings of the 8th ACM CCS International Workshop on Managing Insider Security Threats</t>
  </si>
  <si>
    <t>10.1145/2995959.2995967</t>
  </si>
  <si>
    <t>2016_10.1145_2995959.2995967_Pragmatic_security__Modelling_it_security_management_responsibilities_for_SME_archetypes.pdf</t>
  </si>
  <si>
    <t>2023_10_32604_cmes_2023_044169_enhancing_healthcare_data_security_and_disease_detection_using_crossover_based_multilayer.pdf</t>
  </si>
  <si>
    <t>Mohan_et_al_2015</t>
  </si>
  <si>
    <t>Complex Event Processing based Hybrid Intrusion Detection System</t>
  </si>
  <si>
    <t>2015 3rd International Conference on Signal Processing, Communication and Networking (ICSCN)</t>
  </si>
  <si>
    <t>2015_10.1109_icscn.2015.7219827_Complex_Event_Processing_based_Hybrid_Intrusion_Detection_System.pdf</t>
  </si>
  <si>
    <t>Lee_2017</t>
  </si>
  <si>
    <t>The Vulnerability Exploitation Conveying Digital Data Over Mobile Voice Call Channels</t>
  </si>
  <si>
    <t>Wireless Pers Commun</t>
  </si>
  <si>
    <t>10.1007/s11277-017-4229-9</t>
  </si>
  <si>
    <t>2017_10.1007_s11277-017-4229-9_The_Vulnerability_Exploitation_Conveying_Digital_Data_Over_Mobile_Voice_Call_Channels.pdf</t>
  </si>
  <si>
    <t>Gergov_2023</t>
  </si>
  <si>
    <t>Zero-Trust in Instant Messaging</t>
  </si>
  <si>
    <t>2023 International Scientific Conference on Computer Science (COMSCI)</t>
  </si>
  <si>
    <t>10.1109/COMSCI59259.2023.10315901</t>
  </si>
  <si>
    <t>2023_10.1109_comsci59259.2023.10315901_Zero-Trust_in_Instant_Messaging.pdf</t>
  </si>
  <si>
    <t>10.11591/ijai.v14.i6.pp4913-4922</t>
  </si>
  <si>
    <t>Comparative evaluation of machine learning models for intrusion detection in WSNs using the IDSAI dataset</t>
  </si>
  <si>
    <t>IAES International Journal of Artificial Intelligence (IJ-AI)</t>
  </si>
  <si>
    <t>2025_10_11591_ijai_v14_i6_pp4913_4922_comparative_evaluation_of_machine_learning_models_for_intrusion_detection_in_wsns_using_th.pdf</t>
  </si>
  <si>
    <t>ICS-03-2024-0059</t>
  </si>
  <si>
    <t>Data breach announcements: evaluating the content and timing of breach announcements and their effect on firm value</t>
  </si>
  <si>
    <t>Information &amp; Computer Security</t>
  </si>
  <si>
    <t>10.1108/ICS-03-2024-0059</t>
  </si>
  <si>
    <t>2025_10.1108_ics-03-2024-0059_Data_breach_announcements__evaluating_the_content_and_timing_of_breach_announcements_and_their_effect_on_firm_.pdf</t>
  </si>
  <si>
    <t>Ghamri2026</t>
  </si>
  <si>
    <t>Intrusion detection in CAN protocol using novel spatial-temporal deep learning model for secure autonomous vehicles communication</t>
  </si>
  <si>
    <t>Annals of Telecommunications</t>
  </si>
  <si>
    <t>10.1007/s12243-026-01154-z</t>
  </si>
  <si>
    <t>2026_10.1007_s12243-026-01154-z_Intrusion_detection_in_CAN_protocol_using_novel_spatial-temporal_deep_learning_model_for_secure_autonomous_veh.pdf</t>
  </si>
  <si>
    <t>Thalor_Patil_2018</t>
  </si>
  <si>
    <t>PROPAGATION OF MISCLASSIFIED INSTANCES TO HANDLE NONSTATIONARY IMBALANCED DATA STREAM</t>
  </si>
  <si>
    <t>Journal of Engineering Science and Technology</t>
  </si>
  <si>
    <t>2018_Propagation_misclassified_instances_to_handle_nonstationary_imbalanced_data_stream.pdf</t>
  </si>
  <si>
    <t>10.1109/496.2016</t>
  </si>
  <si>
    <t>A Hybrid Analysis for Mobile Security Threat Detection</t>
  </si>
  <si>
    <t>2016_10.1109_uemcon.2016.7777821_A_hybrid_analysis_for_mobile_security_threat_detection.pdf</t>
  </si>
  <si>
    <t>10.1155/2017/7397812</t>
  </si>
  <si>
    <t>Selecting Critical Data Flows in Android Applications for Abnormal Behavior Detection</t>
  </si>
  <si>
    <t>Mobile Information Systems</t>
  </si>
  <si>
    <t>2017_10.1155_2017_7397812_Selecting_Critical_Data_Flows_in_Android_Applications_for_Abnormal_Behavior_Detection.pdf</t>
  </si>
  <si>
    <t>Bensalem_2022</t>
  </si>
  <si>
    <t>A NOVEL AND EFFICIENT SEQUENTIAL LEARNING-BASED MALWARE CLASSIFICATION MODEL</t>
  </si>
  <si>
    <t>2022 19th International Computer Conference on Wavelet Active Media Technology and Information Processing (ICCWAMTIP)</t>
  </si>
  <si>
    <t>10.1109/ICCWAMTIP56608.2022.10016605</t>
  </si>
  <si>
    <t>2022_10.1109_iccwamtip56608.2022.10016605_A_Novel_and_Efficient_Sequential_Learning-Based_Malware_Classification_Model.pdf</t>
  </si>
  <si>
    <t>Lubis_2026_Comparative</t>
  </si>
  <si>
    <t>A COMPARATIVE STUDY OF PIPELINE-VALIDATED MACHINE LEARNING CLASSIFIERS FOR PERMISSION-BASED ANDROID MALWARE DETECTION</t>
  </si>
  <si>
    <t>BAREKENG: Journal of Mathematics and Its Applications</t>
  </si>
  <si>
    <t>https://doi.org/10.30598/barekengvol20iss2pp1675-1692</t>
  </si>
  <si>
    <t>2026_10_30598_barekengvol20iss2pp1675_1692_a_comparative_study_of_pipeline_validated_machine_learning_classifiers_for_permission_base.pdf</t>
  </si>
  <si>
    <t>Yorkman_2025</t>
  </si>
  <si>
    <t>Cybersecurity Challenges and Mitigations for LLMs in DoD Applications</t>
  </si>
  <si>
    <t>The Proceedings of the 24th European Conference on Cyber Warfare and Security, ECCWS 2025</t>
  </si>
  <si>
    <t>2025_10_34190_eccws_24_1_3542_cybersecurity_challenges_and_mitigations_for_llms_in_dod_applications.pdf</t>
  </si>
  <si>
    <t>arXiv:2310.05956v1</t>
  </si>
  <si>
    <t>Efficient Network Representation for GNN-based Intrusion Detection</t>
  </si>
  <si>
    <t>10.48550/arXiv.2310.05956</t>
  </si>
  <si>
    <t>2023_10_1007_978_3_031_33488_7_20_efficient_network_representation_for_gnn_based_intrusion_detection.pdf</t>
  </si>
  <si>
    <t>Korsipati_2025</t>
  </si>
  <si>
    <t>2025_10_1038_s41598_025_17799_0_multi_resolution_transfer_learning_for_tampered_image_classification_using_se_enhanced_fus.pdf</t>
  </si>
  <si>
    <t>Wu_et_al_2016</t>
  </si>
  <si>
    <t>Effective detection of android malware based on the usage of data flow APIs and machine learning</t>
  </si>
  <si>
    <t>Information and Software Technology</t>
  </si>
  <si>
    <t>10.1016/j.infsof.2016.03.004</t>
  </si>
  <si>
    <t>2016_10.1016_j.infsof.2016.03.004_Effective_detection_of_android_malware_based_on_the_usage_of_data_flow_APIs_and_machine_learning.pdf</t>
  </si>
  <si>
    <t>Majid_et_al_2023</t>
  </si>
  <si>
    <t>Managing Security Hazards in BYOD: A Comparative Analysis of Artificial Intelligent Techniques</t>
  </si>
  <si>
    <t>2023 International Conference on Electrical Engineering and Informatics (ICEEI)</t>
  </si>
  <si>
    <t>10.1109/ICEEI59426.2023.10346644</t>
  </si>
  <si>
    <t>2023_10.1109_iceei59426.2023.10346644_Managing_Security_Hazards_in_BYOD__A_Comparative_Analysis_of_Artificial_Intelligent_Techniques.pdf</t>
  </si>
  <si>
    <t>10.1145/3577923.3583650</t>
  </si>
  <si>
    <t>Infotainment System Matters: Understanding the Impact and Implications of In-Vehicle Infotainment System Hacking with Automotive Grade Linux</t>
  </si>
  <si>
    <t>CODASPY '23</t>
  </si>
  <si>
    <t>2023_10.1145_3577923.3583650_Infotainment_System_Matters__Understanding_the_Impact_and_Implications_of_In-Vehicle_Infotainment_System_Hacki.pdf</t>
  </si>
  <si>
    <t>El-Hajj_2024</t>
  </si>
  <si>
    <t>Cybersecurity and Privacy Challenges in Extended Reality: Threats, Solutions, and Risk Mitigation Strategies</t>
  </si>
  <si>
    <t>Virtual Worlds</t>
  </si>
  <si>
    <t>10.3390/virtualworlds4010001</t>
  </si>
  <si>
    <t>2025_10_3390_virtualworlds4010001_cybersecurity_and_privacy_challenges_in_extended_reality_threats_solutions_and_risk_mit.pdf</t>
  </si>
  <si>
    <t>Tiwari_2024</t>
  </si>
  <si>
    <t>Malware Detection Using Control Flow Graphs</t>
  </si>
  <si>
    <t>2024 2nd International Conference on Device Intelligence, Computing and Communication Technologies (DICCT)</t>
  </si>
  <si>
    <t>10.1109/DICCT61038.2024.10532908</t>
  </si>
  <si>
    <t>2024_10.1109_dicct61038.2024.10532908_Malware_Detection_Using_Control_Flow_Graphs.pdf</t>
  </si>
  <si>
    <t>Ishikura_et_al_2020</t>
  </si>
  <si>
    <t>Cache-Property-Aware Features for DNS Tunneling Detection</t>
  </si>
  <si>
    <t>23rd Conference on Innovations in Clouds, Internet and Networks (ICIN 2020)</t>
  </si>
  <si>
    <t>978-1-7281-5127-4/20</t>
  </si>
  <si>
    <t>2020_10.1109_icin48450.2020.9059472_Cache-Property-Aware_Features_for_DNS_Tunneling_Detection.pdf</t>
  </si>
  <si>
    <t>Bhaware_et_al_2024</t>
  </si>
  <si>
    <t>A Privacy Preserving Context Sensitive Kernel</t>
  </si>
  <si>
    <t>WiseML '24</t>
  </si>
  <si>
    <t>10.1145/3649403.3656483</t>
  </si>
  <si>
    <t>2024_10.1145_3649403.3656483_A_Privacy_Preserving_Context_Sensitive_Kernel.pdf</t>
  </si>
  <si>
    <t>Yang2023_Broadening</t>
  </si>
  <si>
    <t>Broadening The Solution Space of Feature Selection in Time-interval-based Malware Detection</t>
  </si>
  <si>
    <t>Procedia Computer Science 220 / DDSW 2023</t>
  </si>
  <si>
    <t>10.1016/j.procs.2023.03.102</t>
  </si>
  <si>
    <t>2023_10.1016_j.procs.2023.03.102_Broadening_the_Solution_Space_of_Feature_Selection_in_Time-interval-based_Malware_Detection.pdf</t>
  </si>
  <si>
    <t>Kavuri2023</t>
  </si>
  <si>
    <t>Efficient Secured Cloud Storage System using Dynamic Multiple Clouds Cryptographic Algorithm</t>
  </si>
  <si>
    <t>Proceedings of the 7th International Conference on I-SMAC (IoT in Social, Mobile, Analytics and Cloud) (I-SMAC 2023)</t>
  </si>
  <si>
    <t>10.1109/I-SMAC58438.2023.10290155</t>
  </si>
  <si>
    <t>2023_10.1109_i-smac58438.2023.10290155_Efficient_Secured_Cloud_Storage_System_using_Dynamic_Multiple_Clouds_Cryptographic_Algorithm.pdf</t>
  </si>
  <si>
    <t>Hu_2019</t>
  </si>
  <si>
    <t>Dynamic Deep Forest: An Ensemble Classification Method for Network Intrusion Detection</t>
  </si>
  <si>
    <t>10.3390/electronics8090968</t>
  </si>
  <si>
    <t>2019_10_3390_electronics8090968_dynamic_deep_forest_an_ensemble_classification_method_for_network_intrusion_detection.pdf</t>
  </si>
  <si>
    <t>MSW_2024_788_803</t>
  </si>
  <si>
    <t>AI-Powered Cyber Threat Detection: Leveraging Machine Learning for Real-Time Anomaly Identification and Threat Mitigation</t>
  </si>
  <si>
    <t>MSW MANAGEMENT -Multidisciplinary, Scientific Work and Management Journal</t>
  </si>
  <si>
    <t>2024_10.7492_qcqm1g12_AI-Powered_Cyber_Threat_Detection__Leveraging_Machine_Learning_for_RealTime_Anomaly_Identification_and_Threat_.pdf</t>
  </si>
  <si>
    <t>Malekpour2020</t>
  </si>
  <si>
    <t>Hardware Trojan Mitigation in Pipelined MPSoCs</t>
  </si>
  <si>
    <t>ACM Transactions on Design Automation of Electronic Systems</t>
  </si>
  <si>
    <t>10.1145/3365578</t>
  </si>
  <si>
    <t>2020_10.1145_3365578_Hardware_Trojan_mitigation_in_pipelined_MPSoCs.pdf</t>
  </si>
  <si>
    <t>Lee_2025_PPGAN</t>
  </si>
  <si>
    <t>Privacy-Preserving Generative Adversarial Network-Based Data Synthesis for Intelligent Intrusion Detection Systems</t>
  </si>
  <si>
    <t>2025 International Conference on Information Networking (ICOIN)</t>
  </si>
  <si>
    <t>10.1109/ICOIN63865.2025.10993160</t>
  </si>
  <si>
    <t>2025_10.1109_icoin63865.2025.10993160_Privacy-Preserving_Generative_Adversarial_Network-Based_Data_Synthesis_for_Intelligent_Intrusion_Detection_Sys.pdf</t>
  </si>
  <si>
    <t>Huang_et_al_2023_CNIOT</t>
  </si>
  <si>
    <t>Detection of Network Time Covert Channels Based on Image Processing</t>
  </si>
  <si>
    <t>CNIOT'23: 2023 4th International Conference on Computing, Networks and Internet of Things</t>
  </si>
  <si>
    <t>10.1145/3603781.3603906</t>
  </si>
  <si>
    <t>2023_10.1145_3603781.3603906_Detection_of_Network_Time_Covert_Channels_Based_on_Image_Processing.pdf</t>
  </si>
  <si>
    <t>Zhyvko_et_al_2021</t>
  </si>
  <si>
    <t>SECURE ASPECTS OF DIGITALIZATION IN MANAGEMENT ACCOUNTING AND FINANCES OF THE SUBJECT OF THE NATIONAL ECONOMY IN THE CONTEXT OF GLOBALIZATION</t>
  </si>
  <si>
    <t>Journal of Hygienic Engineering and Design</t>
  </si>
  <si>
    <t>2022_SECURE_ASPECTS_OF_DIGITALIZATION_IN_MANAGEMENT_ACCOUNTING_AND_FINANCES_OF_THE_SUBJECT_OF_THE_NATIONAL_ECONOMY_.pdf</t>
  </si>
  <si>
    <t>ANDROID’S SENSITIVE DATA LEAKAGE DETECTION BASED ON API MONITORING</t>
  </si>
  <si>
    <t>2014_10.1049_cp.2014.1340_Android's_sensitive_data_leakage_detection_based_on_API_monitoring.pdf</t>
  </si>
  <si>
    <t>Ishikura_2021</t>
  </si>
  <si>
    <t>DNS Tunneling Detection by Cache-Property-Aware Features</t>
  </si>
  <si>
    <t>IEEE TRANSACTIONS ON NETWORK AND SERVICE MANAGEMENT</t>
  </si>
  <si>
    <t>10.1109/TNSM.2021.3078428</t>
  </si>
  <si>
    <t>2021_10_1109_tnsm_2021_3078428_dns_tunneling_detection_by_cache_property_aware_features.pdf</t>
  </si>
  <si>
    <t>ASTRID-Net_2026</t>
  </si>
  <si>
    <t>2026_10.1038_s41598-026-36731-8_ASTRID-Net__SE-enhanced_triple_attention_deep_learning_framework_for_IoT_and_IIoT_security.pdf</t>
  </si>
  <si>
    <t>Dub_et_al_2025</t>
  </si>
  <si>
    <t>Psyche Components in the Organization of Safety Systems: The Role of a Person in the Protection of Facilities and Information Resources: A Systematic Review</t>
  </si>
  <si>
    <t>Premier Journal of Science</t>
  </si>
  <si>
    <t>10.70389/PJS.100115</t>
  </si>
  <si>
    <t>2025_10.70389_pjs.100115_Psyche_Components_in_the_Organization_of_Safety_Systems__The_Role_of_a_Person_in_the_Protection_of_Facilities_.pdf</t>
  </si>
  <si>
    <t>Research and Application of Cybersecurity Situation Awareness for Smart Grid Power Control System</t>
  </si>
  <si>
    <t>2023 IEEE 5th International Conference on Civil Aviation Safety and Information Technology (ICCASIT)</t>
  </si>
  <si>
    <t>10.1109/ICCASIT58768.2023.10351717</t>
  </si>
  <si>
    <t>2023_10.1109_iccasit58768.2023.10351717_Research_and_Application_of_Cybersecurity_Situation_Awareness_for_Smart_Grid_Power_Control_System.pdf</t>
  </si>
  <si>
    <t>Fakhouri_2023</t>
  </si>
  <si>
    <t>An Overview of using of Artificial Intelligence in Enhancing Security and Privacy in Mobile Social Networks</t>
  </si>
  <si>
    <t>8th International Conference on Fog and Mobile Edge Computing, FMEC 2023</t>
  </si>
  <si>
    <t>10.1109/FMEC59375.2023.10305886</t>
  </si>
  <si>
    <t>2023_10_1109_fmec59375_2023_10305886_an_overview_of_using_of_artificial_intelligence_in_enhancing_security_and_privac.pdf</t>
  </si>
  <si>
    <t>Ruiz2016Lazarus</t>
  </si>
  <si>
    <t>Lazarus: Data Leakage with PGP and Resurrection of the Revoked User</t>
  </si>
  <si>
    <t>Journal of Cyber Security</t>
  </si>
  <si>
    <t>10.13052/jcsm2245-1439.521</t>
  </si>
  <si>
    <t>2016_10_13052_jcsm2245_1439_521_lazarus_data_leakage_with_pgp_and_resurrection_of_the_revoked_user.pdf</t>
  </si>
  <si>
    <t>ICNCC2017_Yin</t>
  </si>
  <si>
    <t>Network Behavioral Features for Detecting Remote Access Trojans in the Early Stage</t>
  </si>
  <si>
    <t>ICNCC 2017</t>
  </si>
  <si>
    <t>10.1145/3171592.3171597</t>
  </si>
  <si>
    <t>2017_10.1145_3171592.3171597_Network_behavioral_features_for_detecting_remote_access_trojans_in_the_early_stage.pdf</t>
  </si>
  <si>
    <t>Poltavtseva_2021</t>
  </si>
  <si>
    <t>Specifics of Communication Organization and Attacks on Medical Cyber-physical Devices</t>
  </si>
  <si>
    <t>2021 International Conference Engineering and Telecommunication (En&amp;T)</t>
  </si>
  <si>
    <t>10.1109/ENT50460.2021.9681727</t>
  </si>
  <si>
    <t>2021_10.1109_ent50460.2021.9681727_Specifics_of_Communication_Organization_and_Attacks_on_Medical_Cyber-physical_Devices.pdf</t>
  </si>
  <si>
    <t>Kao2015_ICCST</t>
  </si>
  <si>
    <t>2016_10.1109_ccst.2015.7389685_A_Digital_Triage_Forensics_framework_of_Window_malware_forensic_toolkit__Based_on_ISO_IEC_27037_2012.pdf</t>
  </si>
  <si>
    <t>APSIPA-2022-Vuong</t>
  </si>
  <si>
    <t>A Comparison of Feature Selection and Feature Extraction in Network Intrusion Detection Systems</t>
  </si>
  <si>
    <t>Proceedings of 2022 APSIPA Annual Summit and Conference</t>
  </si>
  <si>
    <t>2022_10.23919_apsipaasc55919.2022.9979923_A_Comparison_of_Feature_Selection_and_Feature_Extraction_in_Network_Intrusion_Detection_Systems.pdf</t>
  </si>
  <si>
    <t>ACCESS.2020.2996214</t>
  </si>
  <si>
    <t>A Machine Learning Security Framework for Iot Systems</t>
  </si>
  <si>
    <t>10.1109/ACCESS.2020.2996214</t>
  </si>
  <si>
    <t>2020_10_1109_access_2020_2996214_a_machine_learning_security_framework_for_iot_systems.pdf</t>
  </si>
  <si>
    <t>MSN50589.2020.00060</t>
  </si>
  <si>
    <t>Optimal Defense Strategy against Evasion Attacks</t>
  </si>
  <si>
    <t>2020 16th International Conference on Mobility, Sensing and Networking (MSN)</t>
  </si>
  <si>
    <t>10.1109/MSN50589.2020.00060</t>
  </si>
  <si>
    <t>2020_10.1109_msn50589.2020.00060_Optimal_defense_strategy_against_evasion_attacks.pdf</t>
  </si>
  <si>
    <t>Talukdar_2026_TCAD</t>
  </si>
  <si>
    <t>Dynamic Interposer Obfuscation Through Distributed Scramblers in Heterogeneously Integrated 2.5D ICs</t>
  </si>
  <si>
    <t>10.1109/TCAD.2025.3580649</t>
  </si>
  <si>
    <t>2026_10.1109_tcad.2025.3580649_Dynamic_Interposer_Obfuscation_Through_Distributed_Scramblers_in_Heterogeneously_Integrated_2.5D_ICs.pdf</t>
  </si>
  <si>
    <t>RMKMATE_2023_Geetha</t>
  </si>
  <si>
    <t>A Survey on Cyber Attack Detection: Techniques, Datasets, and Challenge</t>
  </si>
  <si>
    <t>2023 International Conference on Research Methodologies in Knowledge Management, Artificial Intelligence and Telecommunication Engineering (RMKMATE)</t>
  </si>
  <si>
    <t>10.1109/RMKMATE59243.2023.10369056</t>
  </si>
  <si>
    <t>2023_10.1109_rmkmate59243.2023.10369056_A_Survey_on_Cyber_Attack_Detection__Techniques,_Datasets,_and_Challenge.pdf</t>
  </si>
  <si>
    <t>DCOSS-IoT-2024-001</t>
  </si>
  <si>
    <t>SAfER: Simplified Auto-encoder for (Anomalous) Event Recognition</t>
  </si>
  <si>
    <t>2024 20th International Conference on Distributed Computing in Smart Systems and the Internet of Things (DCOSS-IoT)</t>
  </si>
  <si>
    <t>10.1109/DCOSS-IoT61029.2024.00041</t>
  </si>
  <si>
    <t>2024_10.1109_dcoss-iot61029.2024.00041_SAfER__Simplified_Auto-encoder_for_(Anomalous)_Event_Recognition.pdf</t>
  </si>
  <si>
    <t>ASIA_CCS_2013_Gugelmann</t>
  </si>
  <si>
    <t>Horizon Extender: Long-term preservation of data leakage evidence in web traffic</t>
  </si>
  <si>
    <t>ASIA CCS '13</t>
  </si>
  <si>
    <t>10.1145/2484313.2484378</t>
  </si>
  <si>
    <t>2013_10.1145_2484313.2484378_Horizon_extender__Long-term_preservation_of_data_leakage_evidence_in_web_traffic.pdf</t>
  </si>
  <si>
    <t>YU2021</t>
  </si>
  <si>
    <t>Behaviour &amp; information technology</t>
  </si>
  <si>
    <t>2022_10_1080_0144929x_2021_1953597_the_relationship_between_online_political_participation_and_privacy_protection.pdf</t>
  </si>
  <si>
    <t>Domnik_2024</t>
  </si>
  <si>
    <t>On Data Leakage Prevention Maturity: Adapting the C2M2 Framework</t>
  </si>
  <si>
    <t>10.3390/jcp4020009</t>
  </si>
  <si>
    <t>2024_10_3390_jcp4020009_on_data_leakage_prevention_maturity_adapting_the_c2m2_framework.pdf</t>
  </si>
  <si>
    <t>Kesenek_2022</t>
  </si>
  <si>
    <t>A new document classification algorithm against malicious data leakage attacks</t>
  </si>
  <si>
    <t>Journal of the Faculty of Engineering and Architecture of Gazi University</t>
  </si>
  <si>
    <t>10.17341/gazimmfd.641580</t>
  </si>
  <si>
    <t>2022_10_17341_gazimmfd_641580_a_new_document_classification_algorithm_against_malicious_data_leakage_attacks_zararli_ya.pdf</t>
  </si>
  <si>
    <t>QFedPhish_2026</t>
  </si>
  <si>
    <t>QFedPhish: A Quantum-Inspired Federated Learning Approach for Detecting AI-Generated Phishing Attacks</t>
  </si>
  <si>
    <t>IEEE Transactions on Consumer Electronics</t>
  </si>
  <si>
    <t>10.1109/TCE.2026.3652563</t>
  </si>
  <si>
    <t>2026_10.1109_tce.2026.3652563_QFedPhish__A_Quantum-Inspired_Federated_Learning_Approach_for_Detecting_AI-Generated_Phishing_Attacks.pdf</t>
  </si>
  <si>
    <t>Vutukuru_2025</t>
  </si>
  <si>
    <t>2025_10_14445_23488549_ijece_v12i10p115_qryptashield_quantum_inspired_feature_selection_and_rl_calibrated_federated_learning_for.pdf</t>
  </si>
  <si>
    <t>Ngo_et_al_2023</t>
  </si>
  <si>
    <t>Machine Learning-Based Intrusion Detection: Feature Selection versus Feature Extraction</t>
  </si>
  <si>
    <t>2024_10_1007_s10586_023_04089_5_machine_learning_based_intrusion_detection_feature_selection_versus_feature_extraction.pdf</t>
  </si>
  <si>
    <t>Abdullah_2025</t>
  </si>
  <si>
    <t>2025_10_37934_araset_51_2_153176_detecting_wormhole_attack_in_environmental_monitoring_system_for_agriculture_using_deep_le.pdf</t>
  </si>
  <si>
    <t>Lubis_2026_AndroidMalware</t>
  </si>
  <si>
    <t>10.30598/barekengvol20iss2pp1675-1692</t>
  </si>
  <si>
    <t>2026_10_30598_barekengvol20iss2pp1675_1692_a_comparative_study_of_pipeline_validated_machine_learning_classifiers_for_permi.pdf</t>
  </si>
  <si>
    <t>10.1145/3639821</t>
  </si>
  <si>
    <t>TROP: TRust-aware OPportunistic Routing in NoC with Hardware Trojans</t>
  </si>
  <si>
    <t>2024_10.1145_3639821_TROP__TRust-aware_OPportunistic_Routing_in_NoC_with_Hardware_Trojans.pdf</t>
  </si>
  <si>
    <t>ICICCS_2025_Manikandan</t>
  </si>
  <si>
    <t>Enhancing Digital Forensics Security Involves the Implementation of a Robust Storage Framework that Employs AES Encryption alongside Efficient Key Generation Technique</t>
  </si>
  <si>
    <t>10.1109/ICICCS65191.2025.10984918</t>
  </si>
  <si>
    <t>2025_10.1109_iciccs65191.2025.10984918_Enhancing_Digital_Forensics_Security_Involves_the_Implementation_of_a_Robust_Storage_Framework_that_Employs_AE.pdf</t>
  </si>
  <si>
    <t>PE-FedAvg_2023</t>
  </si>
  <si>
    <t>2023 IEEE Intl Conf on Parallel &amp; Distributed Processing with Applications, Big Data &amp; Cloud Computing, Sustainable Computing &amp; Communications, Social Computing &amp; Networking (ISPA/BDCloud/SocialCom/SustainCom)</t>
  </si>
  <si>
    <t>2023_10.1109_ispa-bdcloud-socialcom-sustaincom59178.2023.00094_PE-FedAvg__A_Privacy-Enhanced_Federated_Learning_for_Distributed_Android_Malware_Detection.pdf</t>
  </si>
  <si>
    <t>QPAIN-2025-Tasnim</t>
  </si>
  <si>
    <t>Analyzing Threats in Public Wi-Fi: A Study of Attack Vectors, Vulnerability and User Awareness</t>
  </si>
  <si>
    <t>2025 International Conference on Quantum Photonics, Artificial Intelligence, and Networking (QPAIN)</t>
  </si>
  <si>
    <t>10.1109/QPAIN66474.2025.11171834</t>
  </si>
  <si>
    <t>2025_10.1109_qpain66474.2025.11171834_Analyzing_Threats_in_Public_Wi-Fi__A_Study_of_Attack_Vectors,_Vulnerability_and_User_Awareness.pdf</t>
  </si>
  <si>
    <t>Understanding and Mitigating Banking Trojans: From Zeus to Emotet</t>
  </si>
  <si>
    <t>2021 IEEE International Conference on Cyber Security and Resilience (CSR)</t>
  </si>
  <si>
    <t>2021_10_1109_csr51186_2021_9527960_understanding_and_mitigating_banking_trojans_from_zeus_to_emotet.pdf</t>
  </si>
  <si>
    <t>ICOECA_2025_00049</t>
  </si>
  <si>
    <t>Simulation, Prevention and Mitigation of Ransomware, DDOS and Advanced Persistent Threats</t>
  </si>
  <si>
    <t>2025 5th International Conference on Expert Clouds and Applications (ICOECA)</t>
  </si>
  <si>
    <t>10.1109/ICOECA66273.2025.00049</t>
  </si>
  <si>
    <t>2025_10.1109_icoeca66273.2025.00049_Simulation,_Prevention_and_Mitigation_of_Ransomware,_DDOS_and_Advanced_Persistent_Threats.pdf</t>
  </si>
  <si>
    <t>AI-Augmented_SOC_Survey_2025</t>
  </si>
  <si>
    <t>AI-Augmented SOC: A Survey of LLMs and Agents for Security Automation</t>
  </si>
  <si>
    <t>J. Cybersecur. Priv.</t>
  </si>
  <si>
    <t>10.3390/jcp5040095</t>
  </si>
  <si>
    <t>2025_10_3390_jcp5040095_ai_augmented_soc_a_survey_of_llms_and_agents_for_security_automation.pdf</t>
  </si>
  <si>
    <t>ICPICS58376.2023.10235404</t>
  </si>
  <si>
    <t>Detection of Data Leakage Based on DNS Traffic</t>
  </si>
  <si>
    <t>2023 IEEE 5th International Conference on Power, Intelligent Computing and Systems (ICPICS)</t>
  </si>
  <si>
    <t>10.1109/ICPICS58376.2023.10235404</t>
  </si>
  <si>
    <t>2023_10.1109_icpics58376.2023.10235404_Detection_of_Data_Leakage_Based_on_DNS_Traffic.pdf</t>
  </si>
  <si>
    <t>Pooryousef_2017</t>
  </si>
  <si>
    <t>Enhancing Accuracy of Android Malware Detection using Intent Instrumentation</t>
  </si>
  <si>
    <t>ICISSP</t>
  </si>
  <si>
    <t>10.5220/0006195803800388</t>
  </si>
  <si>
    <t>2017_10.5220_0006195803800388_Enhancing_accuracy_of_android_malware_detection_using_intent_instrumentation.pdf</t>
  </si>
  <si>
    <t>IDCIoT-2025-10914826</t>
  </si>
  <si>
    <t>Artificial Intelligence to Enhance the Security of Internet of Things: A Comprehensive Review</t>
  </si>
  <si>
    <t>Proceedings of the Third International Conference on Intelligent Data Communication Technologies and Internet of Things (IDCIoT-2025)</t>
  </si>
  <si>
    <t>10.1109/IDCIOT64235.2025.10914826</t>
  </si>
  <si>
    <t>2025_10.1007_978-981-96-2468-3_63_An_Approach_for_Malware_Classification_via_API_Call_Extraction_from_Disassembly_Code.pdf</t>
  </si>
  <si>
    <t>Wagh-2018-DataLeakage</t>
  </si>
  <si>
    <t>A Survey: Data Leakage Detection Techniques</t>
  </si>
  <si>
    <t>10.11591/ijece.v8i4.pp2247-2253</t>
  </si>
  <si>
    <t>2018_10_11591_ijece_v8i4_pp2247_2253_a_survey_data_leakage_detection_techniques.pdf</t>
  </si>
  <si>
    <t>Xu2022</t>
  </si>
  <si>
    <t>Blockchain-based Transparency Framework for Privacy Preserving Third-party Services</t>
  </si>
  <si>
    <t>2023_10_1109_tdsc_2022_3179698_blockchain_based_transparency_framework_for_privacy_preserving_third_party_services.pdf</t>
  </si>
  <si>
    <t>Saveleva2025</t>
  </si>
  <si>
    <t>2025_10_26583_sv_17_5_11_performance_comparison_of_various_software_tools_in_photogrammetry_based_digitization_and.pdf</t>
  </si>
  <si>
    <t>IDCIoT_2025_AI_IoT_Security</t>
  </si>
  <si>
    <t>2025 3rd International Conference on Intelligent Data Communication Technologies and Internet of Things (IDCIoT)</t>
  </si>
  <si>
    <t>2025_10.1109_idciot64235.2025.10914826_Artificial_Intelligence_to_Enhance_the_Security_of_Internet_of_Things__A_Comprehensive_Review.pdf</t>
  </si>
  <si>
    <t>Meganathan_2025</t>
  </si>
  <si>
    <t>Real-Time Intrusion Detection Using Adaptive Sliding Windows for Concept Drift</t>
  </si>
  <si>
    <t>10.14445/23488549/IJECE-V12I8P111</t>
  </si>
  <si>
    <t>2025_10_14445_23488549_ijece_v12i8p111_real_time_intrusion_detection_using_adaptive_sliding_windows_for_concept_drift.pdf</t>
  </si>
  <si>
    <t>Alzahrani_2020</t>
  </si>
  <si>
    <t>PlusApps: Towards a Privacy Risk Analysis for Android Plus Applications</t>
  </si>
  <si>
    <t>(IJACSA) International Journal of Advanced Computer Science and Applications</t>
  </si>
  <si>
    <t>2020_10_14569_ijacsa_2020_0111183_plusapps_towards_a_privacy_risk_analysis_for_android_plus_applications.pdf</t>
  </si>
  <si>
    <t>Wang_2024_Neurocomputing</t>
  </si>
  <si>
    <t>A review of deep learning based malware detection techniques</t>
  </si>
  <si>
    <t>10.1016/j.neucom.2024.128010</t>
  </si>
  <si>
    <t>2024_10.1016_j.neucom.2024.128010_A_review_of_deep_learning_based_malware_detection_techniques.pdf</t>
  </si>
  <si>
    <t>Wang_2025</t>
  </si>
  <si>
    <t>Artificial intelligence big data optimization and network security promote rural infrastructure investment decision-making and benefit evaluation</t>
  </si>
  <si>
    <t>10.1007/s13198-025-03002-0</t>
  </si>
  <si>
    <t>2025_10.1007_s13198-025-03002-0_Artificial_intelligence_big_data_optimization_and_network_security_promote_rural_infrastructure_investment_dec.pdf</t>
  </si>
  <si>
    <t>Liu_2025_DAPIC</t>
  </si>
  <si>
    <t>Design of Artificial Intelligence Aided Network Intrusion Detection System for Critical Infrastructure</t>
  </si>
  <si>
    <t>2025 International Conference on Digital Analysis and Processing, Intelligent Computation (DAPIC)</t>
  </si>
  <si>
    <t>10.1109/DAPIC66097.2025.00172</t>
  </si>
  <si>
    <t>2025_10.1109_dapic66097.2025.00172_Design_of_Artificial_Intelligence_Aided_Network_Intrusion_Detection_System_for_Critical_Infrastructure.pdf.pdf</t>
  </si>
  <si>
    <t>Alquwayzani2024</t>
  </si>
  <si>
    <t>Prominent Security Vulnerabilities in Cloud Computing</t>
  </si>
  <si>
    <t>2024_10_14569_ijacsa_2024_0150281_prominent_security_vulnerabilities_in_cloud_computing.pdf</t>
  </si>
  <si>
    <t>Jha_2021</t>
  </si>
  <si>
    <t>Detection of Tunneling in DNS over HTTPS</t>
  </si>
  <si>
    <t>2021 7th International Conference on Signal Processing and Communication (ICSC)</t>
  </si>
  <si>
    <t>10.1109/ICSC53193.2021.9673380</t>
  </si>
  <si>
    <t>2021_10.1109_icsc53193.2021.9673380_Detection_of_Tunneling_in_DNS_over_HTTPS.pdf</t>
  </si>
  <si>
    <t>Elegbeleye_2022_ICECET</t>
  </si>
  <si>
    <t>Data Privacy on using Four Models- A Review</t>
  </si>
  <si>
    <t>Proc. of the International Conference on Electrical, Computer and Energy Technologies (ICECET 2022)</t>
  </si>
  <si>
    <t>10.1109/ICECET55527.2022.9872999</t>
  </si>
  <si>
    <t>2022_10.1109_icecet55527.2022.9872999_Data_Privacy_on_using_Four_Models-_A_Review.pdf</t>
  </si>
  <si>
    <t>Wang_2013_Concept_Drift</t>
  </si>
  <si>
    <t>Concept Drift Detection for Online Class Imbalance Learning</t>
  </si>
  <si>
    <t>2013_10.1109_ijcnn.2013.6706768_Concept_drift_detection_for_online_class_imbalance_learning.pdf</t>
  </si>
  <si>
    <t>Al-Ghadi_2025</t>
  </si>
  <si>
    <t>Leveraging federated learning for DoS attack detection in IoT networks based on ensemble feature selection and deep learning models</t>
  </si>
  <si>
    <t>Cyber Security and Applications</t>
  </si>
  <si>
    <t>10.1016/j.csa.2025.100098</t>
  </si>
  <si>
    <t>2025_10.1016_j.csa.2025.100098_Leveraging_federated_learning_for_DoS_attack_detection_in_IoT_networks_based_on_ensemble_feature_selection_and.pdf</t>
  </si>
  <si>
    <t>AlQuayed_2026</t>
  </si>
  <si>
    <t>Lightweight Multi-Agent Edge Framework for Cybersecurity and Resource Optimization in Mobile Sensor Networks</t>
  </si>
  <si>
    <t>10.32604/cmc.2025.069102</t>
  </si>
  <si>
    <t>2026_10.32604_cmc.2025.069102_LightweightMulti-Agent_edge_framework_for_cybersecurity_and_resource_optimization_inmobile_sensor_networks.pdf</t>
  </si>
  <si>
    <t>arXiv:2102.01249v3</t>
  </si>
  <si>
    <t>2023_10_1109_tdsc_2022_3179698_blockchain_based_transparency_framework_for_privacy_preserving_third_party_servi.pdf</t>
  </si>
  <si>
    <t>JRC_2025_Vemulapalli</t>
  </si>
  <si>
    <t>A Customized Temporal Federated Learning Through Adversarial Networks for Cyber Attack Detection in IoT</t>
  </si>
  <si>
    <t>Journal of Robotics and Control (JRC)</t>
  </si>
  <si>
    <t>10.18196/jrc.v6i1.24529</t>
  </si>
  <si>
    <t>2025_10.18196_jrc.v6i1.24529_A_Customized_Temporal_Federated_Learning_Through_Adversarial_Networks_for_Cyber_Attack_Detection_in_IoT.pdf</t>
  </si>
  <si>
    <t>hal-01892390</t>
  </si>
  <si>
    <t>Generation of SDN policies for protecting Android environments based on automata learning</t>
  </si>
  <si>
    <t>10.1109/NOMS.2018.8406153</t>
  </si>
  <si>
    <t>2018_10_1109_noms_2018_8406153_generation_of_sdn_policies_for_protecting_android_environments_based_on_automata_learning.pdf</t>
  </si>
  <si>
    <t>Syarova_et_al_2024</t>
  </si>
  <si>
    <t>Data Leakage Prevention and Detection in Digital Configurations: А Survey</t>
  </si>
  <si>
    <t>Proceedings of the 15th International Scientific and Practical Conference</t>
  </si>
  <si>
    <t>10.17770/etr2024vol2.8045</t>
  </si>
  <si>
    <t>2024_10.17770_etr2024vol2.8045_Data_Leakage_Prevention_and_Detection_in_Digital_Configurations__А_Survey.pdf</t>
  </si>
  <si>
    <t>Chen_et_al_2026</t>
  </si>
  <si>
    <t>Cognitive Security Risks and Countermeasures of Generative Artificial Intelligence in Education Management</t>
  </si>
  <si>
    <t>IEEE Engineering Management Review</t>
  </si>
  <si>
    <t>10.1109/EMR.2026.3661608</t>
  </si>
  <si>
    <t>2026_10.1109_emr.2026.3661608_Cognitive_Security_Risks_and_Countermeasures_of_Generative_Artificial_Intelligence_in_Education_Management.pdf</t>
  </si>
  <si>
    <t>10.1038/s41598-025-89794-4</t>
  </si>
  <si>
    <t>2025_10_1038_s41598_025_89794_4_revolutionary_hybrid_ensembled_deep_learning_model_for_accurate_and_robust_side_channel_at.pdf</t>
  </si>
  <si>
    <t>POWERCON2023CP0069</t>
  </si>
  <si>
    <t>Risk Model and Defense Strategy for Operation and Maintenance of Remote Terminal Units in Distribution System</t>
  </si>
  <si>
    <t>2023 International Conference on Power System Technology (POWERCON)</t>
  </si>
  <si>
    <t>10.1109/POWERCON58120.2023.10331301</t>
  </si>
  <si>
    <t>2023_10.1109_powercon58120.2023.10331301_Risk_Model_and_Defense_Strategy_for_Operation_and_Maintenance_of_Remote_Terminal_Units_in_Distribution_System.pdf</t>
  </si>
  <si>
    <t>Zhang2025</t>
  </si>
  <si>
    <t>Controller Area Network Bus Intrusion Detection Classification Model Based on Multimodal Fusion Mechanism</t>
  </si>
  <si>
    <t>2025 4th International Conference on Artificial Intelligence, Internet of Things and Cloud Computing Technology (AIoTC)</t>
  </si>
  <si>
    <t>10.1109/AIOTC66747.2025.11198781</t>
  </si>
  <si>
    <t>2025_10.1109_aiotc66747.2025.11198781_Controller_Area_Network_Bus_Intrusion_Detection_Classification_Model_Based_on_Multimodal_Fusion_Mechanism.pdf</t>
  </si>
  <si>
    <t>10.1109/ICEIC64972.2025.10879716</t>
  </si>
  <si>
    <t>A Study on the Evaluation of Cyber Security Vulnerabilities in Medical Software</t>
  </si>
  <si>
    <t>2025 International Conference on Electronics, Information, and Communication (ICEIC)</t>
  </si>
  <si>
    <t>2025_10.1109_iceic64972.2025.10879716_A_Study_on_the_Evaluation_of_Cyber_Security_Vulnerabilities_in_Medical_Software.pdf</t>
  </si>
  <si>
    <t>Yang_et_al_2025</t>
  </si>
  <si>
    <t>A reinforcement learning malware detection model based on heterogeneous information network path representation</t>
  </si>
  <si>
    <t>Applied Intelligence</t>
  </si>
  <si>
    <t>10.1007/s10489-025-06417-1</t>
  </si>
  <si>
    <t>2025_10.1007_s10489-025-06417-1_A_reinforcement_learning_malware_detection_model_based_on_heterogeneous_information_network_path_representatio.pdf</t>
  </si>
  <si>
    <t>Murtaza_2023</t>
  </si>
  <si>
    <t>FPGA Based Intelligent Hardware Trojan Design and its SoC Implementation</t>
  </si>
  <si>
    <t>2023 30th IEEE International Conference on Electronics, Circuits and Systems (ICECS)</t>
  </si>
  <si>
    <t>10.1109/ICECS58634.2023.10382763</t>
  </si>
  <si>
    <t>2023_10.1109_icecs58634.2023.10382763_FPGA_Based_Intelligent_Hardware_Trojan_Design_and_its_SoC_Implementation.pdf</t>
  </si>
  <si>
    <t>PEEEC63877.2024.00092</t>
  </si>
  <si>
    <t>Research and Implementation of Intelligent Security Protection Algorithm for 5G Communication</t>
  </si>
  <si>
    <t>2024 International Conference on Power, Electrical Engineering, Electronics and Control (PEEEC)</t>
  </si>
  <si>
    <t>10.1109/PEEEC63877.2024.00092</t>
  </si>
  <si>
    <t>2024_10.1109_peeec63877.2024.00092_Research_and_Implementation_of_Intelligent_Security_Protection_Algorithm_for_5G_Communication.pdf</t>
  </si>
  <si>
    <t>Kumar2024</t>
  </si>
  <si>
    <t>2024_10.19363_j.cnki.cn10-1380_tn.2024.01.06_Web_Attack_Detection_Method_Based_on_Stacking_Fusion_Model;_基于_Stacking_融合模型的_Web_攻击检测方法.pdf</t>
  </si>
  <si>
    <t>Latif2025_IJCNN</t>
  </si>
  <si>
    <t>An Integrated Approach to Mitigate Poisoning Attacks in Federated Learning Frameworks</t>
  </si>
  <si>
    <t>2025 International Joint Conference on Neural Networks (IJCNN)</t>
  </si>
  <si>
    <t>10.1109/IJCNN64981.2025.11228082</t>
  </si>
  <si>
    <t>2025_10.1109_ijcnn64981.2025.11228082_An_Integrated_Approach_to_Mitigate_Poisoning_Attacks_in_Federated_Learning_Frameworks.pdf</t>
  </si>
  <si>
    <t>ICAC_2019_SecurityPlatformMobileOS</t>
  </si>
  <si>
    <t>Security Platform for Mobile OS</t>
  </si>
  <si>
    <t>2020_10.1007_978-3-030-15160-7_68_Information_Security_of_Mobile_Systems.pdf</t>
  </si>
  <si>
    <t>ICoDSA2023_Chandra</t>
  </si>
  <si>
    <t>Public Awareness of Phishing in Indonesia: System Literature Review</t>
  </si>
  <si>
    <t>2023 International Conference on Data Science and Its Applications (ICoDSA)</t>
  </si>
  <si>
    <t>10.1109/ICoDSA58501.2023.10276974</t>
  </si>
  <si>
    <t>2023_10.1109_icodsa58501.2023.10276974_Public_Awareness_of_Phishing_in_Indonesia__System_Literature_Review.pdf</t>
  </si>
  <si>
    <t>Utama_etal_2024</t>
  </si>
  <si>
    <t>2024_10_20473_mi_v7i3_55931_data_leakage_of_the_indonesian_elections_commission_in_legal_aspects_of_personal_data_prot.pdf</t>
  </si>
  <si>
    <t>FMEC_2023_Fakhouri</t>
  </si>
  <si>
    <t>8th International Conference on Fog and Mobile Edge Computing (FMEC)</t>
  </si>
  <si>
    <t>2023_10_1109_fmec59375_2023_10305886_an_overview_of_using_of_artificial_intelligence_in_enhancing_security_and_privacy_in_mobil.pdf</t>
  </si>
  <si>
    <t>Hussain2025</t>
  </si>
  <si>
    <t>A survey on malware attacks in industrial air-gap systems</t>
  </si>
  <si>
    <t>10.1007/s10207-025-01044-w</t>
  </si>
  <si>
    <t>2025_10_1007_s10207_025_01044_w_a_survey_on_malware_attacks_in_industrial_air_gap_systems.pdf</t>
  </si>
  <si>
    <t>Asadollah_2024_01</t>
  </si>
  <si>
    <t>Enhancing Cybersecurity Through Comprehensive Investigation of Data Flow-Based Attack Scenarios</t>
  </si>
  <si>
    <t>https://doi.org/10.3390/jcp4040039</t>
  </si>
  <si>
    <t>2024_10_3390_jcp4040039_enhancing_cybersecurity_through_comprehensive_investigation_of_data_flow_based_attack_scen.pdf</t>
  </si>
  <si>
    <t>Lv et al. (2023)</t>
  </si>
  <si>
    <t>Network Traffic Forensics and Traceability Technology Based on Blockchain</t>
  </si>
  <si>
    <t>2023 6th International Conference on Information Communication and Signal Processing (ICICSP)</t>
  </si>
  <si>
    <t>10.1109/ICICSP59554.2023.10390572</t>
  </si>
  <si>
    <t>2023_10.1109_icicsp59554.2023.10390572_Network_Traffic_Forensics_and_Traceability_Technology_Based_on_Blockchain.pdf</t>
  </si>
  <si>
    <t>Yang et al. (2025)</t>
  </si>
  <si>
    <t>2025_10.1007_s11227-025-07116-x_GDT-IDS__graph-based_decision_tree_intrusion_detection_system_for_controller_area_network.pdf</t>
  </si>
  <si>
    <t>Monteiro_2020</t>
  </si>
  <si>
    <t>The Mechanism to Combat Data Leakage Trojans in Circuits using Ranomized Encoding</t>
  </si>
  <si>
    <t>2020 IEEE International Conference on Computing, Power and Communication Technologies (GUCON)</t>
  </si>
  <si>
    <t>10.1109/GUCON48875.2020.9231086</t>
  </si>
  <si>
    <t>2020_10.1109_discover50404.2020.9278053_The_Mechanism_to_Combat_Data_Leakage_Trojans_in_Circuits_using_Ranomized_Encoding.pdf</t>
  </si>
  <si>
    <t>10.1145/3453800.3453824</t>
  </si>
  <si>
    <t>Detect Android malware by using deep learning: Experiment and Evaluation</t>
  </si>
  <si>
    <t>ICMLSC '21</t>
  </si>
  <si>
    <t>2021_10.1145_3453800.3453824_Detect_Android_malware_by_using_deep_learning__Experiment_and_Evaluation.pdf</t>
  </si>
  <si>
    <t>Ding_2024_ITCEM</t>
  </si>
  <si>
    <t>Research on Network Security Threat Detection and Defense Mechanism Based on Artificial Intelligence</t>
  </si>
  <si>
    <t>2024 International Conference on Information Technology, Communication Ecosystem and Management (ITCEM)</t>
  </si>
  <si>
    <t>10.1109/ITCEM65710.2024.00030</t>
  </si>
  <si>
    <t>2024_10.1109_itcem65710.2024.00030_Research_on_Network_Security_Threat_Detection_and_Defense_Mechanism_Based_on_Artificial_Intelligence.pdf</t>
  </si>
  <si>
    <t>Rapšík_2025_SAMI</t>
  </si>
  <si>
    <t>Improving Cybersecurity in Hospital Information Systems through Anonymization Techniques</t>
  </si>
  <si>
    <t>IEEE 23rd World Symposium on Applied Machine Intelligence and Informatics (SAMI)</t>
  </si>
  <si>
    <t>10.1109/SAMI63904.2025.10883123</t>
  </si>
  <si>
    <t>2025_10.1109_sami63904.2025.10883123_Improving_Cybersecurity_in_Hospital_Information_Systems_through_Anonymization_Techniques.pdf</t>
  </si>
  <si>
    <t>Lmkaiti2025</t>
  </si>
  <si>
    <t>2025_10_11591_ijai_v14_i6_pp4913_4922_comparative_evaluation_of_machine_learning_models_for_intrusion_detection_in_wsn.pdf</t>
  </si>
  <si>
    <t>Zhang2024_ICCTIT</t>
  </si>
  <si>
    <t>Research and Construction of Multi-model Fusion based Malicious URL Detection Method</t>
  </si>
  <si>
    <t>2024 4th International Conference on Communication Technology and Information Technology (ICCTIT)</t>
  </si>
  <si>
    <t>10.1109/ICCTIT64404.2024.10928389</t>
  </si>
  <si>
    <t>2024_10.1109_icctit64404.2024.10928389_Research_and_Construction_of_Multi-model_Fusionbased_Malicious_URL_Detection_Method.pdf</t>
  </si>
  <si>
    <t>Ghourabi2025</t>
  </si>
  <si>
    <t>A Federated Learning Model for Detecting Cyberattacks in Internet of Medical Things Networks</t>
  </si>
  <si>
    <t>10.1109/ACCESS.2025.3588808</t>
  </si>
  <si>
    <t>2025_10.1109_access.2025.3588808_A_Federated_Learning_Model_for_Detecting_Cyberattacks_in_Internet_of_Medical_Things_Networks.pdf</t>
  </si>
  <si>
    <t>Ihekoronye_2023_ICTC</t>
  </si>
  <si>
    <t>Federated Learning with Differential Privacy for Intrusion Detection in Internet of Flying Things: A Robust Approach</t>
  </si>
  <si>
    <t>2023 14th International Conference on Information and Communication Technology Convergence (ICTC)</t>
  </si>
  <si>
    <t>10.1109/ICTC58733.2023.10392902</t>
  </si>
  <si>
    <t>2023_10.1109_ictc58733.2023.10392902_Federated_Learning_with_Differential_Privacy_for_Intrusion_Detection_in_Internet_of_Flying_Things__A_Robust_Ap.pdf</t>
  </si>
  <si>
    <t>Hur_INFOCOM_2021</t>
  </si>
  <si>
    <t>Finding Critical Files from a Packet</t>
  </si>
  <si>
    <t>IEEE INFOCOM</t>
  </si>
  <si>
    <t>10.1109/INFOCOM42981.2021.9488914</t>
  </si>
  <si>
    <t>2021_10.1109_infocom42981.2021.9488914_Finding_critical_files_from_a_packet.pdf</t>
  </si>
  <si>
    <t>Yuan-TDSC-2023</t>
  </si>
  <si>
    <t>2024_10_1109_tdsc_2023_3323713_leakage_of_authorization_data_in_iot_device_sharing_new_attacks_and_countermeasure.pdf</t>
  </si>
  <si>
    <t>Houssein_2021_Deploying_Risk_Access_Models</t>
  </si>
  <si>
    <t>Deploying Risk Access Models in a Cloud Environment: Possibilities and Challenges</t>
  </si>
  <si>
    <t>2021 IEEE 1st International Maghreb Meeting of the Conference on Sciences and Techniques of Automatic Control and Computer Engineering (MI-STA)</t>
  </si>
  <si>
    <t>10.1109/MI-STA52233.2021.9464458</t>
  </si>
  <si>
    <t>2021_10.1109_mi-sta52233.2021.9464458_Deploying_Risk_Access_Models_in_a_Cloud_Environment__Possibilities_and_Challenges.pdf</t>
  </si>
  <si>
    <t>Kesenek_2022_DLP_Classification</t>
  </si>
  <si>
    <t>Journal of the Faculty of Engineering and Architecture of Gazi University 37:3 (2022) 1639-1654</t>
  </si>
  <si>
    <t>2022_10_17341_gazimmfd_641580_a_new_document_classification_algorithm_against_malicious_data_leakage_attacks.pdf</t>
  </si>
  <si>
    <t>arXiv:2106.12753v3</t>
  </si>
  <si>
    <t>DeepAuditor: Distributed Online Intrusion Detection System for IoT devices via Power Side-channel Auditing</t>
  </si>
  <si>
    <t>IPSN’22</t>
  </si>
  <si>
    <t>10.1145/3512750.3512763 (inferred from venue)</t>
  </si>
  <si>
    <t>2022_10_1109_ipsn54338_2022_00040_deepauditor_distributed_online_intrusion_detection_system_for_iot_devices_via_power_side.pdf</t>
  </si>
  <si>
    <t>Wang_2021_Covert_Communication</t>
  </si>
  <si>
    <t>A Covert Communication Method Based on Gradient Model</t>
  </si>
  <si>
    <t>2021 6th International Conference on Signal and Image Processing (ICSIP)</t>
  </si>
  <si>
    <t>10.1109/ICSIP52628.2021.9689011</t>
  </si>
  <si>
    <t>2021_10.1109_icsip52628.2021.9689011_A_Covert_Communication_Method_Based_on_Gradient_Model.pdf</t>
  </si>
  <si>
    <t>Lu_2023_TASE</t>
  </si>
  <si>
    <t>Transactive Energy System Deployment over Insecure Communication Links</t>
  </si>
  <si>
    <t>IEEE Transactions on Automation Science and Engineering</t>
  </si>
  <si>
    <t>2024_10_1109_tase_2023_3267034_transactive_energy_system_deployment_over_insecure_communication_links.pdf</t>
  </si>
  <si>
    <t>Dimitriadis2021</t>
  </si>
  <si>
    <t>Uncuffed: A Blockchain-based Secure Messaging System</t>
  </si>
  <si>
    <t>PCI 2021: 25th Pan-Hellenic Conference on Informatics</t>
  </si>
  <si>
    <t>10.1145/3503823.3503886</t>
  </si>
  <si>
    <t>2021_10.1145_3503823.3503886_Uncuffed__A_Blockchain-based_Secure_Messaging_System.pdf</t>
  </si>
  <si>
    <t>Zhang_2025</t>
  </si>
  <si>
    <t>https://doi.org/10.1007/s13198-025-03013-x</t>
  </si>
  <si>
    <t>2025_10_1007_s13198_025_03013_x_mobile_network_intelligent_recommendation_based_on_data_mining_and_network_secur.pdf</t>
  </si>
  <si>
    <t>Gaidarski_2024_Management_approaches</t>
  </si>
  <si>
    <t>Proceedings of the 15th International Scientific and Practical Conference. Environment. Technology. Resources.</t>
  </si>
  <si>
    <t>2024_10_17770_etr2024vol2_8062_management_approaches_and_application_areas_of_information_security_in_organizat.pdf</t>
  </si>
  <si>
    <t>Syarova-2024-DLP-Survey</t>
  </si>
  <si>
    <t>Data Leakage Prevention and Detection in Digital Configurations: A Survey</t>
  </si>
  <si>
    <t>2024_10_17770_etr2024vol2_8045_data_leakage_prevention_and_detection_in_digital_configurations_a_survey.pdf</t>
  </si>
  <si>
    <t>2021_10_32604_cmc_2021_016626_an_optimal_big_data_analytics_with_concept_drift_detection_on_high_dimensional_s.pdf</t>
  </si>
  <si>
    <t>2023_10_7717_peerj_cs_1543_scheduling_algorithms_for_data_protection_based_on_security_classification_const.pdf</t>
  </si>
  <si>
    <t>2021_10_1145_3503823_3503886_uncuffed_a_blockchain_based_secure_messaging_system.pdf</t>
  </si>
  <si>
    <t>Task_Type</t>
  </si>
  <si>
    <t>Security_Domain</t>
  </si>
  <si>
    <t>Threat_Model_or_Attack_Type</t>
  </si>
  <si>
    <t>Graph_Used</t>
  </si>
  <si>
    <t>Graph_Type</t>
  </si>
  <si>
    <t>Graph_Dynamics</t>
  </si>
  <si>
    <t>Heterogeneous</t>
  </si>
  <si>
    <t>Learning_Setup</t>
  </si>
  <si>
    <t>Inductive_or_Transductive</t>
  </si>
  <si>
    <t>Leakage_Risks_Discussed</t>
  </si>
  <si>
    <t>Leakage_Type</t>
  </si>
  <si>
    <t>Leakage_Channel</t>
  </si>
  <si>
    <t>Leakage_Control_Method</t>
  </si>
  <si>
    <t>Split_Strategy</t>
  </si>
  <si>
    <t>Split_Unit</t>
  </si>
  <si>
    <t>Temporal_Split</t>
  </si>
  <si>
    <t>Entity_Aware_Split</t>
  </si>
  <si>
    <t>Deduplication_or_Decontamination</t>
  </si>
  <si>
    <t>Sampling_Strategy</t>
  </si>
  <si>
    <t>Negative_Sampling</t>
  </si>
  <si>
    <t>Hard_Negatives</t>
  </si>
  <si>
    <t>Dataset_Used</t>
  </si>
  <si>
    <t>Public_Data</t>
  </si>
  <si>
    <t>Data_Availability_Link</t>
  </si>
  <si>
    <t>Code_Availability</t>
  </si>
  <si>
    <t>Code_Link</t>
  </si>
  <si>
    <t>Metrics</t>
  </si>
  <si>
    <t>Primary_Metric</t>
  </si>
  <si>
    <t>Baselines_or_Comparators</t>
  </si>
  <si>
    <t>Reproducibility_Assessment</t>
  </si>
  <si>
    <t>Evaluation_Threats_Noted</t>
  </si>
  <si>
    <t>other</t>
  </si>
  <si>
    <t>Nefarious Behavior in IoT/ICS environments</t>
  </si>
  <si>
    <t>Yes</t>
  </si>
  <si>
    <t>http://www.apress.com/source-code</t>
  </si>
  <si>
    <t>classification</t>
  </si>
  <si>
    <t>intrusion detection</t>
  </si>
  <si>
    <t>DDoS, DoS, Recon, MQTT, spoofing</t>
  </si>
  <si>
    <t>No</t>
  </si>
  <si>
    <t>Federated Learning (FedProx) with CNN</t>
  </si>
  <si>
    <t>Inductive</t>
  </si>
  <si>
    <t>CIC IoMT dataset 2024; CICIoT2023</t>
  </si>
  <si>
    <t>Accuracy; Precision; Recall; F1-Score</t>
  </si>
  <si>
    <t>Accuracy</t>
  </si>
  <si>
    <t>Traditional centralized IDS (CNN), Existing works (DAFL, MV FLID)</t>
  </si>
  <si>
    <t>Data heterogeneity; Privacy leakage (addressed by FL)</t>
  </si>
  <si>
    <t>Hacking, data leakage, malware attacks, DDOS, device hijacking</t>
  </si>
  <si>
    <t>anomaly detection</t>
  </si>
  <si>
    <t>Industrial Control Systems (ICS)</t>
  </si>
  <si>
    <t>Cyber attacks on water treatment plant (SWaT dataset)</t>
  </si>
  <si>
    <t>Unsupervised</t>
  </si>
  <si>
    <t>Not discussed</t>
  </si>
  <si>
    <t>Temporal Split</t>
  </si>
  <si>
    <t>chronological (temporal) split</t>
  </si>
  <si>
    <t>Time (Days)</t>
  </si>
  <si>
    <t>Sliding Window</t>
  </si>
  <si>
    <t>SWaT</t>
  </si>
  <si>
    <t>Precision; Recall; F1-score; Accuracy; ROC; AUC; Training Time; Memory Overhead</t>
  </si>
  <si>
    <t>F1-score</t>
  </si>
  <si>
    <t>KNN, PCA, AE, VAE, UAE, LSTM-VAE, USAD, OmniAnomaly</t>
  </si>
  <si>
    <t>Medium (Hardware and parameters listed, but no code link)</t>
  </si>
  <si>
    <t>Time delay characteristics of intrusion; Limited equipment resources</t>
  </si>
  <si>
    <t>sequence modeling</t>
  </si>
  <si>
    <t>Network Intrusion (NSL-KDD), Spam (ECUE)</t>
  </si>
  <si>
    <t>streaming</t>
  </si>
  <si>
    <t>Supervised</t>
  </si>
  <si>
    <t>Oversampling (SMOTE)</t>
  </si>
  <si>
    <t>NSL-KDD; ECUE Spam</t>
  </si>
  <si>
    <t>http://kdd.ics.uci.edu/databases/kddcup99/kddcup99.html</t>
  </si>
  <si>
    <t>Sensitivity; Specificity; Precision; Accuracy; F-score; Kappa; AUC</t>
  </si>
  <si>
    <t>DNN+SVM, OC-SVM, Naive Bayesian, Gaussian Process, Random Forest, Gradient Boosting, CBT, Genetic Algorithm, Flexible Bayes, HELF, Adaboost, KNN</t>
  </si>
  <si>
    <t>Class Imbalance; Concept Drift</t>
  </si>
  <si>
    <t>Other</t>
  </si>
  <si>
    <t>Jamming, Eavesdropping, Pilot Contamination, Pilot Spoofing, Environment Reconfiguration Attacks (ERA)</t>
  </si>
  <si>
    <t>Secrecy Capacity; Secrecy Outage Probability; SINR; Energy Efficiency</t>
  </si>
  <si>
    <t>Data leakage and tampering in Digital Twin communication</t>
  </si>
  <si>
    <t>Simulated Digital Twin Network Topology</t>
  </si>
  <si>
    <t>Extraction Accuracy Rate (EAR); Required Packet Count (RPC); Time Overhead (TO)</t>
  </si>
  <si>
    <t>Extraction Accuracy Rate (EAR)</t>
  </si>
  <si>
    <t>DICBW, IPCW, SIBW</t>
  </si>
  <si>
    <t>malware</t>
  </si>
  <si>
    <t>Android Malware (various families)</t>
  </si>
  <si>
    <t>static</t>
  </si>
  <si>
    <t>cross-validation</t>
  </si>
  <si>
    <t>random split</t>
  </si>
  <si>
    <t>Balanced Sampling (1:1 ratio for training/testing)</t>
  </si>
  <si>
    <t>Not Applicable</t>
  </si>
  <si>
    <t>Google Play (Benign); Drebin; Android Malware Genome Project; Contagio Community</t>
  </si>
  <si>
    <t>Accuracy; Precision; Recall; F-Measure</t>
  </si>
  <si>
    <t>FEST; Drebin; DroidAPIMiner; Random Forest (RF); C4.5; SVM</t>
  </si>
  <si>
    <t>benign security dataset</t>
  </si>
  <si>
    <t>National Statistical Institute of Bulgaria data (Statistical survey)</t>
  </si>
  <si>
    <t>Privacy leakage (sensitive data exfiltration), privilege escalation, malicious behaviors (e.g., sending premium SMS)</t>
  </si>
  <si>
    <t>dynamic</t>
  </si>
  <si>
    <t>Not Discussed</t>
  </si>
  <si>
    <t>Purposive Sampling</t>
  </si>
  <si>
    <t>Google Play (Real-world apps); F-Droid; Anzhi app markets; Android Malware Genome Project (Malware samples); DroidBench</t>
  </si>
  <si>
    <t>Time; Memory; Number of Backtracked States; Violation/Bug detected (Binary); Precision (implicit)</t>
  </si>
  <si>
    <t>Violation/Bug detected</t>
  </si>
  <si>
    <t>Implicit comparison to static analysis (e.g., FlowDroid mentioned in related work)</t>
  </si>
  <si>
    <t>State space explosion; Mock-up correctness; Manual effort for mock-ups; Native code handling</t>
  </si>
  <si>
    <t>Data leakage during transmission (violating security classification constraints)</t>
  </si>
  <si>
    <t>Generated dataset (1,500 instances); Ukommi (2022) Real-Dataset (video packet size)</t>
  </si>
  <si>
    <t>http://dx.doi.org/10.7717/peerj-cs.1543#supplemental-information</t>
  </si>
  <si>
    <t>Tm (Maximum transmission time); ga (gap between algorithm and best); Ptg (percentage of instances matching best); Time (running time)</t>
  </si>
  <si>
    <t>ga (gap)</t>
  </si>
  <si>
    <t>Algorithms from literature: MDETA, RLT, RGS1 (Sarhan et al. papers)</t>
  </si>
  <si>
    <t>Illegal trading of vulnerabilities</t>
  </si>
  <si>
    <t>HackingTeam (report data for parameter setting); HackerOne (report data for parameter setting)</t>
  </si>
  <si>
    <t>Evolutionary Stability Strategy (ESS); Equilibrium Points</t>
  </si>
  <si>
    <t>Evolutionary Stability</t>
  </si>
  <si>
    <t>Moderate (Mathematical model and parameters are described)</t>
  </si>
  <si>
    <t>Cloud Upload</t>
  </si>
  <si>
    <t>Avoid Cloud Services for Classified Data</t>
  </si>
  <si>
    <t>Custom boiler room video footage (3600 frames)</t>
  </si>
  <si>
    <t>Reconstruction accuracy (mm); Processing time</t>
  </si>
  <si>
    <t>Reconstruction accuracy (mm)</t>
  </si>
  <si>
    <t>Agisoft Metashape, 3DF Zephyr, Meshroom, Pix4D</t>
  </si>
  <si>
    <t>Moderate (Methodology described, but private data)</t>
  </si>
  <si>
    <t>Data leakage risks to foreign servers</t>
  </si>
  <si>
    <t>APT</t>
  </si>
  <si>
    <t>APT attacks (MITRE ATT&amp;CK Tactics)</t>
  </si>
  <si>
    <t>Federated Learning (FedAvg)</t>
  </si>
  <si>
    <t>not discussed</t>
  </si>
  <si>
    <t>datapoint</t>
  </si>
  <si>
    <t>Self-generated IIoT dataset (VAS Tool, SPiDER TM)</t>
  </si>
  <si>
    <t>Accuracy; Memory usage; Latency; Data leakage rate (privacy)</t>
  </si>
  <si>
    <t>Centralized learning model (Imran et al. [26])</t>
  </si>
  <si>
    <t>The paper focuses on privacy leakage (inference from weights) rather than evaluation leakage (train-test contamination).</t>
  </si>
  <si>
    <t>Insider threats / Data leakage via web browsers</t>
  </si>
  <si>
    <t>Supervised (Fine-tuning BERT)</t>
  </si>
  <si>
    <t>Organization-specific datasets (Health organization PII/PHI); Simulated environment data</t>
  </si>
  <si>
    <t>False Positive Rate</t>
  </si>
  <si>
    <t>Symantec Web Security Service, McAfee Web Protection, Forcepoint Web Security</t>
  </si>
  <si>
    <t>Hardware Trojans</t>
  </si>
  <si>
    <t>Trust-Hub benchmarks</t>
  </si>
  <si>
    <t>Mutual Information (MI); Conditional Mutual Information (CMI); Time (s); Detection Success (Detected/Actual)</t>
  </si>
  <si>
    <t>Mutual Information (MI)</t>
  </si>
  <si>
    <t>GLIFT, QFlow</t>
  </si>
  <si>
    <t>Scalability; Complexity limits</t>
  </si>
  <si>
    <t>Data theft, Cybermedicine misuse, Ransomware (e.g., WannaCry mentioned as context)</t>
  </si>
  <si>
    <t>Paper is a literature review on legal regulations, not an experimental ML study.</t>
  </si>
  <si>
    <t>Data breaches, Data leakage, Data tampering, Data theft, Insider threats, Data Poisoning</t>
  </si>
  <si>
    <t>Hardware Trojans / Data Confidentiality Leakage</t>
  </si>
  <si>
    <t>Trust-Hub (AES-T benchmarks); Trust-Hub (RSA-T benchmarks); AES-T100 to AES-T1700; RSA-T100, RSA-T300</t>
  </si>
  <si>
    <t>Leakage (bit); Bayes Vulnerability; Prior Bayes Vulnerability; Posterior Bayes Vulnerability</t>
  </si>
  <si>
    <t>Leakage (bit)</t>
  </si>
  <si>
    <t>QIF-Verilog</t>
  </si>
  <si>
    <t>approximations are needed, which introduce mispredictions</t>
  </si>
  <si>
    <t>Privacy re-identification attacks using Background Knowledge (Statistical, Individual, Demographic, Social/Cohesive, etc.)</t>
  </si>
  <si>
    <t>heterogeneous security graph</t>
  </si>
  <si>
    <t>label leakage</t>
  </si>
  <si>
    <t>Background Knowledge (External tables, Social Networks)</t>
  </si>
  <si>
    <t>Comprehensive Privacy model (proposed)</t>
  </si>
  <si>
    <t>Synthetic microdata examples (Table 1, Table 2)</t>
  </si>
  <si>
    <t>Linking probability; Success/Failure probability</t>
  </si>
  <si>
    <t>Linking probability</t>
  </si>
  <si>
    <t>k-anonymity, l-diversity, t-closeness</t>
  </si>
  <si>
    <t>Low (Analytical/Theoretical paper, no code or empirical dataset provided)</t>
  </si>
  <si>
    <t>Existing models fail to account for comprehensive background knowledge</t>
  </si>
  <si>
    <t>IoT Security</t>
  </si>
  <si>
    <t>Active adversary capable of crafting network-level perturbations, compromising edge nodes, eavesdropping (Section 3.1.1); IoT traffic anomalies (malware/fraud).</t>
  </si>
  <si>
    <t>network flow graph</t>
  </si>
  <si>
    <t>Federated Learning (Supervised + Reinforcement Learning)</t>
  </si>
  <si>
    <t>sliding windows (2.5 s stride)</t>
  </si>
  <si>
    <t>record/window</t>
  </si>
  <si>
    <t>IoT-23; N-BaIoT</t>
  </si>
  <si>
    <t>Accuracy; F1; Precision; Recall; FPR; TPR; AUC; AP; Latency; Energy</t>
  </si>
  <si>
    <t>Accuracy, F1, FPR</t>
  </si>
  <si>
    <t>Logistic Regression, SVM, Naïve Bayes, kNN, AdaBoost, MLP, RFF-based models</t>
  </si>
  <si>
    <t>Medium (Hyperparameters provided in Tables 4-8, seeds provided)</t>
  </si>
  <si>
    <t>dataset not representative of variability; adversarial behaviours underrepresented; RL policies not stress-tested on fully non-IID federated splits</t>
  </si>
  <si>
    <t>Data leakage, Malware, DoS, Lost/Stolen devices</t>
  </si>
  <si>
    <t>malware detection</t>
  </si>
  <si>
    <t>IoT malware</t>
  </si>
  <si>
    <t>Mirai botnet variants and zero-day exploits</t>
  </si>
  <si>
    <t>dataset artifacts; duplication</t>
  </si>
  <si>
    <t>coarse-grained power trace data</t>
  </si>
  <si>
    <t>Fine-grained power analysis (multiscale feature extraction)</t>
  </si>
  <si>
    <t>sample</t>
  </si>
  <si>
    <t>Sliding window</t>
  </si>
  <si>
    <t>Self-collected power traces from Odroid-XU3; IoTPOT (malware binaries); AVClass2 (labeling); VirusTotal API (labeling)</t>
  </si>
  <si>
    <t>Accuracy; Precision; Recall; F1-score; Detection speed; Memory usage</t>
  </si>
  <si>
    <t>MobileNetV2-inspired models; Previous work (ThingNet)</t>
  </si>
  <si>
    <t>Inaccurate or duplicate information in coarse-grained data; Noise in power signal data</t>
  </si>
  <si>
    <t>Network security risks (unauthorized access, shadow IT, malware) in BYOD environments</t>
  </si>
  <si>
    <t>Simulated traffic in a lab environment (Cisco ISE, WLC 5508, 3850 Mobility Agent, Android/iPhone devices)</t>
  </si>
  <si>
    <t>Functional Verification (Authentication success/failure, IP assignment, VLAN assignment)</t>
  </si>
  <si>
    <t>fraud</t>
  </si>
  <si>
    <t>Credit card fraud and Twitter spam</t>
  </si>
  <si>
    <t>Supervised (with drift adaptation)</t>
  </si>
  <si>
    <t>dataset artifacts</t>
  </si>
  <si>
    <t>concept drift; class imbalance</t>
  </si>
  <si>
    <t>sliding window; retraining</t>
  </si>
  <si>
    <t>transaction/tweet</t>
  </si>
  <si>
    <t>undersampling</t>
  </si>
  <si>
    <t>Kaggle Credit Card Fraud Detection; NSCLab Twitter Spam Dataset</t>
  </si>
  <si>
    <t>https://www.kaggle.com/datasets/mlg-ulb/creditcardfraud</t>
  </si>
  <si>
    <t>Accuracy; Precision; Recall; F1-score; False Positive Rate (FPR)</t>
  </si>
  <si>
    <t>SVM, Random Forest, Decision Tree, NADS-RA, GAN, Standard XGBoost, KNN, DIA-XGBoost</t>
  </si>
  <si>
    <t>Concept drift; Class imbalance</t>
  </si>
  <si>
    <t>Anomaly Detection</t>
  </si>
  <si>
    <t>Intrusion Detection</t>
  </si>
  <si>
    <t>DDoS (Smurf, Neptune, teardrop, pod), Probing (Satan, ipsweep, nmap), Data Leakage (WhatsApp)</t>
  </si>
  <si>
    <t>Supervised (SVM)</t>
  </si>
  <si>
    <t>NSL-KDD</t>
  </si>
  <si>
    <t>Adversarial Evasion Attacks (ZOO, HopSkipJump, PGD, DeepFool)</t>
  </si>
  <si>
    <t>No (Tree-based Model)</t>
  </si>
  <si>
    <t>Supervised Learning (Adversarial Training)</t>
  </si>
  <si>
    <t>label leakage; dataset artifacts</t>
  </si>
  <si>
    <t>Gradients; Model Outputs</t>
  </si>
  <si>
    <t>Differential Privacy (DP-SGD); Data Smoothing (Feature Squeezing, Randomized Smoothing)</t>
  </si>
  <si>
    <t>Record/Packet</t>
  </si>
  <si>
    <t>Random sampling (Mini-batch)</t>
  </si>
  <si>
    <t>Yes (Adversarial Examples)</t>
  </si>
  <si>
    <t>MQTTset; UNSW-NB15</t>
  </si>
  <si>
    <t>Accuracy; Precision; Recall; F1-score; Inference Time</t>
  </si>
  <si>
    <t>Accuracy (under attack)</t>
  </si>
  <si>
    <t>Random Forest, Standard LightGBM, Feature Squeezing (FS), Randomized Smoothing (RS)</t>
  </si>
  <si>
    <t>Lack of obfuscated or polymorphic malware; Limited computational resources</t>
  </si>
  <si>
    <t>Insider Threat, Data Leakage</t>
  </si>
  <si>
    <t>Information Leakage (Phishing, Spyware, Malware)</t>
  </si>
  <si>
    <t>Maturity Levels (1-5); Weighted Average of Controls</t>
  </si>
  <si>
    <t>Maturity Level</t>
  </si>
  <si>
    <t>Data Poisoning, Prompt Injection, Model Theft, Social Engineering, Malware Creation, Privacy Leakage</t>
  </si>
  <si>
    <t>Biometric Spoofing, Replay Attacks, Privacy Leakage (Note: Not APT/Malware)</t>
  </si>
  <si>
    <t>User/Subject</t>
  </si>
  <si>
    <t>Synthetic pairing of disjoint user sets</t>
  </si>
  <si>
    <t>RIDB (Retina); CASIA MSPD (Palm Vein)</t>
  </si>
  <si>
    <t>http://english.ia.cas.cn/db/201611/t20161101_169937.html</t>
  </si>
  <si>
    <t>FAR; FRR; EER; GAR; Runtime; Memory Footprint</t>
  </si>
  <si>
    <t>EER</t>
  </si>
  <si>
    <t>Unimodal baselines (Retina only, Palm vein only)</t>
  </si>
  <si>
    <t>Privacy leakage; Spurious cross-modality correlations</t>
  </si>
  <si>
    <t>Knowledge Graph</t>
  </si>
  <si>
    <t>IEC 62443-3-3 standard text; Expert-generated Q&amp;A pairs</t>
  </si>
  <si>
    <t>Length similarity; Factual consistency; Semantic similarity</t>
  </si>
  <si>
    <t>Semantic similarity</t>
  </si>
  <si>
    <t>Expert Reference Answers</t>
  </si>
  <si>
    <t>Hallucination; Data Leakage (Privacy); Lack of interpretability</t>
  </si>
  <si>
    <t>Supply chain attacks, Backdoors, Source code tampering, Decompilation privacy risks</t>
  </si>
  <si>
    <t>Function block</t>
  </si>
  <si>
    <t>Clustering-based sampling</t>
  </si>
  <si>
    <t>BCN3D Moveo (3D printer firmware source code)</t>
  </si>
  <si>
    <t>https://github.com/BCN3D/BCN3D-Moveo</t>
  </si>
  <si>
    <t>Proof generation time; Verification time; Proof size; Compression rate</t>
  </si>
  <si>
    <t>Proof generation time</t>
  </si>
  <si>
    <t>zk-STARK, Bulletproofs, OID, Ecode</t>
  </si>
  <si>
    <t>Privacy leakage risks caused by decompilation; Source Code Ownership Forgery; Backdoor Attack</t>
  </si>
  <si>
    <t>Malware, Ransomware, DDoS, Privacy violation</t>
  </si>
  <si>
    <t>Simulated Scenario (A to B communication)</t>
  </si>
  <si>
    <t>Risk Level (RL); Financial Value (EUR)</t>
  </si>
  <si>
    <t>Risk Level (RL)</t>
  </si>
  <si>
    <t>Evaluation relies on assumptions of cost values; Scenario-based demonstration only</t>
  </si>
  <si>
    <t>Insider threats, Database leakage, SQL Injection, Privilege abuse</t>
  </si>
  <si>
    <t>Unsupervised (One-class profiling)</t>
  </si>
  <si>
    <t>temporal leakage</t>
  </si>
  <si>
    <t>train-test split</t>
  </si>
  <si>
    <t>Temporal split (Data Collection phase vs Detection phase)</t>
  </si>
  <si>
    <t>Time (Transactions ordered by time)</t>
  </si>
  <si>
    <t>Train on normal data (assumed attack-free), Test on normal + simulated attacks</t>
  </si>
  <si>
    <t>Enterprise Dataset (Oracle operational database log); Simulated Dataset (GnuHealth)</t>
  </si>
  <si>
    <t>FPR; Detection Rate (DR); ROC; AUC; Learning/Detection Time</t>
  </si>
  <si>
    <t>AUC</t>
  </si>
  <si>
    <t>Kamra et al. (2008), Wu et al. (2009), Naïve Bayes</t>
  </si>
  <si>
    <t>Medium (Method clearly described, datasets private/simulated)</t>
  </si>
  <si>
    <t>Synthetic/Simulated attacks might not represent real threats; Lack of temporal constraint handling</t>
  </si>
  <si>
    <t>Cybersecurity awareness (defensive human behavior), specifically internal threats, false identity, and data leakage by students.</t>
  </si>
  <si>
    <t>Longitudinal data about the networks of interactions between students on the university’s online learning system called Canvas</t>
  </si>
  <si>
    <t>Density; Centralization; Degree centrality; Eigenvector centrality</t>
  </si>
  <si>
    <t>Degree centrality (for node influence)</t>
  </si>
  <si>
    <t>Low (Work-in-progress, proprietary data source)</t>
  </si>
  <si>
    <t>Hardware Trojans in 3rd Party IPs (3PIP), Unintended Proxy/Intermediary, Hijacking, Sensitive Data Leakage</t>
  </si>
  <si>
    <t>SoC Bus Topology</t>
  </si>
  <si>
    <t>Custom RISC-V SoC (Rocket-Chip) on Xilinx Virtex-7 FPGA</t>
  </si>
  <si>
    <t>Hardware Overhead (LUTs, Flip-Flops); Performance Overhead (Latency); Detection Success (Case Studies)</t>
  </si>
  <si>
    <t>Hardware Overhead</t>
  </si>
  <si>
    <t>Basak et al. [18] (Comparison on area overhead)</t>
  </si>
  <si>
    <t>Low (Custom FPGA implementation details provided, but code not linked)</t>
  </si>
  <si>
    <t>Cyber intrusions, physiological irregularities, device failures in IoT</t>
  </si>
  <si>
    <t>Supervised / Reinforcement Learning (Surveyed)</t>
  </si>
  <si>
    <t>MIMIC-III; PhysioNet; VinDr-CXR; ChestX-ray14; COVIDx</t>
  </si>
  <si>
    <t>accuracy; F1-score; precision; recall; latency; computation cost</t>
  </si>
  <si>
    <t>SCNN-BiLSTM, Deep Q-Learning, Federated Learning, Quantum DL</t>
  </si>
  <si>
    <t>Targeted attacks, Zero-day attacks, Data leakage via removable media</t>
  </si>
  <si>
    <t>Android Malware / Privacy Data Leaks / Evasion</t>
  </si>
  <si>
    <t>not applicable</t>
  </si>
  <si>
    <t>Top/Popular applications per category</t>
  </si>
  <si>
    <t>213 applications from Google Play Store; 20 recently published malware</t>
  </si>
  <si>
    <t>Detection Rate (% of apps with leaks)</t>
  </si>
  <si>
    <t>Percentage of apps leaking private data</t>
  </si>
  <si>
    <t>Malware evasion via sandbox fingerprinting; Malware detecting lack of sensors (accelerometer)</t>
  </si>
  <si>
    <t>Network threats (UNSW-NB15 categories including Shellcode, Worms, etc.)</t>
  </si>
  <si>
    <t>Supervised Learning</t>
  </si>
  <si>
    <t>record-based</t>
  </si>
  <si>
    <t>UNSW-NB15</t>
  </si>
  <si>
    <t>Accuracy; Precision; F1-score; False Positive Rate (FPR); Encryption and decryption Time</t>
  </si>
  <si>
    <t>PDPChain, CPS, PPQC</t>
  </si>
  <si>
    <t>Data Leakage (Insider Threat/Exfiltration)</t>
  </si>
  <si>
    <t>Double Spending Attack, Transaction Malleability Attack, Endpoint Compromise Attack</t>
  </si>
  <si>
    <t>Federated Learning</t>
  </si>
  <si>
    <t>Image</t>
  </si>
  <si>
    <t>NIH Chest Ray dataset</t>
  </si>
  <si>
    <t>https://nihcc.app.box.com/v/ChestXray-NIHCC</t>
  </si>
  <si>
    <t>Accuracy; Latency; Throughput; Resilience metrics</t>
  </si>
  <si>
    <t>SOTA Federated Learning</t>
  </si>
  <si>
    <t>Cybercrime (Phishing, Identity Theft, Malware) - Human Awareness context</t>
  </si>
  <si>
    <t>Survey data from 1230 participants in Saudi Arabia</t>
  </si>
  <si>
    <t>https://doi.org/10.17632/fbs9mgmh4y.1</t>
  </si>
  <si>
    <t>Cronbach's Alpha; Pearson Correlation; Regression Coefficients (Beta, R Square)</t>
  </si>
  <si>
    <t>Statistical Significance (p-value / Sig)</t>
  </si>
  <si>
    <t>High (Data available)</t>
  </si>
  <si>
    <t>Survey response bias; Length of survey causing boredom; Geographic imbalance of subjects</t>
  </si>
  <si>
    <t>IoT Botnets (Mirai, Bashlite, Gafgyt), DDoS, DoS</t>
  </si>
  <si>
    <t>data leakage</t>
  </si>
  <si>
    <t>preprocessing (normalization)</t>
  </si>
  <si>
    <t>Min-max normalisation</t>
  </si>
  <si>
    <t>batches</t>
  </si>
  <si>
    <t>BoTNeTIoT-L01; N-BaIoT</t>
  </si>
  <si>
    <t>Accuracy; Precision; Error rate; Loss</t>
  </si>
  <si>
    <t>Logistic Regression, Decision Tree, LightGBM, SVM, Existing Ensemble Methods</t>
  </si>
  <si>
    <t>imbalanced datasets</t>
  </si>
  <si>
    <t>Sybil attacks, spam, malware, phishing</t>
  </si>
  <si>
    <t>Social Network Graph</t>
  </si>
  <si>
    <t>yes</t>
  </si>
  <si>
    <t>Facebook (SNAP); Twitter; WhatsApp; Instagram</t>
  </si>
  <si>
    <t>http://snap.stanford.edu/data/</t>
  </si>
  <si>
    <t>Information Loss (IL); Execution Time</t>
  </si>
  <si>
    <t>Information Loss (IL)</t>
  </si>
  <si>
    <t>ACAPPSN, FBNT</t>
  </si>
  <si>
    <t>Lack of detection accuracy metrics</t>
  </si>
  <si>
    <t>Hardware Trojans (Data Leakage Trojans)</t>
  </si>
  <si>
    <t>64 bit Data Encryption Standard (DES) design</t>
  </si>
  <si>
    <t>Area overhead; Power overhead; Timing slack</t>
  </si>
  <si>
    <t>Area overhead</t>
  </si>
  <si>
    <t>Baseline DES design (VHDL)</t>
  </si>
  <si>
    <t>Hardware Trojans (HT) inserted at Register Transfer (RT) level in pipelined processors</t>
  </si>
  <si>
    <t>Created a suite of 28 Hardware Trojans in mor1kx (OpenRISC) core</t>
  </si>
  <si>
    <t>Trust-Hub platform (stated as future upload)</t>
  </si>
  <si>
    <t>Area overhead; Power overhead; Frequency/Delay overhead</t>
  </si>
  <si>
    <t>Existing benchmarks do not reflect real complexity (obsolete 8051 vs modern pipelined cores)</t>
  </si>
  <si>
    <t>Illegal trading of vulnerabilities by security personnel</t>
  </si>
  <si>
    <t>Simulated data based on HackerOne report parameters</t>
  </si>
  <si>
    <t>Equilibrium Stability (Eigenvalues); Evolutionary Path Convergence</t>
  </si>
  <si>
    <t>Data Exfiltration by APT (Mandiant model)</t>
  </si>
  <si>
    <t>Synthetic generation via DAPT 2020 dataset</t>
  </si>
  <si>
    <t>DAPT 2020</t>
  </si>
  <si>
    <t>https://github.com/PADLab/LeakageSearch</t>
  </si>
  <si>
    <t>Match rate (Similarity percentage); Runtime</t>
  </si>
  <si>
    <t>Match rate</t>
  </si>
  <si>
    <t>Comparison between Levenshtein Distance and TF-IDF</t>
  </si>
  <si>
    <t>High (Code and Dataset public)</t>
  </si>
  <si>
    <t>Synthetic data usage; Encrypted data limitation</t>
  </si>
  <si>
    <t>Insider threat in encrypted networks</t>
  </si>
  <si>
    <t>Statistical profiling (Cross-correlation)</t>
  </si>
  <si>
    <t>Private generated dataset (4 users, 16 sessions)</t>
  </si>
  <si>
    <t>Classification accuracy (implied from percentages in Table I)</t>
  </si>
  <si>
    <t>Correct Classification Rate</t>
  </si>
  <si>
    <t>Small sample size; Scalability issues</t>
  </si>
  <si>
    <t>DDoS, Malicious Insider, Data Breach, Insecure APIs</t>
  </si>
  <si>
    <t>Misconfigurations, black holes, loops, security violations in SDN chains</t>
  </si>
  <si>
    <t>Synthetic security chains generated by Python module</t>
  </si>
  <si>
    <t>Response time; Memory consumption</t>
  </si>
  <si>
    <t>Response time</t>
  </si>
  <si>
    <t>Comparison between CVC4, veriT (SMT solvers) and nuXmv (Model checker)</t>
  </si>
  <si>
    <t>Moderate (Methodology and tools are described, but code/data links are not provided)</t>
  </si>
  <si>
    <t>Fault-injection attacks (Clock/Voltage glitching, EM, Laser), Information leakage, Hardware Trojans</t>
  </si>
  <si>
    <t>AES; RSA; SHA</t>
  </si>
  <si>
    <t>Coverage metrics (CWE-IFT); Fault injection success rate</t>
  </si>
  <si>
    <t>Security Coverage</t>
  </si>
  <si>
    <t>Malware propagation in IoT (Attacker propagates, Defender defends)</t>
  </si>
  <si>
    <t>Reinforcement Learning (Stochastic Game + Dueling Double DQN)</t>
  </si>
  <si>
    <t>Experience Replay (Random Sampling from Buffer)</t>
  </si>
  <si>
    <t>Simulated environment based on 'idsgame'</t>
  </si>
  <si>
    <t>https://github.com/Limmen/gym-idsgame</t>
  </si>
  <si>
    <t>Cumulative reward; Average episode length; Average episode loss; Successful hack rate</t>
  </si>
  <si>
    <t>Cumulative reward</t>
  </si>
  <si>
    <t>DQN, DDQN</t>
  </si>
  <si>
    <t>Impact of batch size and replay memory size on convergence and stability</t>
  </si>
  <si>
    <t>Online Ensemble Learning</t>
  </si>
  <si>
    <t>interleaved test-then-train</t>
  </si>
  <si>
    <t>instance</t>
  </si>
  <si>
    <t>Adaptive Sampling (Oversampling)</t>
  </si>
  <si>
    <t>RandomRBF (Synthetic); RandomTree (Synthetic); connect-4; OLYMPIC; CovType</t>
  </si>
  <si>
    <t>Recall_MC; G-mean_MC; F1-score_MC; Kappa; Runtime</t>
  </si>
  <si>
    <t>Recall_MC</t>
  </si>
  <si>
    <t>LB, MOOB, MUOB, ARF, ARFre, SRP, KUE, ROSE, MicFoal</t>
  </si>
  <si>
    <t>Concept Drift; Class Imbalance; Noise</t>
  </si>
  <si>
    <t>Data leakage, Unauthorized data exfiltration, Network attacks (DoS, Fuzzers, Backdoors, etc. from UNSW-NB15)</t>
  </si>
  <si>
    <t>Supervised learning (Optimization of Classifier)</t>
  </si>
  <si>
    <t>Accuracy; True Positive Rate (TPR); False Positive Rate (FPR); Recall</t>
  </si>
  <si>
    <t>Weighted Objective Function (combining Accuracy, TPR, Recall, FPR)</t>
  </si>
  <si>
    <t>ClamAV, Suricata, XGBoost</t>
  </si>
  <si>
    <t>Medium (Pseudocode provided, Simulation platform named, but no code repository)</t>
  </si>
  <si>
    <t>Overfitting; False Positives; Imbalanced Datasets</t>
  </si>
  <si>
    <t>Air-gap covert channel via electromagnetic (EM) emissions</t>
  </si>
  <si>
    <t>MNIST (used as payload data for transmission)</t>
  </si>
  <si>
    <t>https://www.kaggle.com/datasets/oddrationale/mnist-in-csv</t>
  </si>
  <si>
    <t>Bit Error Rate (BER); Transmission Range; Mean Square Error (MSE) of spectrum</t>
  </si>
  <si>
    <t>Bit Error Rate (BER)</t>
  </si>
  <si>
    <t>GSMEM, BitJabber, USBEE, AIR-FI</t>
  </si>
  <si>
    <t>Android malware collecting sensitive data</t>
  </si>
  <si>
    <t>https://github.com/JordanSamhi/SensitiveData</t>
  </si>
  <si>
    <t>Vulnerability Exploitation (Predicting if a CVE will be exploited)</t>
  </si>
  <si>
    <t>Online/Stream Learning</t>
  </si>
  <si>
    <t>train-test contamination (future data in training)</t>
  </si>
  <si>
    <t>Interleaved-Test-Then-Train; Consecutive batch learning</t>
  </si>
  <si>
    <t>Time (Date of vulnerability disclosure)</t>
  </si>
  <si>
    <t>Balanced Window Strategy (BWS)</t>
  </si>
  <si>
    <t>Undersampling majority class in sliding window</t>
  </si>
  <si>
    <t>NVD (National Vulnerability Database); ExploitDB</t>
  </si>
  <si>
    <t>https://nvd.nist.gov/vuln/data-feeds</t>
  </si>
  <si>
    <t>Accuracy; Precision; Recall; F1 Score; G-mean</t>
  </si>
  <si>
    <t>G-mean</t>
  </si>
  <si>
    <t>HoeffdingTree, SVM, Logistic Regression (LR), SAMKNN, DWM, Learn++.NSE (LPPNSE), VFDRC</t>
  </si>
  <si>
    <t>Concept drift; Dynamic class imbalance; Label delay (class label drift)</t>
  </si>
  <si>
    <t>YouGov survey data from 10 Asian societies (N=6,691)</t>
  </si>
  <si>
    <t>Standardized coefficient (Beta); R-squared; p-value</t>
  </si>
  <si>
    <t>Standardized coefficient (Beta)</t>
  </si>
  <si>
    <t>Concept drift and class imbalance in streaming data</t>
  </si>
  <si>
    <t>Supervised (Online/Streaming simulation using chunks)</t>
  </si>
  <si>
    <t>Temporal leakage; Train-test contamination</t>
  </si>
  <si>
    <t>Cross-validation on time-series data; Oversampling before splitting (Ambiguous)</t>
  </si>
  <si>
    <t>Oversampling (ADASYN)</t>
  </si>
  <si>
    <t>NSL-KDD (referred to as NSL KDDCup / KDDCup99); Spam dataset (UCI Spambase); Chess dataset (UCI)</t>
  </si>
  <si>
    <t>Accuracy; Precision; Recall; Specificity; F-score; ROC</t>
  </si>
  <si>
    <t>ADODNN (ablation), OC-SVM, Naive Bayesian, Gaussian process, DNN+SVM, Gradient boosting</t>
  </si>
  <si>
    <t>Medium (Datasets are public, but code is not provided and preprocessing details are generic)</t>
  </si>
  <si>
    <t>Use of k-fold CV for concept drift</t>
  </si>
  <si>
    <t>Spoofing, Flooding, Fuzzing, Replay attacks on CAN bus</t>
  </si>
  <si>
    <t>Federated Learning (Horizontal)</t>
  </si>
  <si>
    <t>Privacy leakage (gradient leakage)</t>
  </si>
  <si>
    <t>CAN message (instance)</t>
  </si>
  <si>
    <t>Random assignment (for efficiency experiments)</t>
  </si>
  <si>
    <t>Car Hacking dataset</t>
  </si>
  <si>
    <t>Accuracy; Precision; Recall; F1 score; AUC; Runtime efficiency</t>
  </si>
  <si>
    <t>XGBoost (centralized), Plain Training (plaintext FL), Paillier Training (homomorphic encryption FL)</t>
  </si>
  <si>
    <t>Moderate (Algorithm details and hyperparameters provided, dataset is public, code not linked)</t>
  </si>
  <si>
    <t>Inter-app Data Leakage (Privacy Leakage via ICC)</t>
  </si>
  <si>
    <t>DroidBench; DidFail Dataset; Custom Test Apps (EchoerProtected, IntentSink1Protected)</t>
  </si>
  <si>
    <t>Detection Accuracy (Qualitative); False Positive Reduction</t>
  </si>
  <si>
    <t>Detection Accuracy</t>
  </si>
  <si>
    <t>DidFail</t>
  </si>
  <si>
    <t>Mobile malware, data leakage, unauthorized access</t>
  </si>
  <si>
    <t>Submission manipulation; Collusion between participants; Biased evaluation results</t>
  </si>
  <si>
    <t>College student employment database (unspecified)</t>
  </si>
  <si>
    <t>Processing time; Compressibility; Average distance error; Mean Absolute Error (MAE); Training/Testing accuracy (implied)</t>
  </si>
  <si>
    <t>Mean Absolute Error (MAE)</t>
  </si>
  <si>
    <t>Traditional Recommendation Technology</t>
  </si>
  <si>
    <t>Hardware Trojans in 3rd Party IPs (3PIP)</t>
  </si>
  <si>
    <t>Task Graph (TG), Edge Contraction Conflict Graph (ECCG), Vendor Conflict Graph (VCG)</t>
  </si>
  <si>
    <t>Robot control; Sparse matrix solver; SPEC fpppp; Randomly generated task graphs</t>
  </si>
  <si>
    <t>http://www.kasahara.elec.waseda.ac.jp/schedule/index.html</t>
  </si>
  <si>
    <t>Schedule Length (SL); Number of cores; Security constraint violations (scy_v); Runtime</t>
  </si>
  <si>
    <t>Schedule Length and Security Constraint Violations</t>
  </si>
  <si>
    <t>Cluster-based method (Cluster) proposed in [11]</t>
  </si>
  <si>
    <t>Moderate (Data source provided, algorithm described in pseudo-code)</t>
  </si>
  <si>
    <t>Cryptographic Data Leakage (Side-channel in encrypted payload)</t>
  </si>
  <si>
    <t>Encrypted payload patterns (n-grams)</t>
  </si>
  <si>
    <t>Cipher Block Chaining (CBC) mode; Increasing key size</t>
  </si>
  <si>
    <t>record (tweet/news article)</t>
  </si>
  <si>
    <t>Balanced</t>
  </si>
  <si>
    <t>Kaggle Isis dataset; AG News dataset</t>
  </si>
  <si>
    <t>http://qwone.com/~jason/20Newsgroups (for related work), Kaggle/AG News cited</t>
  </si>
  <si>
    <t>Precision; Recall; F1 Score</t>
  </si>
  <si>
    <t>F1 Score</t>
  </si>
  <si>
    <t>Multinomial Naive Bayes, Random Forest, Logistic Regression, Linear SVM</t>
  </si>
  <si>
    <t>Class imbalance</t>
  </si>
  <si>
    <t>Hardware Trojan in L1 d-cache causing read/write disturbance and information leakage</t>
  </si>
  <si>
    <t>SPEC CPU2000 (for performance overhead simulation)</t>
  </si>
  <si>
    <t>Area overhead (µm2); Power overhead (µW); Performance loss (%); Attack success rate (implied via circuit simulation)</t>
  </si>
  <si>
    <t>DoS, DDoS, Hulk, PortScan, Slowhttptest, slowloris (APT mentioned as general threat but not evaluated)</t>
  </si>
  <si>
    <t>Simulation of specific attack types mixed with benign traffic</t>
  </si>
  <si>
    <t>Benign traffic used as negative class</t>
  </si>
  <si>
    <t>Private Simulation in Shipping Enterprise Network</t>
  </si>
  <si>
    <t>Precision; Recall</t>
  </si>
  <si>
    <t>Precision</t>
  </si>
  <si>
    <t>sparse training set for some attacks</t>
  </si>
  <si>
    <t>Data Leakage (Insider Threat, Accidental Disclosure, Malicious Disclosure)</t>
  </si>
  <si>
    <t>Enron dataset; Datalossdb</t>
  </si>
  <si>
    <t>False Positive Rate; Accuracy</t>
  </si>
  <si>
    <t>False Positives; Subjectivity</t>
  </si>
  <si>
    <t>Conversational AI / Chatbots</t>
  </si>
  <si>
    <t>Phishing, Malware injection, Voice cloning, DoS, SQL injection, Social engineering</t>
  </si>
  <si>
    <t>Supervised / Unsupervised (General ML mentioned)</t>
  </si>
  <si>
    <t>Accuracy (general mention only)</t>
  </si>
  <si>
    <t>Not Applicable (Survey/Review)</t>
  </si>
  <si>
    <t>Android malware hijacking camera images to upload to Dropbox without user consent</t>
  </si>
  <si>
    <t>Self-generated images on Samsung Galaxy GC100 camera</t>
  </si>
  <si>
    <t>Forensic extraction success/failure</t>
  </si>
  <si>
    <t>Detection of malware artifacts by XRY toolkit</t>
  </si>
  <si>
    <t>XRY (Version: 6.10.1)</t>
  </si>
  <si>
    <t>Code snippets provided in figures; device model specified</t>
  </si>
  <si>
    <t>Manual interpretation of code increases cost and time</t>
  </si>
  <si>
    <t>dataset artifacts; concept drift</t>
  </si>
  <si>
    <t>Continuous Stream Drift Identification (CSDI); Retraining after drift detection</t>
  </si>
  <si>
    <t>Undersampling</t>
  </si>
  <si>
    <t>Credit card fraud detection (Kaggle); Twitter spam dataset (NSCLab)</t>
  </si>
  <si>
    <t>SVM; Random Forest (RF); Decision Tree (DT); NADS-RA; GAN; Standard XGBoost; KNN; DIA-XGBoost</t>
  </si>
  <si>
    <t>Class imbalance; Concept drift; Delay in labels</t>
  </si>
  <si>
    <t>node classification</t>
  </si>
  <si>
    <t>M2M</t>
  </si>
  <si>
    <t>Malware attacks, Data leakage, DoS</t>
  </si>
  <si>
    <t>Simulated data (AnyLogic)</t>
  </si>
  <si>
    <t>Attack duration; Data leakage time; Number of attacks</t>
  </si>
  <si>
    <t>Data leakage time</t>
  </si>
  <si>
    <t>IoT</t>
  </si>
  <si>
    <t>DoS, DDoS, SSH brute-force, ARP spoofing, data leakage</t>
  </si>
  <si>
    <t>Supervised (LightGBM) with Semi-Supervised Data Augmentation (CGAN)</t>
  </si>
  <si>
    <t>Duplication; Identifier Leakage</t>
  </si>
  <si>
    <t>Source/Destination IP; Timestamp; Duplicate records</t>
  </si>
  <si>
    <t>Deduplication; Feature Dropping (IP, Timestamp)</t>
  </si>
  <si>
    <t>Synthetic data generation using CGAN (Oversampling)</t>
  </si>
  <si>
    <t>RT-IoT2022</t>
  </si>
  <si>
    <t>UCI Machine Learning Repository</t>
  </si>
  <si>
    <t>Accuracy; Precision; Recall; F1-score; AUC; Confusion Matrix</t>
  </si>
  <si>
    <t>Implicit comparison to existing systems (textual claims)</t>
  </si>
  <si>
    <t>Moderate (Dataset public, Model details provided, Code missing)</t>
  </si>
  <si>
    <t>Recall for attacks was average (0.6559)</t>
  </si>
  <si>
    <t>Membership Inference Attacks (Black-box)</t>
  </si>
  <si>
    <t>label leakage; membership inference</t>
  </si>
  <si>
    <t>model outputs; communication of model parameters</t>
  </si>
  <si>
    <t>Differential Privacy; Noisy Aggregation (Laplacian noise); Teacher-Student Architecture (PATE)</t>
  </si>
  <si>
    <t>Partitioning into subsets</t>
  </si>
  <si>
    <t>CIFAR-10; MNIST</t>
  </si>
  <si>
    <t>https://www.cs.toronto.edu/~kriz/cifar.html</t>
  </si>
  <si>
    <t>Standard Supervised Learning (without privacy), Random Guess (for attack model)</t>
  </si>
  <si>
    <t>Trade-off between privacy noise and model accuracy; Computational overhead</t>
  </si>
  <si>
    <t>DoS, DDoS, reconnaissance, web-based attacks, brute force, spoofing, Mirai botnet</t>
  </si>
  <si>
    <t>federated learning</t>
  </si>
  <si>
    <t>Oversampling (GAN-based)</t>
  </si>
  <si>
    <t>CIC-IoT-2023</t>
  </si>
  <si>
    <t>Accuracy; Precision; Recall; F1</t>
  </si>
  <si>
    <t>Transformer, MG (MGAN without FL)</t>
  </si>
  <si>
    <t>Class imbalance; Data privacy; Small sample attacks</t>
  </si>
  <si>
    <t>Air-gap data exfiltration via Keyboard LEDs (Covert Channel)</t>
  </si>
  <si>
    <t>Custom experimental setup (Dell, Lenovo, Logitech, SilverLine keyboards); Recorded video/sensor data</t>
  </si>
  <si>
    <t>Bit Error Rate (BER); Bit rate (bit/sec); Distance (meters)</t>
  </si>
  <si>
    <t>Bit rate</t>
  </si>
  <si>
    <t>Moderate (Hardware setup described)</t>
  </si>
  <si>
    <t>Ambient light interference; Camera frame rate limitations; Line of sight requirements</t>
  </si>
  <si>
    <t>Mobile data leakage (privacy breach)</t>
  </si>
  <si>
    <t>system-call graph</t>
  </si>
  <si>
    <t>Unsupervised (Rule-based/Visual)</t>
  </si>
  <si>
    <t>Data Peek (Home-brewed); Spy Cam (Home-brewed); Call Tracker (Home-brewed); Exprespam; Armor for Android</t>
  </si>
  <si>
    <t>Qualitative (Visual Confirmation)</t>
  </si>
  <si>
    <t>Comparison to API call-based approach (qualitative)</t>
  </si>
  <si>
    <t>Nefarious Behavior in IoT/ICS</t>
  </si>
  <si>
    <t>Live Network Traffic (Passive Monitoring)</t>
  </si>
  <si>
    <t>Available</t>
  </si>
  <si>
    <t>www.apress.com/9781484236994</t>
  </si>
  <si>
    <t>High (Code provided)</t>
  </si>
  <si>
    <t>DoS, Blackhole, Grayhole, Flooding (WSN-DS); DoS, Probe, R2L, U2R (UNSW-NB15)</t>
  </si>
  <si>
    <t>Federated Learning (Privacy preservation)</t>
  </si>
  <si>
    <t>record-wise</t>
  </si>
  <si>
    <t>Oversampling (SMOTE) and Undersampling (RUS)</t>
  </si>
  <si>
    <t>WSN-DS; UNSW-NB15</t>
  </si>
  <si>
    <t>https://www.kaggle.com/datasets/bassamkasasbeh1/wsnds</t>
  </si>
  <si>
    <t>Accuracy; Precision; Recall; F1_score; MAE; MSE; RMSE</t>
  </si>
  <si>
    <t>DNN-FedAvg, LightGBM, CNN, RFC, PA, Fuzzy, GNB+SGD, DT, REPTree, DT+Gini, LSTM, BiLSTM</t>
  </si>
  <si>
    <t>Class imbalance; Data privacy; Heterogeneity of data</t>
  </si>
  <si>
    <t>Active Gradient Leakage Attack (Model Poisoning)</t>
  </si>
  <si>
    <t>Separate auxiliary and target datasets</t>
  </si>
  <si>
    <t>Batch</t>
  </si>
  <si>
    <t>Random sampling</t>
  </si>
  <si>
    <t>CIFAR10; CIFAR100; TinyImageNet; CelebA</t>
  </si>
  <si>
    <t>PSNR; SSIM; LPIPS; D-SNR</t>
  </si>
  <si>
    <t>PSNR</t>
  </si>
  <si>
    <t>Fishing, SEER, iDLG, IG</t>
  </si>
  <si>
    <t>Model initialization dependence; Gradient space bias</t>
  </si>
  <si>
    <t>Mobile malware, information leakage, unauthorized access, system-level attacks</t>
  </si>
  <si>
    <t>Functional Verification (Alert Generation)</t>
  </si>
  <si>
    <t>Comparison with SW-based security (mobile vaccine)</t>
  </si>
  <si>
    <t>IoT Attacks (DDoS, DoS, Recon, Web-based, Brute Force, Spoofing, Mirai)</t>
  </si>
  <si>
    <t>train-test contamination; feature selection leakage; data pre-processing leakage</t>
  </si>
  <si>
    <t>feature selection statistics; normalization parameters</t>
  </si>
  <si>
    <t>splitting data before processing; separate scaling for train/test</t>
  </si>
  <si>
    <t>random sampling</t>
  </si>
  <si>
    <t>CIC-IoT 2023</t>
  </si>
  <si>
    <t>Accuracy; Recall; Precision; F1-Score</t>
  </si>
  <si>
    <t>Comparison of ML/DL models (XGBM, LGBM, DT, ET, MLP, DNN, RNN, GRU) with and without leakage</t>
  </si>
  <si>
    <t>Moderate (Algorithm steps defined, but code not provided)</t>
  </si>
  <si>
    <t>Data Leakage during feature selection; Overfitting due to improper splitting; Inflated performance metrics</t>
  </si>
  <si>
    <t>Intrusion detection / Data Leakage Prevention</t>
  </si>
  <si>
    <t>Malware download and Confidential document leakage</t>
  </si>
  <si>
    <t>Other (Inverted Index and Bloom Filter)</t>
  </si>
  <si>
    <t>File/Object</t>
  </si>
  <si>
    <t>Implicit (Version-based)</t>
  </si>
  <si>
    <t>Stratified selection (Identical, Similar, Different)</t>
  </si>
  <si>
    <t>Yes (Different wiki files / Benign PE files)</t>
  </si>
  <si>
    <t>Yes (Similar files/Versions)</t>
  </si>
  <si>
    <t>Wikipedia; VirusShare</t>
  </si>
  <si>
    <t>False-positive rate; False-negative rate; Processing time; Jaccard index</t>
  </si>
  <si>
    <t>False-positive/False-negative ratios</t>
  </si>
  <si>
    <t>Zeek (Open Source Network Security Monitoring Tool)</t>
  </si>
  <si>
    <t>Medium (Datasets described but code not linked)</t>
  </si>
  <si>
    <t>Scalability; False positives; Encrypted traffic</t>
  </si>
  <si>
    <t>Hardware Trojan embedded in the CPU (TLB modification) to leak data</t>
  </si>
  <si>
    <t>GEM5 simulator</t>
  </si>
  <si>
    <t>Area overhead; Power overhead; Trigger success rate (N_SET)</t>
  </si>
  <si>
    <t>Low (Simulation code not linked)</t>
  </si>
  <si>
    <t>Hardware Trojans (HTs)</t>
  </si>
  <si>
    <t>graph</t>
  </si>
  <si>
    <t>balanced sampling</t>
  </si>
  <si>
    <t>Trust-Hub</t>
  </si>
  <si>
    <t>https://www.iccad-contest.org/Problems.html</t>
  </si>
  <si>
    <t>https://www.docker.com/ (Docker image provided)</t>
  </si>
  <si>
    <t>F1 Score; Precision; Recall; Correctness</t>
  </si>
  <si>
    <t>Dependency on golden chip</t>
  </si>
  <si>
    <t>phishing</t>
  </si>
  <si>
    <t>Spear phishing campaign simulation</t>
  </si>
  <si>
    <t>Private data from a large Central European manufacturing company (pseudonym 'Manco')</t>
  </si>
  <si>
    <t>Click rate; Data submission rate; Response time</t>
  </si>
  <si>
    <t>Click rate</t>
  </si>
  <si>
    <t>Low (Private dataset, Case study)</t>
  </si>
  <si>
    <t>Small sample size for specific subgroups; Case study limitations (single organization)</t>
  </si>
  <si>
    <t>General Cybercrime, APT, Malware, Identity Theft</t>
  </si>
  <si>
    <t>Data leakage, Digital fraud, Abuse of Privilege access, Insider threats, DoS, SQL injection, MitM</t>
  </si>
  <si>
    <t>Intrusion detection</t>
  </si>
  <si>
    <t>Compromised attacks (R2L, U2R), DoS, Probe</t>
  </si>
  <si>
    <t>Standard Benchmark Split</t>
  </si>
  <si>
    <t>Class-based Partitioning</t>
  </si>
  <si>
    <t>https://www.unb.ca/cic/datasets/nsl.html</t>
  </si>
  <si>
    <t>Accuracy; Detection Rate; Kappa Coefficient; Precision; F1-score; False Positive Rate (FPR)</t>
  </si>
  <si>
    <t>Detection Rate</t>
  </si>
  <si>
    <t>Naive Bayes, Naive Bayes Tree, AdaBoost</t>
  </si>
  <si>
    <t>Imbalanced distribution of classes</t>
  </si>
  <si>
    <t>DNS Data Leakage (Exfiltration) and DNS Tunneling</t>
  </si>
  <si>
    <t>Semi-supervised</t>
  </si>
  <si>
    <t>Downsampling (Benign)</t>
  </si>
  <si>
    <t>ART-Dateset (Alexa Top 10,000); WHOF-Dataset (Generated/Synthetic); Shanghai Jiao Tong University DNS traffic</t>
  </si>
  <si>
    <t>MAE; MSE; Accuracy; Recall; Precision; AUC</t>
  </si>
  <si>
    <t>MSE (for anomaly score) / Accuracy</t>
  </si>
  <si>
    <t>Decision Tree, Isolation Forest, Standard AutoEncoder, Variational-AE</t>
  </si>
  <si>
    <t>Data Leakage / Insider Threat</t>
  </si>
  <si>
    <t>Facebook (social network dataset); Epinions (trust network); Slashdot (friend/foe relationships)</t>
  </si>
  <si>
    <t>Percentage of saved nodes; Propagation time units</t>
  </si>
  <si>
    <t>Percentage of saved nodes</t>
  </si>
  <si>
    <t>Propagation without injected signature (x=0)</t>
  </si>
  <si>
    <t>covert channels</t>
  </si>
  <si>
    <t>Covert channels in TCP/IP headers (storage and timing)</t>
  </si>
  <si>
    <t>synthetic data injection</t>
  </si>
  <si>
    <t>Synthetic injection</t>
  </si>
  <si>
    <t>LBNL/ICSI Enterprise Tracing Project; Custom generated covert channels</t>
  </si>
  <si>
    <t>http://www.icir.org/enterprise-tracing/</t>
  </si>
  <si>
    <t>False Positive Rate; False Negative Rate</t>
  </si>
  <si>
    <t>Detection accuracy (implied from counts)</t>
  </si>
  <si>
    <t>Lack of public datasets; Noisy channels</t>
  </si>
  <si>
    <t>Insider Threat</t>
  </si>
  <si>
    <t>Insider Data Leakage (Data Exfiltration)</t>
  </si>
  <si>
    <t>train-test contamination; label leakage</t>
  </si>
  <si>
    <t>sampling artifacts</t>
  </si>
  <si>
    <t>None</t>
  </si>
  <si>
    <t>instance-based</t>
  </si>
  <si>
    <t>Hybrid (Random Under-sampling and Random Over-sampling)</t>
  </si>
  <si>
    <t>CMU CERT r4.2</t>
  </si>
  <si>
    <t>https://resources.sei.cmu.edu/library/asset-view.cfm?assetid=508099</t>
  </si>
  <si>
    <t>Precision; Recall; F1-score; ROC-AUC; PR-AUC; Specificity</t>
  </si>
  <si>
    <t>ROC-AUC</t>
  </si>
  <si>
    <t>XGB, RF, DT, KNN (Baseline without resampling)</t>
  </si>
  <si>
    <t>Medium (Dataset public, methods standard, but code not provided)</t>
  </si>
  <si>
    <t>Overfitting due to over-sampling</t>
  </si>
  <si>
    <t>Node key pair faking, data leakage, unauthorized access by revoked entities, intruder interception and forgery</t>
  </si>
  <si>
    <t>https://github.com/asunafy/SVF-NDN</t>
  </si>
  <si>
    <t>Property Satisfaction (Valid/Invalid)</t>
  </si>
  <si>
    <t>Intrusion Detection / Data Leakage Prevention</t>
  </si>
  <si>
    <t>Perimeter breaches, Port Scanning, Web Server Reconnaissance, Hostile Intruder</t>
  </si>
  <si>
    <t>Self-generated scenarios (Port Scans); Self-generated scenarios (Web Reconnaissance)</t>
  </si>
  <si>
    <t>Detection Probability (Theoretical)</t>
  </si>
  <si>
    <t>Detection Probability (Equation 1)</t>
  </si>
  <si>
    <t>Low (Prototype implementation described, but no code or dataset provided)</t>
  </si>
  <si>
    <t>multiclass classification</t>
  </si>
  <si>
    <t>DoS, DDoS, Probe, Brute Force, Botnets, Web attacks, U2R, SQL injection, XSS</t>
  </si>
  <si>
    <t>stratified sampling</t>
  </si>
  <si>
    <t>inSDN; SDN Intrusion Detection; IoT-SDN IDS</t>
  </si>
  <si>
    <t>Accuracy; Precision; Recall; F1-score; Confusion Matrix</t>
  </si>
  <si>
    <t>WNIDS, CNN-RF, LSTM, SelectKBest-DT, V-NKDE</t>
  </si>
  <si>
    <t>class imbalance; overfitting</t>
  </si>
  <si>
    <t>General cyber threats (DDoS, intrusion, fraud, data leakage)</t>
  </si>
  <si>
    <t>Data Leakage / Exfiltration of confidential documents</t>
  </si>
  <si>
    <t>train-test contamination</t>
  </si>
  <si>
    <t>document</t>
  </si>
  <si>
    <t>Self-collected articles from pcmag.com, scmagazine.com, CNN.com</t>
  </si>
  <si>
    <t>Precision; Recall; Classification Accuracy</t>
  </si>
  <si>
    <t>Classification Accuracy</t>
  </si>
  <si>
    <t>Taxicab vs Cosine Similarity (Distance Measures)</t>
  </si>
  <si>
    <t>Data modification (obfuscation/spinning); Known vs Unknown data scenarios</t>
  </si>
  <si>
    <t>DoS, Malicious Insider, Data Breach, API Vulnerability</t>
  </si>
  <si>
    <t>Survey data from 344 postgraduate students at University of Calicut</t>
  </si>
  <si>
    <t>Descriptive statistics (percentage, frequency)</t>
  </si>
  <si>
    <t>Low (Survey questionnaire not fully provided, data not public)</t>
  </si>
  <si>
    <t>Hardware Security</t>
  </si>
  <si>
    <t>Hardware Trojans (HT)</t>
  </si>
  <si>
    <t>Trust-Hub AES-T500; Trust-Hub AES-T600; Trust-Hub AES-T700; Trust-Hub AES-T800; Trust-Hub AES-T1600</t>
  </si>
  <si>
    <t>https://www.trust-hub.org</t>
  </si>
  <si>
    <t>Accuracy; Loss</t>
  </si>
  <si>
    <t>CNN, MLP, HTM, OC-SVM</t>
  </si>
  <si>
    <t>Healthcare API</t>
  </si>
  <si>
    <t>Data Breaches, Injection Attacks, DoS, Insider Threats, Man-in-the-Middle</t>
  </si>
  <si>
    <t>Malware executables (including zero-day exploits and targeted attacks)</t>
  </si>
  <si>
    <t>Supervised (Streaming Ensembles vs Batch Ensembles)</t>
  </si>
  <si>
    <t>temporal leakage; concept drift</t>
  </si>
  <si>
    <t>training on future data</t>
  </si>
  <si>
    <t>temporal split (training on year N, testing on year N+1); interleaved test-then-train</t>
  </si>
  <si>
    <t>time (year/week)</t>
  </si>
  <si>
    <t>Oza bagging (Poisson(1) distribution for streaming)</t>
  </si>
  <si>
    <t>Private dataset from Arbor Networks and corporate network (2010, 2011, 2012)</t>
  </si>
  <si>
    <t>Accuracy; Class Averaged Accuracy</t>
  </si>
  <si>
    <t>Batch Decision Tree Ensembles vs Streaming Hoeffding Tree Ensembles</t>
  </si>
  <si>
    <t>Low (Private data, custom tools)</t>
  </si>
  <si>
    <t>Concept drift; Class imbalance; Adversarial modification (checksum spoofing)</t>
  </si>
  <si>
    <t>Adversarial attacks (untargeted, crafting decision tree)</t>
  </si>
  <si>
    <t>University of Queensland Vital Signs (UQVS); Synthetic dataset</t>
  </si>
  <si>
    <t>Accuracy; Precision; Recall; F1-score; Success rate</t>
  </si>
  <si>
    <t>DL-based CSI, Blockchain-based DL, Mask-RCNN</t>
  </si>
  <si>
    <t>Authorization-data leakage in IoT device sharing (e.g., MQTT topic leakage, username leakage, device ID leakage)</t>
  </si>
  <si>
    <t>Simulated attacks on 6 IoT platforms (ThingsBoard, Kaa Enterprise, Kaa open-source, JetLinks, ThingsKit, ThingsPanel)</t>
  </si>
  <si>
    <t>https://github.com/SecHARE/SecHARE</t>
  </si>
  <si>
    <t>Latency (ms); CPU usage; Memory usage</t>
  </si>
  <si>
    <t>Latency</t>
  </si>
  <si>
    <t>Comparison of system performance before and after applying SecHARE patch</t>
  </si>
  <si>
    <t>Data Leakage (sensitive data exfiltration)</t>
  </si>
  <si>
    <t>Unsupervised / Profile-based (Taxicap geometry distance to N-gram profiles)</t>
  </si>
  <si>
    <t>Manual selection of topics and documents</t>
  </si>
  <si>
    <t>Self-collected dataset (360 documents from online resources like pcmag.com, scmagazine.com); Wikipedia (for category profiles)</t>
  </si>
  <si>
    <t>Accuracy (Correct Classification Percentage); Precision; Recall</t>
  </si>
  <si>
    <t>Comparison to their own previous work [19] and general discussion of other methods (fingerprinting)</t>
  </si>
  <si>
    <t>Low (Dataset and code not provided, source URLs generic)</t>
  </si>
  <si>
    <t>Shared N-grams between categories (e.g., Encryption vs VPN) causing misclassification; Dictionary attacks/synonyms not handled</t>
  </si>
  <si>
    <t>Database Security</t>
  </si>
  <si>
    <t>Dataset Bias</t>
  </si>
  <si>
    <t>Network Intrusions (various attacks in UNSW-NB15, ToN-IoT, BoT-IoT)</t>
  </si>
  <si>
    <t>spatio-temporal</t>
  </si>
  <si>
    <t>Supervised fine-tuning after Self-Supervised Pretraining</t>
  </si>
  <si>
    <t>train-test contamination; temporal leakage; dataset artifacts</t>
  </si>
  <si>
    <t>Random sampling of static graphs; Node masking in transductive settings</t>
  </si>
  <si>
    <t>Temporal sliding window; Strict separation of window memories</t>
  </si>
  <si>
    <t>Time Windows (groups of sequences)</t>
  </si>
  <si>
    <t>Negative edge sampling (for pretraining); Temporal undersampling (for few-shot)</t>
  </si>
  <si>
    <t>UNSW-NB15; ToN-IoT; BoT-IoT</t>
  </si>
  <si>
    <t>https://github.com/CBA-UPC/PPT-GNN</t>
  </si>
  <si>
    <t>F1 Weighted; F1 Macro</t>
  </si>
  <si>
    <t>F1 Macro (Multiclass)</t>
  </si>
  <si>
    <t>MLP, E-ResGAT, E-GraphSAGE</t>
  </si>
  <si>
    <t>Random sampling in baselines creates unrealistic conditions; Data leakage in static graph evaluations; Unattainable features in public datasets</t>
  </si>
  <si>
    <t>Hardware Trojans (HT) in RTL designs</t>
  </si>
  <si>
    <t>structural similarity</t>
  </si>
  <si>
    <t>Cross-design validation</t>
  </si>
  <si>
    <t>Circuit/Design family</t>
  </si>
  <si>
    <t>Adversarial Sampling (FGSM)</t>
  </si>
  <si>
    <t>TrustHub (AES, RS232, Ethernet, S38584)</t>
  </si>
  <si>
    <t>Recall</t>
  </si>
  <si>
    <t>GAT (Portable HT Detection); R-HT Detector (MLP+Adv); GNN4TJ; Circuit Topology Aware Detection (GCN); Deep Learning GNN at RTL</t>
  </si>
  <si>
    <t>Lack of cross-design generalization in prior works; Adversarial fragility</t>
  </si>
  <si>
    <t>DoS/DDoS, Routing attacks, Malware, Intrusions</t>
  </si>
  <si>
    <t>Supervised / Semi-supervised (reviewed papers)</t>
  </si>
  <si>
    <t>RPL-NIDDS17; NF-ToN-IoT-v2; Bot-IoT; IoT Network Intrusion; DoH20; KDD Cup '99; UNSW-NB15; CIDDS-001; KDD99; NSL-KDD; CICIDS2017; IoT-23; NBaIoT; CIC-IDS2018; IoT-IDS2020; MQTT-IoT-IDS2020</t>
  </si>
  <si>
    <t>Accuracy; F1-score; Precision; Recall; False Positive Rate; False Negative Rate</t>
  </si>
  <si>
    <t>High dimensionality; False alarms; Resource limitations</t>
  </si>
  <si>
    <t>Data leakage by malicious Android applications</t>
  </si>
  <si>
    <t>Self-generated test traffic using 10 common Android apps (Baidu, WeChat, TikTok, etc.)</t>
  </si>
  <si>
    <t>Success rate of network control; Application startup time overhead; System performance overhead (CPU/RAM)</t>
  </si>
  <si>
    <t>Success rate of network control</t>
  </si>
  <si>
    <t>Comparison between system with and without the whitelist module enabled</t>
  </si>
  <si>
    <t>Low (Custom implementation, no code provided)</t>
  </si>
  <si>
    <t>Data Leakage / Backdoor (The Tick)</t>
  </si>
  <si>
    <t>Time Window (Vectors)</t>
  </si>
  <si>
    <t>ElectroSense (Private/Custom)</t>
  </si>
  <si>
    <t>TNR; TPR; Detection Time; Resource Consumption</t>
  </si>
  <si>
    <t>TNR/TPR</t>
  </si>
  <si>
    <t>Autoencoder vs. IF vs. COPOD vs. OCSVM vs. LOF</t>
  </si>
  <si>
    <t>Intelligent Talent Information System</t>
  </si>
  <si>
    <t>data breaches, malware, unauthorized access, network attacks</t>
  </si>
  <si>
    <t>Simulated or Proprietary User Data (500-3500 users)</t>
  </si>
  <si>
    <t>Risk identification rate; Encryption and decryption time; User satisfaction</t>
  </si>
  <si>
    <t>Risk identification rate</t>
  </si>
  <si>
    <t>Traditional intelligent talent information system (System 1) vs Proposed System (System 2)</t>
  </si>
  <si>
    <t>Graph of binds (Abstract Syntax Tree/Data Dependency)</t>
  </si>
  <si>
    <t>Threshold calibration on simplified circuit (2 AES rounds), Testing on full benchmarks (AES-T/RSA-T)</t>
  </si>
  <si>
    <t>Trust-Hub benchmarks (AES-T series, RSA-T series)</t>
  </si>
  <si>
    <t>Trust-Hub [17]</t>
  </si>
  <si>
    <t>Leakage (bit); Time (s); Detection Rate (Implicit)</t>
  </si>
  <si>
    <t>IoT Network Intrusion Detection (NIDS)</t>
  </si>
  <si>
    <t>Botnets (Mirai, Zeus, Citadel, Conficker), DoS, DDoS, Exploits, Fuzzers, Reconnaissance, Backdoor, Worms</t>
  </si>
  <si>
    <t>record (flow)</t>
  </si>
  <si>
    <t>UNSW-NB15; NIMS botnet dataset; Simulated IoT sensor traffic (Node-Red/MQTT)</t>
  </si>
  <si>
    <t>https://www.unsw.adfa.edu.au/australian-centre-for-cybersecurity/cybersecurity/ADFA-NB15-Datasets/</t>
  </si>
  <si>
    <t>Accuracy; Detection Rate (DR); False Positive Rate (FPR); Processing Time; ROC Curve</t>
  </si>
  <si>
    <t>Detection Rate (DR) and False Positive Rate (FPR)</t>
  </si>
  <si>
    <t>Decision Tree (DT), Naive Bayes (NB), Artificial Neural Network (ANN) [individual comparisons], SVM, BN, Markov Chain (from literature)</t>
  </si>
  <si>
    <t>Medium (Datasets and parameters provided, but no code repository)</t>
  </si>
  <si>
    <t>over-fitting</t>
  </si>
  <si>
    <t>Internal attackers (malicious administrators/database administrators)</t>
  </si>
  <si>
    <t>Synthetic HL7 CDA Health Documents</t>
  </si>
  <si>
    <t>Execution Time</t>
  </si>
  <si>
    <t>DoS, DDoS, phishing, spoofing, MiTM</t>
  </si>
  <si>
    <t>Supervised (Ensemble Learning)</t>
  </si>
  <si>
    <t>Concept Drift (CD)</t>
  </si>
  <si>
    <t>Dynamic weight adjustment (for Concept Drift); Reweighting (for Class Imbalance)</t>
  </si>
  <si>
    <t>sample-wise (random partition)</t>
  </si>
  <si>
    <t>Stratified sampling</t>
  </si>
  <si>
    <t>Edge-IIoTset; CICIoT2023</t>
  </si>
  <si>
    <t>Available from the corresponding author on reasonable request</t>
  </si>
  <si>
    <t>Accuracy; Precision; Recall; F-Score; MCC; Cohen's Kappa; ROC-AUC</t>
  </si>
  <si>
    <t>DNN, KNN, SVM, RF, DT, SA-DCNN, CNN+LSTM, CKAN, FedMLDL+FedRIME</t>
  </si>
  <si>
    <t>Medium (Datasets are public/standard, hyperparameters listed, but code not provided)</t>
  </si>
  <si>
    <t>Concept Drift (CD); Class Imbalance (CI)</t>
  </si>
  <si>
    <t>cyber-attacks (9 distinct attack categories in UNSW-NB 15)</t>
  </si>
  <si>
    <t>record/flow</t>
  </si>
  <si>
    <t>80:20 train-test ratio</t>
  </si>
  <si>
    <t>UNSW-NB 15</t>
  </si>
  <si>
    <t>https://www.unsw.adfa.edu.au/unswcanberracyber/cybersecurity/ADFA-NB15-Datasets</t>
  </si>
  <si>
    <t>Accuracy (ACC); Detection Rate (DR); False Positive Rate (FPR); Precision; F1 score; Privacy Index; Dissimilarity Level</t>
  </si>
  <si>
    <t>Accuracy (ACC)</t>
  </si>
  <si>
    <t>AB, CatBoost (CB), Decision Trees (DT), Gradient Boosting (GB), LR, NB, Random Forests (RF), XGBoost (XGB)</t>
  </si>
  <si>
    <t>Insider Threat (IP theft, sabotage, sensitive data exposure, web application attacks)</t>
  </si>
  <si>
    <t>Supervised (implied by training on labeled synthetic data)</t>
  </si>
  <si>
    <t>Record-based</t>
  </si>
  <si>
    <t>Synthetic generation with specific splits</t>
  </si>
  <si>
    <t>Synthetic Dataset (2K records based on LANL concepts)</t>
  </si>
  <si>
    <t>Accuracy; Precision; Recall; F1-Score; Confusion Matrix; Model Loss</t>
  </si>
  <si>
    <t>Synthetic Data Validity; Small Dataset Size</t>
  </si>
  <si>
    <t>RPA-specific threats (Data leakage, Theft, System failure, Vulnerabilities in RPA architecture)</t>
  </si>
  <si>
    <t>Synthetic Case Study (ACME company scenario)</t>
  </si>
  <si>
    <t>https://github.com/oleferovich/-OntoSecRPA</t>
  </si>
  <si>
    <t>Ontology Metrics (Depth, Breadth, Cardinality); Logical axioms count; Risk value (Calculated via formula)</t>
  </si>
  <si>
    <t>Risk value</t>
  </si>
  <si>
    <t>High (Ontology available via GitHub)</t>
  </si>
  <si>
    <t>Cloud / WSN</t>
  </si>
  <si>
    <t>DoS, Unauthorized Access, Data Interception, Flooding, Blackhole, Grayhole, TDMA</t>
  </si>
  <si>
    <t>Feature Selection (KePO)</t>
  </si>
  <si>
    <t>CICIDS-17; UNSW-NB15; CICIDS-2019; NSL-KDD</t>
  </si>
  <si>
    <t>Accuracy; Precision; Recall; F1-score</t>
  </si>
  <si>
    <t>NB, CNN, SVM, ANN, SVD + K-means</t>
  </si>
  <si>
    <t>redundant features</t>
  </si>
  <si>
    <t>graph classification</t>
  </si>
  <si>
    <t>Network attacks (DDoS, PortScan, Bot, Web Attack, Infiltration, etc.)</t>
  </si>
  <si>
    <t>Network traffic graph (Nodes: IPs, Edges: Flows)</t>
  </si>
  <si>
    <t>Federated Learning (Supervised)</t>
  </si>
  <si>
    <t>CIC-IDS 2017; IMDB-BINARY (as public domain data for transfer)</t>
  </si>
  <si>
    <t>Accuracy; Precision; Recall; F1 Score</t>
  </si>
  <si>
    <t>Local, FedAvg, FedProx, FedSage, GCFL, MemAE-EIF, CTGCN, DyGCN</t>
  </si>
  <si>
    <t>Temporal leakage due to random split of time-series data; Static graph construction with fixed windows</t>
  </si>
  <si>
    <t>Man-in-the-Middle (MITM), Spoofing, Eavesdropping</t>
  </si>
  <si>
    <t>Security Effectiveness Index (SEI); Risk Exposure (RE)</t>
  </si>
  <si>
    <t>Security Effectiveness Index (SEI)</t>
  </si>
  <si>
    <t>Comparison between Layered Security Framework and Zero Trust Architecture using theoretical scoring</t>
  </si>
  <si>
    <t>Not Reproducible (Theoretical framework with hypothetical scoring)</t>
  </si>
  <si>
    <t>SQL Injection Attack</t>
  </si>
  <si>
    <t>Synthetic Patient Table (MySQL)</t>
  </si>
  <si>
    <t>Qualitative Analysis (Success of SQL Injection)</t>
  </si>
  <si>
    <t>Relational Model vs. EAV Model vs. Dynamic Tables</t>
  </si>
  <si>
    <t>Low (Synthetic data description provided, but specific scripts not linked)</t>
  </si>
  <si>
    <t>cloud computing</t>
  </si>
  <si>
    <t>DDoS, SQL injection, Cross-Site Scripting, unauthorized access, data leakage</t>
  </si>
  <si>
    <t>Differential attacks, Statistical attacks, Noise attacks (Gaussian, Salt-and-pepper, Speckle, Poisson), Occlusion attacks</t>
  </si>
  <si>
    <t>Color medical images from medpix.nlm.nih.gov; Color medical images from openmd.com</t>
  </si>
  <si>
    <t>https://medpix.nlm.nih.gov</t>
  </si>
  <si>
    <t>Number of Pixels Change Rate (NPCR); Unified Average Changed Intensity (UACI); Information entropy (H); Peak Signal-to-Noise Ratio (PSNR); Structural Similarity (SSIM); Feature Similarity (FSIM); Edge Detection Ratio (EDR); Correlation coefficient (Cr); Histogram Deviation (HD); Irregular Deviation (ID)</t>
  </si>
  <si>
    <t>NPCR, UACI, Entropy</t>
  </si>
  <si>
    <t>Comparison with recent related works [35–37, 50–59]</t>
  </si>
  <si>
    <t>Moderate (Public data sources cited, algorithms described via pseudo-code, but no code repository provided)</t>
  </si>
  <si>
    <t>Database activity monitoring</t>
  </si>
  <si>
    <t>Insider data leakage, abuse of privilege, unknown abnormal transactions</t>
  </si>
  <si>
    <t>Transductive</t>
  </si>
  <si>
    <t>Used full daily log (297,019 records) but selected top-k outliers for manual validation.</t>
  </si>
  <si>
    <t>KAERI (Korea Atomic Energy Research Institute) database access log</t>
  </si>
  <si>
    <t>Computation time; ROC (for approximation quality); Manual verification of outliers</t>
  </si>
  <si>
    <t>Computation time</t>
  </si>
  <si>
    <t>Brute-force LOF vs kd-tree LOF vs ANN-LOF</t>
  </si>
  <si>
    <t>Divide-by-zero error in local reachability density due to duplicates; High computational complexity of exact LOF</t>
  </si>
  <si>
    <t>Insider Attacks / Data Misuse (e.g., data theft, bulk extraction)</t>
  </si>
  <si>
    <t>Supervised (Weighted Naïve-Bayes)</t>
  </si>
  <si>
    <t>query</t>
  </si>
  <si>
    <t>Random selection of generated queries</t>
  </si>
  <si>
    <t>MySQL employees sample database</t>
  </si>
  <si>
    <t>Static M-Score approach</t>
  </si>
  <si>
    <t>Preliminary evaluation based on simulation/synthetic queries</t>
  </si>
  <si>
    <t>IoMT</t>
  </si>
  <si>
    <t>DDoS, password brute-force, backdoor, injection, scanning, ransomware, XSS, MiTM, DoS, APTs</t>
  </si>
  <si>
    <t>Federated Learning (FL) with Q-Learning (RL) and Deep Neural Networks (CNN/DNN)</t>
  </si>
  <si>
    <t>record</t>
  </si>
  <si>
    <t>Stratified sampling and targeted oversampling</t>
  </si>
  <si>
    <t>ToN-IoT; UCI Heart Disease Dataset</t>
  </si>
  <si>
    <t>Data will be made available upon request</t>
  </si>
  <si>
    <t>Accuracy; Precision; Detection Rate; F1-score; Communication Efficiency</t>
  </si>
  <si>
    <t>Centralized CNN, various FL approaches (FedBN, FedAvg mentioned in lit review), Refs [61-65]</t>
  </si>
  <si>
    <t>Malware, data alteration, eavesdropping in E2EE environments</t>
  </si>
  <si>
    <t>Simulation-based generation</t>
  </si>
  <si>
    <t>Synthetic Random Data</t>
  </si>
  <si>
    <t>Transmission speed average; Inspection coverage; E2EE retention</t>
  </si>
  <si>
    <t>Transmission speed average</t>
  </si>
  <si>
    <t>Deep Packet Inspection (DPI)</t>
  </si>
  <si>
    <t>Low (Code and specific simulation scripts not provided, only general logic)</t>
  </si>
  <si>
    <t>IoT network attacks (DoS, DDoS, Brute Force, etc.)</t>
  </si>
  <si>
    <t>Federated Learning (CNN)</t>
  </si>
  <si>
    <t>non-IID data distribution</t>
  </si>
  <si>
    <t>client-side evaluation</t>
  </si>
  <si>
    <t>record-level (flows)</t>
  </si>
  <si>
    <t>CSE-CIC-IDS2018</t>
  </si>
  <si>
    <t>Available on request</t>
  </si>
  <si>
    <t>Accuracy; Precision; Recall; F1-score; Loss</t>
  </si>
  <si>
    <t>Centralized CNN, Individual Learning (Solo)</t>
  </si>
  <si>
    <t>Server-side evaluation bias in non-IID settings; Class imbalance</t>
  </si>
  <si>
    <t>Targeted attacks (Malware intrusions, Data leakage)</t>
  </si>
  <si>
    <t>Response time reduction; Workload reduction</t>
  </si>
  <si>
    <t>Reduction of initial response time</t>
  </si>
  <si>
    <t>DoS, DDoS, MITM, XSS, Injection, Password, Ransomware, Scanning, Backdoor, Zero-day attacks</t>
  </si>
  <si>
    <t>Federated Learning (Cross-silo), Transfer Learning, Deep Neural Networks (DNN)</t>
  </si>
  <si>
    <t>record/sample</t>
  </si>
  <si>
    <t>Yes (for FL client distribution, not train/test)</t>
  </si>
  <si>
    <t>Imbalanced original distribution (Client 4), Artificially balanced (IID scenario), Filtered specific classes (Zero-day scenario)</t>
  </si>
  <si>
    <t>CIC-ToN-IoT</t>
  </si>
  <si>
    <t>The data used in this study are publicly available.</t>
  </si>
  <si>
    <t>Accuracy; Recall; Precision; F1-Score; Test Loss</t>
  </si>
  <si>
    <t>Accuracy, F1-Score</t>
  </si>
  <si>
    <t>Centralized RF, FL-based LR, FL-based FedAvg</t>
  </si>
  <si>
    <t>Evaluation bias due to random splitting of network traffic data (implicit threat, not noted by authors)</t>
  </si>
  <si>
    <t>Wormhole Attack in IoT (AODV/TCP protocols)</t>
  </si>
  <si>
    <t>None (Feature-based vectors)</t>
  </si>
  <si>
    <t>sample-based</t>
  </si>
  <si>
    <t>Malware Dataset (GitHub: anchal27sri)</t>
  </si>
  <si>
    <t>https://github.com/anchal27sri/Intrusion-Detection-with-machine-Learning/find/master</t>
  </si>
  <si>
    <t>Accuracy; F1 Score; Precision; Recall; Confusion Matrix; True Positive Rate; False Positive Rate</t>
  </si>
  <si>
    <t>Decision Tree, Naive Bayes</t>
  </si>
  <si>
    <t>PoS malware</t>
  </si>
  <si>
    <t>Point of Sale (PoS) malware attacks (e.g., fighterPOS, PwnPOS, Dexter)</t>
  </si>
  <si>
    <t>file/sample</t>
  </si>
  <si>
    <t>Private/Collected Dataset (100,000+ files); malimg dataset</t>
  </si>
  <si>
    <t>AdaBoost; GradientBoost; Random Forest</t>
  </si>
  <si>
    <t>Insider Threat (Data Leakage/Exfiltration)</t>
  </si>
  <si>
    <t>interaction/event</t>
  </si>
  <si>
    <t>CERT r4.2</t>
  </si>
  <si>
    <t>Precision; Recall; F-measure; AUC-ROC; Confusion Matrix</t>
  </si>
  <si>
    <t>AUC-ROC</t>
  </si>
  <si>
    <t>LR, DT, RF, NB, KNN, KSVM (Internal comparison)</t>
  </si>
  <si>
    <t>Class Imbalance; Encoding Bias</t>
  </si>
  <si>
    <t>Privacy leakage (sensitive data exfiltration), Malware behaviors</t>
  </si>
  <si>
    <t>Google Play Top Charts (October 2015 and February 2016); AOSP built-in apps (80 apps); CaffeineMark 3.0 Java benchmark</t>
  </si>
  <si>
    <t>Runtime overhead (percentage); Compilation time; Memory overhead; IPC overhead; CTS (Compatibility Test Suite) pass rate</t>
  </si>
  <si>
    <t>Runtime overhead</t>
  </si>
  <si>
    <t>Android ART (Optimizing Backend), Android ART (Quick Backend), Dalvik VM (Android 4.4), TaintDroid</t>
  </si>
  <si>
    <t>DoS, Exploits, Analysis, Fuzzers, Worms, Shellcode, Generic, Reconnaissance, Backdoor</t>
  </si>
  <si>
    <t>standard benchmark split</t>
  </si>
  <si>
    <t>Accuracy; Precision; Recall; F-score</t>
  </si>
  <si>
    <t>SVM, Random Forest, Bagging</t>
  </si>
  <si>
    <t>mobile security</t>
  </si>
  <si>
    <t>Post-installation attacks (Man-in-the-Disk, fake apps)</t>
  </si>
  <si>
    <t>Supervised Learning (Support Vector Machine implied in Fig 1, though text focuses on rule-based algorithms)</t>
  </si>
  <si>
    <t>Balanced sampling (300 safe, 300 unsafe)</t>
  </si>
  <si>
    <t>DREBIN; Virusshare; Google Play store (collected)</t>
  </si>
  <si>
    <t>TPR; FPR; Precision; Recall; Accuracy</t>
  </si>
  <si>
    <t>Automatic Android Malware Detection, Endroid, DREBIN (method)</t>
  </si>
  <si>
    <t>Low (No code provided, dataset split details missing)</t>
  </si>
  <si>
    <t>Image Tampering (Splicing, Copy-move, Removal)</t>
  </si>
  <si>
    <t>Oversampling</t>
  </si>
  <si>
    <t>CASIA v1; Columbia; MICC-F2000; Defacto</t>
  </si>
  <si>
    <t>Accuracy; Precision; Recall; F1-score; AUC; IoU</t>
  </si>
  <si>
    <t>IML-ViT, MVSS-Net++, ConvNeXtFF, DRRU-Net, CANF, CCLHF-Net</t>
  </si>
  <si>
    <t>Class imbalance; Compression artifacts; Subtle manipulation artifacts</t>
  </si>
  <si>
    <t>Port Scanning, Worm Virus (QQ Group Worm)</t>
  </si>
  <si>
    <t>Simulated Network Traffic (Nmap scan); Simulated Network Traffic (Worm Virus infection)</t>
  </si>
  <si>
    <t>Qualitative Analysis (Diagnosis Results)</t>
  </si>
  <si>
    <t>Snort/IDS (implied comparison as 'IDS' failing to detect new threats)</t>
  </si>
  <si>
    <t>Evaluation is demonstration-based, not statistical</t>
  </si>
  <si>
    <t>Membership inference attacks, Model inversion, Data interception</t>
  </si>
  <si>
    <t>Federated Learning (Multi-Layer Perceptron)</t>
  </si>
  <si>
    <t>Model parameters transfer; Feature data uploading</t>
  </si>
  <si>
    <t>Differential Privacy (Gaussian Noise); Homomorphic Encryption (Paillier)</t>
  </si>
  <si>
    <t>Random sampling (implied by cross-validation)</t>
  </si>
  <si>
    <t>Drebin; Malgenome</t>
  </si>
  <si>
    <t>Accuracy; F1-score; FPR</t>
  </si>
  <si>
    <t>Traditional FedAvg, CNN, CNN-LSTM, ResNeXt, FPA, SVM</t>
  </si>
  <si>
    <t>Moderate (Parameters provided, code not)</t>
  </si>
  <si>
    <t>IoT security</t>
  </si>
  <si>
    <t>Rogue Access Point (AP), Spoofing identity, Replay attack, Signal counterfeit attack</t>
  </si>
  <si>
    <t>sample/frame</t>
  </si>
  <si>
    <t>Balanced classes (implied)</t>
  </si>
  <si>
    <t>Private dataset (54 TI CC2530 ZigBee modules captured via USRP)</t>
  </si>
  <si>
    <t>Accuracy; Time Cost; ROC; AUC</t>
  </si>
  <si>
    <t>Hybrid RFF extraction vs Deep learning (CNN) based RFF</t>
  </si>
  <si>
    <t>Man-in-the-Middle (MITM), Spoofing, Payment Bypass, Malware Injection</t>
  </si>
  <si>
    <t>Self-generated network traffic from a popular music app on Android</t>
  </si>
  <si>
    <t>Success of attack demonstration</t>
  </si>
  <si>
    <t>Moderate (Methodology is described step-by-step but depends on a specific version of a specific app)</t>
  </si>
  <si>
    <t>DDoS, DoS, Mirai, Recon, Brute Force, Injection, Malware</t>
  </si>
  <si>
    <t>Federated Learning (FedAvg, FedProx)</t>
  </si>
  <si>
    <t>duplication; dataset artifacts</t>
  </si>
  <si>
    <t>data cleaning... removing duplicates</t>
  </si>
  <si>
    <t>sample-based (flow/row)</t>
  </si>
  <si>
    <t>Simple random sampling (10%)</t>
  </si>
  <si>
    <t>CICIoT2023</t>
  </si>
  <si>
    <t>Accuracy; Precision; Recall; F1-Score; Loss</t>
  </si>
  <si>
    <t>FedAvg vs FedProx</t>
  </si>
  <si>
    <t>Data heterogeneity (Non-IID); Limited clients</t>
  </si>
  <si>
    <t>Android Malware (File Stealer, App Store Malware, Spambot)</t>
  </si>
  <si>
    <t>Self-generated experimental data (Live Android Devices)</t>
  </si>
  <si>
    <t>Qualitative demonstration of successful exploit</t>
  </si>
  <si>
    <t>Success of Attack</t>
  </si>
  <si>
    <t>Phishing, ransomware, account hijacking, injection, brute force, man-in-the-middle</t>
  </si>
  <si>
    <t>Authentication time; Security strength (theoretical)</t>
  </si>
  <si>
    <t>Cloud/SaaS (Government)</t>
  </si>
  <si>
    <t>CSA Top Threats (Data Leakage, Account Hijacking, Password Hack, Data Theft, Malware Attack)</t>
  </si>
  <si>
    <t>Data leakage, Misconfiguration, Hardcoded Credentials, Stored XSS</t>
  </si>
  <si>
    <t>Real-world OSINT data (Shodan, Censys); ANAC purchase logs; CVE database</t>
  </si>
  <si>
    <t>https://buckets.grayhatwarfare.com/</t>
  </si>
  <si>
    <t>Advanced Persistent Threats (APTs), Phishing, Malware, Zero-day exploits</t>
  </si>
  <si>
    <t>dataset leakage; temporal leakage; entity overlap</t>
  </si>
  <si>
    <t>training data memorization; prompt leakage; incorrect data partitioning</t>
  </si>
  <si>
    <t>temporal splits; entity-level grouping; differential privacy fine-tuning; access-controlled vector stores</t>
  </si>
  <si>
    <t>CICIDS2017; DEFCON CTF 2019; MAWILab; DARPA 1998/1999; UNSW-NB15; TON_IoT</t>
  </si>
  <si>
    <t>https://www.mdpi.com/article/10.3390/info16110957/s1</t>
  </si>
  <si>
    <t>F1 score; Precision; Recall; AUC; Latency (ms)</t>
  </si>
  <si>
    <t>F1 score</t>
  </si>
  <si>
    <t>Traditional ML models (SVM, Random Forest), Rule-based systems, Non-fine-tuned LLMs</t>
  </si>
  <si>
    <t>Dataset leakage; Lack of class balance disclosure; Baseline parity issues; Recency bias</t>
  </si>
  <si>
    <t>DDoS, Ransomware, SQL injection, XSS, Backdoor, Password, Port Scanning, MITM, Fingerprinting, etc.</t>
  </si>
  <si>
    <t>features</t>
  </si>
  <si>
    <t>feature selection</t>
  </si>
  <si>
    <t>Edge-IIoTset</t>
  </si>
  <si>
    <t>https://doi.org/10.21227/MBC1-1H68</t>
  </si>
  <si>
    <t>https://github.com/ashrafunzannat/ASTRID-Net</t>
  </si>
  <si>
    <t>RNN, RF, DCNN, FCFFN, Ensemble, DT XGBOOST, DAE-DNN, Flow Transformer, CNN-BiLSTM, CST-AFNet</t>
  </si>
  <si>
    <t>imbalanced class distributions; noisy data</t>
  </si>
  <si>
    <t>Network covert channels (data leakage/stealthy malware communication) in MQTT protocol</t>
  </si>
  <si>
    <t>flow</t>
  </si>
  <si>
    <t>Self-generated MQTT traffic (EC2 instance, Mosquitto broker, MQTT.fx)</t>
  </si>
  <si>
    <t>Bandwidth; Undetectability (F-Score, AUC, ROC); Robustness (Bit Error Rate)</t>
  </si>
  <si>
    <t>F-Score</t>
  </si>
  <si>
    <t>DoS, Probe, R2L, U2R (Network Attacks)</t>
  </si>
  <si>
    <t>Supervised (Decision Tree, Random Forest, SVM)</t>
  </si>
  <si>
    <t>pre-defined split</t>
  </si>
  <si>
    <t>Comparison between Decision Tree, Random Forest, and SVM</t>
  </si>
  <si>
    <t>Low (Dataset is public, but specific preprocessing code and exact rule definitions for Snort integration are not provided)</t>
  </si>
  <si>
    <t>DDoS, brute-force attacks, port scans, botnets</t>
  </si>
  <si>
    <t>packet/flow</t>
  </si>
  <si>
    <t>SMOTE</t>
  </si>
  <si>
    <t>Network Traffic Data for Intrusion Detection (Kaggle)</t>
  </si>
  <si>
    <t>https://www.kaggle.com/datasets/mohdzia356/network-traffic-data-for-intrusion-detection</t>
  </si>
  <si>
    <t>Accuracy; Precision; Recall; F1-score; AUC; FPR; FNR; Training Time; Prediction Time</t>
  </si>
  <si>
    <t>SVM, Logistic Regression, Random Forest, CNN, Autoencoders</t>
  </si>
  <si>
    <t>Imbalanced datasets</t>
  </si>
  <si>
    <t>Data theft and illegal access (hacking) of voter data</t>
  </si>
  <si>
    <t>DoS (Denial of Service), misuse, anomaly</t>
  </si>
  <si>
    <t>Online Learning (Supervised and Unsupervised)</t>
  </si>
  <si>
    <t>concept drift</t>
  </si>
  <si>
    <t>Interleaved-Test-Then-Train; Sliding Window; Fading Factors</t>
  </si>
  <si>
    <t>interleaved-test-then-train</t>
  </si>
  <si>
    <t>record/packet (stream)</t>
  </si>
  <si>
    <t>KDD Cup 1999; UNSW-NB15</t>
  </si>
  <si>
    <t>https://www.unsw.adfa.edu.au/unsw-canberra-cyber/cybersecurity/ADFA-NB15-Datasets/</t>
  </si>
  <si>
    <t>Accuracy; Time; Memory; Recall; False Alarm Rate (FAR); F1 Score; Purity</t>
  </si>
  <si>
    <t>Naive Bayes (Blind vs Informed), Hoeffding Adaptive Tree (HAT), DenStream, D-Stream, CluStream</t>
  </si>
  <si>
    <t>Medium (Datasets public, algorithms standard in MOA framework)</t>
  </si>
  <si>
    <t>Concept Drift; Class Imbalance; Resource Constraints</t>
  </si>
  <si>
    <t>Obfuscated malware (Ransomware, Trojan Horse, Spyware)</t>
  </si>
  <si>
    <t>Supervised (Ensemble) with Unsupervised Feature Extraction</t>
  </si>
  <si>
    <t>temporal leakage; duplication</t>
  </si>
  <si>
    <t>random split; duplicate hashes</t>
  </si>
  <si>
    <t>temporal split; deduplication</t>
  </si>
  <si>
    <t>Time (Year of appearance)</t>
  </si>
  <si>
    <t>MemMal-D2024</t>
  </si>
  <si>
    <t>https://github.com/mpasco/MemMal-D2023</t>
  </si>
  <si>
    <t>Accuracy; F1-score; Precision; Recall; FPR; FNR; AUROC; Training/Testing Time; Memory Usage</t>
  </si>
  <si>
    <t>Accuracy and F1-score</t>
  </si>
  <si>
    <t>Naeem et al. (2023), Talukder et al. (2023), Smith et al. (2023b), Dener et al. (2022)</t>
  </si>
  <si>
    <t>Temporal Bias; Concept Drift; Data Duplication</t>
  </si>
  <si>
    <t>DoS, Web Attacks, Brute Force, Infiltration, Botnet, Heartbleed (CICIDS2017 categories)</t>
  </si>
  <si>
    <t>duplicate records</t>
  </si>
  <si>
    <t>Deduplication (removing duplicate records)</t>
  </si>
  <si>
    <t>flow-based (record-based)</t>
  </si>
  <si>
    <t>Hybrid (SMOTE + Random Undersampling)</t>
  </si>
  <si>
    <t>CICIDS2017</t>
  </si>
  <si>
    <t>https://www.unb.ca/cic/datasets/ids-2017.html</t>
  </si>
  <si>
    <t>Accuracy; Precision; Recall; F1-score; MCC; ROC-AUC; Balanced Accuracy</t>
  </si>
  <si>
    <t>Accuracy, F1-score</t>
  </si>
  <si>
    <t>KNN, XGBoost, Decision Tree, LSTM, Transformer, SVM</t>
  </si>
  <si>
    <t>Medium (Methodology clearly described, parameters listed, code not explicitly linked)</t>
  </si>
  <si>
    <t>Class imbalance; Feature redundancy; Dataset artifacts (duplicates)</t>
  </si>
  <si>
    <t>Adversarial Attacks (FGSM, BIM, JSMA, DF, CW)</t>
  </si>
  <si>
    <t>Adversarial samples generated from test data used in training</t>
  </si>
  <si>
    <t>packet/sample</t>
  </si>
  <si>
    <t>Random sampling for train/test split (80/20) and for adversarial sample splitting (60/40)</t>
  </si>
  <si>
    <t>Adversarial samples used as hard examples</t>
  </si>
  <si>
    <t>DS2OS</t>
  </si>
  <si>
    <t>https://www.kaggle.com/francoisxa/ds2ostraffictraces</t>
  </si>
  <si>
    <t>DNN vs DT vs RF (Baseline and Retrained)</t>
  </si>
  <si>
    <t>Data Imbalance; Adversarial Robustness</t>
  </si>
  <si>
    <t>Hardware Trojans / Information Leakage (Side-channels)</t>
  </si>
  <si>
    <t>Circuit Netlist / Data Flow Model</t>
  </si>
  <si>
    <t>Wireless cryptographic IC (AES + UWB transmitter); Transmission Power Trojan design; Carrier Frequency Trojan design; Analog-to-Digital Converter (ADC) leaking MSB</t>
  </si>
  <si>
    <t>Proof Verification Time; Proof Pass/Fail Status</t>
  </si>
  <si>
    <t>Proof Pass/Fail Status</t>
  </si>
  <si>
    <t>Low (No code/data link provided)</t>
  </si>
  <si>
    <t>False positives due to conservative policy; Inability to detect parametric side-channels automatically without annotation</t>
  </si>
  <si>
    <t>Control-flow hijacking attacks (Code reuse, ROP, return-into-libc), Control data leakage, Brute force attacks</t>
  </si>
  <si>
    <t>BEEBS; CoreMark-Pro; MbedTLS-Benchmark; PinLock (application); FatFs-SD (application)</t>
  </si>
  <si>
    <t>https://github.com/URSec/Randezvous</t>
  </si>
  <si>
    <t>Runtime overhead; Code size overhead; Data size overhead; Expected time to compromise (Entropy analysis)</t>
  </si>
  <si>
    <t>Expected time to compromise</t>
  </si>
  <si>
    <t>Baseline (Unprotected)</t>
  </si>
  <si>
    <t>DoS, Probe, Data Leakage</t>
  </si>
  <si>
    <t>Malware propagation (e.g., Stuxnet), Data exfiltration (Insider threat)</t>
  </si>
  <si>
    <t>provenance graph</t>
  </si>
  <si>
    <t>Self-generated workloads (Filebench, KVM, Tor, ClamAV); Simulated Stuxnet scenario</t>
  </si>
  <si>
    <t>Throughput (MB/s); Latency (ms); Storage Overhead (KB/MB); Enumeration Time (ms)</t>
  </si>
  <si>
    <t>Throughput (MB/s)</t>
  </si>
  <si>
    <t>Commercial USB devices (Kingston DataTraveler, SanDisk Cruzer Fit)</t>
  </si>
  <si>
    <t>Data Exfiltration/Leakage (T1: Accidental, T2: Malicious Browser, T3: Unconstrained Malware)</t>
  </si>
  <si>
    <t>Synthetic test documents created by authors (.txt, .docx, .pdf with specific keywords)</t>
  </si>
  <si>
    <t>Blocking Success (Pass/Fail); Prevention Rate (Implicit)</t>
  </si>
  <si>
    <t>Blocking Success</t>
  </si>
  <si>
    <t>Comparison of 3 commercial Host-based DLP solutions (A, B, C)</t>
  </si>
  <si>
    <t>Lack of transparency in vendor solutions; Undefined threat models in commercial evaluations</t>
  </si>
  <si>
    <t>DDoS, malware, unauthorized access, port scanning, data theft</t>
  </si>
  <si>
    <t>Supervised (Implied by Machine Learning mention, but details not reported)</t>
  </si>
  <si>
    <t>Response time; accuracy; false positives rate</t>
  </si>
  <si>
    <t>Not Reproducible</t>
  </si>
  <si>
    <t>DoS, DDoS, Man-in-the-middle, Dictionary attacks, Phishing, Keylogger, Malware, Privacy leakage</t>
  </si>
  <si>
    <t>Man-in-the-Disk (MITD) attacks, Fake apps</t>
  </si>
  <si>
    <t>Balancing (Undersampling/Oversampling implied)</t>
  </si>
  <si>
    <t>DREBIN; VirusShare; Google Play; ContagioDump; Deep_zone_apps; Karon_malware; Zudy_malware; china_malware</t>
  </si>
  <si>
    <t>True Positive Rate (TPR); False Positive Rate (FPR); Accuracy; Precision; F1 score</t>
  </si>
  <si>
    <t>Existing methods (Malware injection, Reverse engineering, Privilege escalation, UI spoofing techniques)</t>
  </si>
  <si>
    <t>Imbalanced dataset</t>
  </si>
  <si>
    <t>Buffer Overflow Vulnerability (CWE-119)</t>
  </si>
  <si>
    <t>function-level</t>
  </si>
  <si>
    <t>SATE IV Juliet Test Suite; Debian Linux distribution; Open-source Git repositories (GitHub)</t>
  </si>
  <si>
    <t>Accuracy; Precision; Recall; F1 score; Execution Time</t>
  </si>
  <si>
    <t>Simple RNN, LSTM, BiLSTM, LSTM-Autoencoder, Word2vec, BERT, GPT-2</t>
  </si>
  <si>
    <t>DNS Tunneling</t>
  </si>
  <si>
    <t>packet</t>
  </si>
  <si>
    <t>Random selection from merged pool</t>
  </si>
  <si>
    <t>Alexa Top 1 Million (Legal); Generated Traffic (Iodine, DNSCat2, DNS2Tcp)</t>
  </si>
  <si>
    <t>Partially (Alexa)</t>
  </si>
  <si>
    <t>Accuracy; Precision; Recall; F1 Score; Processing Time</t>
  </si>
  <si>
    <t>Random Forest; Fuzzy C-Means; Isolation Forest; K-Means; SVM</t>
  </si>
  <si>
    <t>DoS, DDoS, Brute-force, Botnet, Infiltration, Heartbleed, Web attacks</t>
  </si>
  <si>
    <t>Federated Learning (Unsupervised)</t>
  </si>
  <si>
    <t>record/packet</t>
  </si>
  <si>
    <t>Random sampling (50% of majority class)</t>
  </si>
  <si>
    <t>KDDCUP 99; NSL-KDD; CSE-CIC-IDS2017; CSE-CIC-IDS2018</t>
  </si>
  <si>
    <t>https://drive.google.com/file/d/1kzkhURKndc6i7OYI0z8Byj8k8e0XyoVu/view</t>
  </si>
  <si>
    <t>Precision; Recall; F1-Score</t>
  </si>
  <si>
    <t>F1-Score</t>
  </si>
  <si>
    <t>DAGMM, Deep Clustering Network (DCN), One Class-SVM (OC-SVM)</t>
  </si>
  <si>
    <t>High (Data links provided, clear parameter settings)</t>
  </si>
  <si>
    <t>Non-IID data distribution; Unbalanced data</t>
  </si>
  <si>
    <t>Privacy attacks on user data (inference privacy)</t>
  </si>
  <si>
    <t>Supervised (CNN)</t>
  </si>
  <si>
    <t>randomly select 200 samples from the test set (for specific ciphertext validation)</t>
  </si>
  <si>
    <t>Microsoft BIG 2015</t>
  </si>
  <si>
    <t>https://kaggle.com/competitions/malware-classification</t>
  </si>
  <si>
    <t>ResNet18, VGG19, CryptoNets, PolyKervNets</t>
  </si>
  <si>
    <t>Medium (Dataset public, Algorithm described, hyperparameters provided, but code link missing)</t>
  </si>
  <si>
    <t>ransomware</t>
  </si>
  <si>
    <t>Data-selling ransomware (Ransomware 2.0)</t>
  </si>
  <si>
    <t>Synthetic Simulation Data</t>
  </si>
  <si>
    <t>User Utility; Ransomware Profit; Willingness to Pay</t>
  </si>
  <si>
    <t>User Utility</t>
  </si>
  <si>
    <t>Traditional Ransomware (Encryption only) vs Data-selling Ransomware</t>
  </si>
  <si>
    <t>Moderate (Simulation parameters provided but code not shared)</t>
  </si>
  <si>
    <t>DDoS, DoS, Spoofing, Data Injection, MITM</t>
  </si>
  <si>
    <t>Federated Learning with Ensemble (XGBoost, Random Forest, GBM)</t>
  </si>
  <si>
    <t>WUSTL-EHMS-2020; CIC-IoMT 2024</t>
  </si>
  <si>
    <t>Accuracy; Recall; F1 Score; Precision; MCC; Log Loss; Cohen's Kappa</t>
  </si>
  <si>
    <t>Individual models (XGB, RF, GBM) vs Ensemble (XGB+RF+GBM)</t>
  </si>
  <si>
    <t>Hardware Trojan (HT) attacks on CNN accelerators (Data leakage, Functional violation)</t>
  </si>
  <si>
    <t>Supervised (for the underlying CNN payload)</t>
  </si>
  <si>
    <t>MNIST</t>
  </si>
  <si>
    <t>Attack success rate; Classification accuracy; Area overhead; Power consumption; Delay time; Verification time</t>
  </si>
  <si>
    <t>Attack success rate</t>
  </si>
  <si>
    <t>Simulation vs. Formal Verification</t>
  </si>
  <si>
    <t>Simulation coverage limitation; Rare-value triggering difficulty</t>
  </si>
  <si>
    <t>Internet of Vehicles (IoV)</t>
  </si>
  <si>
    <t>DoS, Spoofing (RPM, SPEED, GAS, STEERING)</t>
  </si>
  <si>
    <t>duplication; data leakage; train-test contamination</t>
  </si>
  <si>
    <t>repetitive CAN frames; highly redundant traffic traces</t>
  </si>
  <si>
    <t>Strict de-duplication; Stratified K-Fold Cross-Validation</t>
  </si>
  <si>
    <t>frame (signature)</t>
  </si>
  <si>
    <t>Stratified K-Fold (k=2 to 5)</t>
  </si>
  <si>
    <t>CICIoV2024</t>
  </si>
  <si>
    <t>https://www.unb.ca/cic/datasets/iov-dataset-2024.html</t>
  </si>
  <si>
    <t>Accuracy; F1-Macro; Standard Deviation</t>
  </si>
  <si>
    <t>Mean F1-Macro</t>
  </si>
  <si>
    <t>Decision Tree, Logistic Regression, Random Forest, DNN (MLP), 1D CNN, Hybrid Ensemble</t>
  </si>
  <si>
    <t>Accuracy Trap; Data Leakage via redundancy; Temporal Independence Assumption (IID)</t>
  </si>
  <si>
    <t>Data Leakage Hardware Trojans</t>
  </si>
  <si>
    <t>AES Substitution Box (Sbox)</t>
  </si>
  <si>
    <t>Standard AES Sbox implementation</t>
  </si>
  <si>
    <t>Unsupervised / Self-supervised (Generative)</t>
  </si>
  <si>
    <t>temporal leakage; label leakage</t>
  </si>
  <si>
    <t>Train-test split</t>
  </si>
  <si>
    <t>Temporal ordering strictly preserved</t>
  </si>
  <si>
    <t>Time-based (Months)</t>
  </si>
  <si>
    <t>Full dataset used (1000 users)</t>
  </si>
  <si>
    <t>CERT Insider Threat Dataset v5.2</t>
  </si>
  <si>
    <t>Precision; Recall; F1-Score; AUPRC; FPR; MIA Accuracy; Reconstruction MAE</t>
  </si>
  <si>
    <t>Static Rules, Isolation Forest, One-Class SVM, LSTM Autoencoder, Deep Autoencoder, GAN-based Anomaly Detection</t>
  </si>
  <si>
    <t>Synthetic data limitations; Concept drift</t>
  </si>
  <si>
    <t>Kernel-mode malware / Rootkits attempting unauthorized file access</t>
  </si>
  <si>
    <t>PassMark PerformanceTest 8.0; SPEC 2006; Custom set of 58 files (2600 blocks) for functional testing</t>
  </si>
  <si>
    <t>Performance Overhead (%); Success rate of blocking unauthorized access</t>
  </si>
  <si>
    <t>Performance Overhead</t>
  </si>
  <si>
    <t>Native Mode (without hypervisor)</t>
  </si>
  <si>
    <t>Online Learning (One-by-one)</t>
  </si>
  <si>
    <t>prequential evaluation (test-then-train)</t>
  </si>
  <si>
    <t>instance-based (time steps)</t>
  </si>
  <si>
    <t>Adaptive Resampling (Undersampling and Oversampling)</t>
  </si>
  <si>
    <t>Credit Card Frauds; Forest cover type (Covtype); Weather; Given Me Some Credit (GMSC); Poker; SEA (Synthetic); SINE (Synthetic)</t>
  </si>
  <si>
    <t>G-mean; Recall_0; Recall_1</t>
  </si>
  <si>
    <t>EvoAutoML</t>
  </si>
  <si>
    <t>concept drift; class imbalance; dynamic imbalance status</t>
  </si>
  <si>
    <t>Network intrusions (DoS, Probe, U2R, R2L implicit in KDD dataset)</t>
  </si>
  <si>
    <t>Chunks</t>
  </si>
  <si>
    <t>Oversampling (Random Resampling using KNN-JS)</t>
  </si>
  <si>
    <t>NSL-KDD; KDD Cup 99</t>
  </si>
  <si>
    <t>http://nsl.cs.unb.ca/KDD/NSLKDD.html</t>
  </si>
  <si>
    <t>Accuracy; Sensitivity; Specificity; Precision; Negative predictive value; Detection rate; Balanced Accuracy</t>
  </si>
  <si>
    <t>DCS-LA-DDM, DDM, AHT, ECS MINER, SENC-MaS, SAND-D, SACCOS</t>
  </si>
  <si>
    <t>Medium (Algorithm provided in pseudocode, data public, no code repo)</t>
  </si>
  <si>
    <t>Covert Channel (Network Steganography) in 5G</t>
  </si>
  <si>
    <t>Simulated 5G traffic using Open5GS and srsRAN; Generated overt traffic with iperf</t>
  </si>
  <si>
    <t>Covert Capacity (bits per second); Bandwidth (Mbps); Stealthiness (qualitative)</t>
  </si>
  <si>
    <t>Covert Capacity</t>
  </si>
  <si>
    <t>Email worms, drive-by downloads, data leakage</t>
  </si>
  <si>
    <t>Quantitative Data Flow Graphs (QDFGs)</t>
  </si>
  <si>
    <t>Self-generated scenarios (Drive-by, Worm, Data Leakage)</t>
  </si>
  <si>
    <t>https://www22.in.tum.de/fileadmin/demos/activity_monitor/ActivityMonitor_Demo.mp4</t>
  </si>
  <si>
    <t>None (Qualitative Case Studies)</t>
  </si>
  <si>
    <t>DDoS and botnet attacks</t>
  </si>
  <si>
    <t>Federated Learning (Locally Adapted Model)</t>
  </si>
  <si>
    <t>sample level</t>
  </si>
  <si>
    <t>Random sampling for initial global model and agglomerative clustering for data partitioning.</t>
  </si>
  <si>
    <t>CICIDS2017; NBaIoT</t>
  </si>
  <si>
    <t>FedAvg aggregation function and unified global model without personalization</t>
  </si>
  <si>
    <t>DDoS, Web Attack, Bot, DoS, Probe, PortScan, Brute Force</t>
  </si>
  <si>
    <t>supervised learning</t>
  </si>
  <si>
    <t>oversampling before split</t>
  </si>
  <si>
    <t>applying SMOTE only to the training data</t>
  </si>
  <si>
    <t>network traffic flows</t>
  </si>
  <si>
    <t>SMOTE (Synthetic Minority Oversampling Technique)</t>
  </si>
  <si>
    <t>CIC-IDS2017</t>
  </si>
  <si>
    <t>Accuracy; Precision; Recall; F1 score; ROC-AUC</t>
  </si>
  <si>
    <t>LSTM, LSTM+CNN</t>
  </si>
  <si>
    <t>Partial</t>
  </si>
  <si>
    <t>Content Validity Score</t>
  </si>
  <si>
    <t>Validity Score</t>
  </si>
  <si>
    <t>botnets</t>
  </si>
  <si>
    <t>custom collected power consumption dataset</t>
  </si>
  <si>
    <t>https://github.com/woossup/Power-Auditor</t>
  </si>
  <si>
    <t>classification accuracy</t>
  </si>
  <si>
    <t>Port Scans and Denial-of-Service (DoS) attacks</t>
  </si>
  <si>
    <t>Data preprocessing (Normalization and Feature scaling); Feature selection</t>
  </si>
  <si>
    <t>Splitting Dataset before Preprocessing; Independent Preprocessing on train and test sets; Feature Selection on Training Data Only</t>
  </si>
  <si>
    <t>5G-NIDD dataset</t>
  </si>
  <si>
    <t>Accuracy; Precision; Recall; F1-score; ROC AUC; Execution Time</t>
  </si>
  <si>
    <t>13 different ML algorithms</t>
  </si>
  <si>
    <t>Reliance on a controlled dataset</t>
  </si>
  <si>
    <t>Memory-based attacks (Memory Scraping)</t>
  </si>
  <si>
    <t>TPC-H benchmark</t>
  </si>
  <si>
    <t>http://www.tpc.org/tpch/</t>
  </si>
  <si>
    <t>Total disclosure risk; Execution time</t>
  </si>
  <si>
    <t>Disclosure risk</t>
  </si>
  <si>
    <t>Max Performance (Default MySQL Optimizer)</t>
  </si>
  <si>
    <t>Data poisoning, collusion attacks, and malicious aggregation</t>
  </si>
  <si>
    <t>MNIST; CIFAR-10; Hybrid biological dataset (insect specimen data)</t>
  </si>
  <si>
    <t>accuracy; recall; computational overhead; communication overhead</t>
  </si>
  <si>
    <t>accuracy</t>
  </si>
  <si>
    <t>Guo et al. [42], Fu et al. [44]</t>
  </si>
  <si>
    <t>DoS, Fuzzy, Spoofing, Replay, Mixed attacks</t>
  </si>
  <si>
    <t>CAN message sequence graphs</t>
  </si>
  <si>
    <t>Supervised learning</t>
  </si>
  <si>
    <t>Sliding window extraction (fixed 200 messages per graph)</t>
  </si>
  <si>
    <t>Car-Hacking Dataset; IVN Intrusion Detection Challenge Dataset; Car Hacking: Attack &amp; Defense Challenge Dataset; OpelAstra Dataset</t>
  </si>
  <si>
    <t>https://doi.org/10.4121/UUID:B74B4928-C377-4585-9432-2004DFA20A5D</t>
  </si>
  <si>
    <t>GGNB, GCN, GNN, GNAT, GAN, LSTM, Rec-CNN, DCNN, CNN-LSTM</t>
  </si>
  <si>
    <t>Partial reproducibility (Hyperparameters and public datasets cited, but code not provided)</t>
  </si>
  <si>
    <t>Targeted attacks, Zero-days, Data leakage, Encrypted communication</t>
  </si>
  <si>
    <t>Hardware Trojan (Performance Degrading, Data Leakage, Live Lock)</t>
  </si>
  <si>
    <t>Synthetic Traffic via NoCTweak</t>
  </si>
  <si>
    <t>Average Latency; Average Throughput; Free Link Availability; Total Packets Received; Traffic Distribution</t>
  </si>
  <si>
    <t>Average Throughput</t>
  </si>
  <si>
    <t>Permutation method</t>
  </si>
  <si>
    <t>mobile data leakage, malware, stolen devices, anomalous user behavior</t>
  </si>
  <si>
    <t>unsupervised</t>
  </si>
  <si>
    <t>DDoS, botnets</t>
  </si>
  <si>
    <t>accuracy; recall; F1-score; latency; bandwidth usage; energy consumption</t>
  </si>
  <si>
    <t>Cloud-only and Edge-only architectures</t>
  </si>
  <si>
    <t>Sensitive Data Leakage (SDL) and privilege-mode malware</t>
  </si>
  <si>
    <t>Time; Detection Success</t>
  </si>
  <si>
    <t>Time</t>
  </si>
  <si>
    <t>insider threat</t>
  </si>
  <si>
    <t>data leakage / insider threats</t>
  </si>
  <si>
    <t>supervised</t>
  </si>
  <si>
    <t>CERT R4.2.tar.bz</t>
  </si>
  <si>
    <t>Accuracy; Precision; Recall; F1_Score; RMSE; SNR</t>
  </si>
  <si>
    <t>ANN, CNN</t>
  </si>
  <si>
    <t>Host-based attacks (Cryptomining, FTP, Redis, Nginx, SSH)</t>
  </si>
  <si>
    <t>system call sequences</t>
  </si>
  <si>
    <t>temporal</t>
  </si>
  <si>
    <t>Discarded meaningless system call sequences with length less than 8</t>
  </si>
  <si>
    <t>SMOTE (Synthetic Minority Over-sampling Technique)</t>
  </si>
  <si>
    <t>FHIDS</t>
  </si>
  <si>
    <t>https://github.com/bd-aurora/syscall-dataset</t>
  </si>
  <si>
    <t>Centralized, Federated Learning under IID data</t>
  </si>
  <si>
    <t>Hyperparameters and dataset repository provided, but training source code is not explicitly linked.</t>
  </si>
  <si>
    <t>Non-IID data distribution impact on federated learning convergence</t>
  </si>
  <si>
    <t>Gap analysis phase of a cyber-attack, Operation Aurora, web vulnerabilities</t>
  </si>
  <si>
    <t>Finite State Machines (FSM)</t>
  </si>
  <si>
    <t>Cross-VM side-channel attacks (Collocation attacks)</t>
  </si>
  <si>
    <t>Expected Payoff</t>
  </si>
  <si>
    <t>No Defense, No Attack, Aggressive Attack, Worst case</t>
  </si>
  <si>
    <t>collision attacks / evasion attacks / hash inversion</t>
  </si>
  <si>
    <t>Hamming distance; Euclidean distance; Cosine similarity; false positive rate; recall; precision</t>
  </si>
  <si>
    <t>lack of unified evaluation benchmarks; inconsistent transformation protocols; lack of curated datasets</t>
  </si>
  <si>
    <t>intrusion prediction / spam filtering</t>
  </si>
  <si>
    <t>incremental learning</t>
  </si>
  <si>
    <t>ADASYN (Adaptive Synthetic)</t>
  </si>
  <si>
    <t>KDDCup99; Spam; Chess</t>
  </si>
  <si>
    <t>Precision; Recall; Specificity; Accuracy; F score; ROC</t>
  </si>
  <si>
    <t>ADODNN, OC-SVM, Naive Bayesian, Gaussian process, DNN+SVM, Gradient boosting, OneR, ZeroR, LR, MLP</t>
  </si>
  <si>
    <t>Phishing URLs</t>
  </si>
  <si>
    <t>duplicate entries; feature magnitudes</t>
  </si>
  <si>
    <t>removing duplicate entries; feature scaling</t>
  </si>
  <si>
    <t>URL</t>
  </si>
  <si>
    <t>accuracy; precision; recall; F1 score; ROC; confusion matrix</t>
  </si>
  <si>
    <t>Logistic Regression vs Random Forest</t>
  </si>
  <si>
    <t>class imbalance; historical data bias; absence of critical features</t>
  </si>
  <si>
    <t>man-in-the-middle attacks, specifically, spoofing and data injection</t>
  </si>
  <si>
    <t>Deep Learning (Sequential Model)</t>
  </si>
  <si>
    <t>train-test contamination; dataset artifacts</t>
  </si>
  <si>
    <t>Data preprocessing (resampling/data balancing)</t>
  </si>
  <si>
    <t>Apply resampling exclusively to training data</t>
  </si>
  <si>
    <t>network flow and biometric records</t>
  </si>
  <si>
    <t>SMOTEENN (Synthetic Minority Over-sampling Technique - Edited Nearest Neighbours)</t>
  </si>
  <si>
    <t>WUSTL-EHMS-2020</t>
  </si>
  <si>
    <t>https://www.cse.wustl.edu/~jain/ehms/index.html</t>
  </si>
  <si>
    <t>Accuracy; Precision; Recall; F1 Score; ROC AUC</t>
  </si>
  <si>
    <t>Decision Trees (DT), Random Forest (RF), Support Vector Machines (SVM), Logistic Regression (LR), k-nearest Neighbors (KNN), Naive Bayes (NB), Gradient Boosting (GB), Extreme Trees (ET)</t>
  </si>
  <si>
    <t>Partial (dataset public, architecture described, but no code provided)</t>
  </si>
  <si>
    <t>Information leakage during test data evaluation</t>
  </si>
  <si>
    <t>DDoS, phishing, and spoofing attacks</t>
  </si>
  <si>
    <t>SA-DCNN, CNN+LSTM, CKAN, FedMLDL+FedRIME</t>
  </si>
  <si>
    <t>Side-channel attacks (SCAs)</t>
  </si>
  <si>
    <t>Supervised (Ensemble deep learning with AutoEncoder for dimensionality reduction)</t>
  </si>
  <si>
    <t>Strict data splitting into train, validation, and test sets</t>
  </si>
  <si>
    <t>traces</t>
  </si>
  <si>
    <t>ASCAD</t>
  </si>
  <si>
    <t>https://github.com/ANSSI-FR/ASCAD</t>
  </si>
  <si>
    <t>Accuracy; Precision; Recall; F1-Score; AUC</t>
  </si>
  <si>
    <t>CNN, LSTM, AutoEncoder, Support Vector Machine, Random Forest, Gradient Boosting, XGBoost, LightGBM, Hybrid CNN-LSTM</t>
  </si>
  <si>
    <t>High Noise Levels; Imbalanced Data; Low Signal-to-Noise Ratio; Varying Data Alignment and Latency; High-Dimensional Input Data; Adversarial Attacks</t>
  </si>
  <si>
    <t>Eavesdropping, Jamming, Message Injection, Message Deletion, Message Modification</t>
  </si>
  <si>
    <t>OpenSky Network (CDG8779 flight)</t>
  </si>
  <si>
    <t>Correlation coefficient; Covariance; Time loss (Calculation time)</t>
  </si>
  <si>
    <t>Time loss (Calculation time)</t>
  </si>
  <si>
    <t>HMAC-SHA256</t>
  </si>
  <si>
    <t>Experimental simulation environment only</t>
  </si>
  <si>
    <t>IP Spoofing, DDoS, and port scanning attacks</t>
  </si>
  <si>
    <t>CICIDS 2017; UNSW-NB15</t>
  </si>
  <si>
    <t>fuzzers, analysis, backdoors, DoS, exploits, generic, reconnaissance, shellcode, and worms</t>
  </si>
  <si>
    <t>alert logs (encoded as binary vectors)</t>
  </si>
  <si>
    <t>Deduplication via undersampling methods (OSS, NCR)</t>
  </si>
  <si>
    <t>Ensemble resampling (MAS-OSS, MAS-NCR)</t>
  </si>
  <si>
    <t>Data subsampling to remove noisy/redundant negative samples</t>
  </si>
  <si>
    <t>Enterprise NIDS alert logs dataset; UNSW-NB15 benchmark dataset</t>
  </si>
  <si>
    <t>Partial (UNSW-NB15 is public, Enterprise is not)</t>
  </si>
  <si>
    <t>https://research.unsw.edu.au/projects/unsw-nb15-dataset</t>
  </si>
  <si>
    <t>Available upon request</t>
  </si>
  <si>
    <t>Accuracy; Recall; Precision; FPR; TNR; F-Score; BCR; PR-AUC</t>
  </si>
  <si>
    <t>Recall and FPR</t>
  </si>
  <si>
    <t>LR, k-NN, DT, LightGBM, XGBoost, Isolation Forest, DNN, CNN, LSTM</t>
  </si>
  <si>
    <t>Accuracy is not a reliable metric for measuring model performance when dealing with highly imbalanced datasets</t>
  </si>
  <si>
    <t>mobile malware / botnets</t>
  </si>
  <si>
    <t>Markov chain / Automaton</t>
  </si>
  <si>
    <t>Automata learning</t>
  </si>
  <si>
    <t>Collected NetFlows; available datasets</t>
  </si>
  <si>
    <t>simple port scanning attack</t>
  </si>
  <si>
    <t>Security chain graph</t>
  </si>
  <si>
    <t>log events/flows</t>
  </si>
  <si>
    <t>Android application network flows</t>
  </si>
  <si>
    <t>Complexity (number of functions and rules); Response time (Overhead); Accuracy</t>
  </si>
  <si>
    <t>Complexity</t>
  </si>
  <si>
    <t>Parallel merging, Grouped merging</t>
  </si>
  <si>
    <t>multi-purpose malware (Botnet, Ransomware, Rootkit, Backdoor)</t>
  </si>
  <si>
    <t>supervised machine learning</t>
  </si>
  <si>
    <t>random split / cross-validation</t>
  </si>
  <si>
    <t>feature vectors</t>
  </si>
  <si>
    <t>Custom IoT multi-purpose malware dataset</t>
  </si>
  <si>
    <t>https://github.com/CortexVacua/MTDFramework</t>
  </si>
  <si>
    <t>k-NN, SVM, XGB, DT, RF, MLP</t>
  </si>
  <si>
    <t>false positives for Data Leak are present</t>
  </si>
  <si>
    <t>DoS, Generic, DDos, OS, Key logging, Scan/probing, Shellcode, Fuzzers, Backdoors, Exploits, Reconnaissance, Worms</t>
  </si>
  <si>
    <t>records</t>
  </si>
  <si>
    <t>UNSW-NB15; NSL-KDD99; BoT-IoT; TUIDS</t>
  </si>
  <si>
    <t>Accuracy; Precision; Sensitivity; Specificity; F-measure; MCC; Kappa; ROC curve</t>
  </si>
  <si>
    <t>hypervisor-IDS, Fuzzy-SMO, BiCIDS, DRIOTIDS, FCM-SVM IDS</t>
  </si>
  <si>
    <t>Data Leakage</t>
  </si>
  <si>
    <t>TXT files; CPP files; PDF files; EXE files</t>
  </si>
  <si>
    <t>Memory Usage (Transitions / Size of Start Tables); Matching speedup (bytes per memory access)</t>
  </si>
  <si>
    <t>Matching speedup</t>
  </si>
  <si>
    <t>Constant, constant offset, random, random offset, eventual stop</t>
  </si>
  <si>
    <t>Federated Learning with LSTM</t>
  </si>
  <si>
    <t>VeReMi</t>
  </si>
  <si>
    <t>https://github.com/CoderTylor/FL-TP</t>
  </si>
  <si>
    <t>Prediction Accuracy; Prediction Error (Euclidean distance)</t>
  </si>
  <si>
    <t>Prediction Accuracy</t>
  </si>
  <si>
    <t>Centralized LSTM, Federated-Average learning (Fed-Avg)</t>
  </si>
  <si>
    <t>Brute Force Web Login Attack / Ransom attack</t>
  </si>
  <si>
    <t>Accidental data leakage / Insider threat</t>
  </si>
  <si>
    <t>False positive triggers</t>
  </si>
  <si>
    <t>SQL Injection</t>
  </si>
  <si>
    <t>Syntactic text graph (SQL statements represented as nodes connected by indentation rules)</t>
  </si>
  <si>
    <t>SQL queries</t>
  </si>
  <si>
    <t>Dataset-I (Kaggle SQL injection dataset 1); Dataset-II (Kaggle SQL injection dataset 2); Dataset 3 (Biggest SQL injection dataset); Dataset 4; Dataset 5; Dataset 6</t>
  </si>
  <si>
    <t>https://www.kaggle.com/datasets/syedsaqlainhussain/sql-injection-dataset</t>
  </si>
  <si>
    <t>Train accuracy; Test accuracy; Precision; Recall; F1-Score; Inference time (ms); Parameters (FLOPs)</t>
  </si>
  <si>
    <t>Test accuracy</t>
  </si>
  <si>
    <t>LSTM, BERT, CNN, Machine learning models (AdaBoost, Bagging, Decision tree, SVM, etc.)</t>
  </si>
  <si>
    <t>online learning</t>
  </si>
  <si>
    <t>stream instance</t>
  </si>
  <si>
    <t>Active learning based on predictive uncertainty (margin value) and class imbalance ratio</t>
  </si>
  <si>
    <t>Canadian Institute for Cybersecurity network traffic dataset</t>
  </si>
  <si>
    <t>Recall; Precision; F-measure</t>
  </si>
  <si>
    <t>F-measure</t>
  </si>
  <si>
    <t>Decision Tree (DT), Adaboost, GBDT, XGBoost, LGBM, Random Forest (RF), LSTM</t>
  </si>
  <si>
    <t>Weak</t>
  </si>
  <si>
    <t>Malware, Phishing and Vulnerabilities</t>
  </si>
  <si>
    <t>Simulated SME Archetypes Data</t>
  </si>
  <si>
    <t>http://www.imperial.ac.uk/people/andrew.fielder/research.html</t>
  </si>
  <si>
    <t>Expected damage; Residual risk</t>
  </si>
  <si>
    <t>Expected damage</t>
  </si>
  <si>
    <t>Subjective indirect costs estimation</t>
  </si>
  <si>
    <t>adversarial attack detection</t>
  </si>
  <si>
    <t>adversarial attacks (untargeted, black box, white box)</t>
  </si>
  <si>
    <t>Synthetic dataset; University of Queensland Vital Signs (UQVS) dataset</t>
  </si>
  <si>
    <t>Accuracy; Precision; Recall; F1-score; Success rate; Accuracy drop</t>
  </si>
  <si>
    <t>DL-based CSI, Blockchain-based DL, and Mask-RCNN</t>
  </si>
  <si>
    <t>Insider threats, DoS (SYN Flood, NTP Flood, Smurf, Neptune, etc.), Port Scans</t>
  </si>
  <si>
    <t>Statistical profiling using Multivariate Correlation Analysis (MCA) with Mahalanobis Distance</t>
  </si>
  <si>
    <t>KDD99 dataset; Custom 4-machine testbed</t>
  </si>
  <si>
    <t>Detection Rate; False Positive Rate; Correlation Coefficient</t>
  </si>
  <si>
    <t>KMEANS+KNN, Biological Memory Cell</t>
  </si>
  <si>
    <t>Data leakage and APT Command &amp; Control via mobile voice call channels</t>
  </si>
  <si>
    <t>BER; Bit rate; Baud rate; NMSE; KLD; PSNR</t>
  </si>
  <si>
    <t>BER</t>
  </si>
  <si>
    <t>Man-in-the-middle / Lateral Movement / Data leakage</t>
  </si>
  <si>
    <t>DDoS, ARP spoofing, SYN flooding, and port scanning</t>
  </si>
  <si>
    <t>dataset artifacts; train-test contamination</t>
  </si>
  <si>
    <t>preprocessing leakage</t>
  </si>
  <si>
    <t>in fold preprocessing; stratified 5-fold cross validation</t>
  </si>
  <si>
    <t>flows</t>
  </si>
  <si>
    <t>IDSAI dataset</t>
  </si>
  <si>
    <t>Accuracy; Precision; Recall; F1-score; ROC-AUC</t>
  </si>
  <si>
    <t>Logistic Regression, Random Forest, Gradient Boosting</t>
  </si>
  <si>
    <t>The research establishes a baseline for lightweight IDS in actual WSNs that is deployable and reproducible.</t>
  </si>
  <si>
    <t>overfitting; dataset simplicity; feature redundancy; lack of real-world diversity in attack vectors</t>
  </si>
  <si>
    <t>Data breach (PII exposure, phishing, malware, insider)</t>
  </si>
  <si>
    <t>Excluded duplicate entries, breaches occurring prior to initial stock trading date, multiple breaches within single window, and confounding firm news.</t>
  </si>
  <si>
    <t>Identity Theft Resource Center (ITRC) 2017-2021; FactSet</t>
  </si>
  <si>
    <t>www.eventstudytools.com</t>
  </si>
  <si>
    <t>Abnormal Returns (ARs); Cumulative Average Abnormal Returns (CAARs); Patell's Z score; Standardized cross-sectional T score</t>
  </si>
  <si>
    <t>Cumulative Average Abnormal Returns (CAARs)</t>
  </si>
  <si>
    <t>Market adjusted model, market model, Fama-French three-factor model, Carhart four-factor model</t>
  </si>
  <si>
    <t>Cross-sectional correlation; Event-induced volatility; Confounding events</t>
  </si>
  <si>
    <t>DoS, Fuzzy, Spoofing (RPM, GEAR), Malfunction, Replay, Flooding</t>
  </si>
  <si>
    <t>Supervised learning with spatial-temporal neural networks (CNN-GRU)</t>
  </si>
  <si>
    <t>dataset artifacts; train-test contamination; label leakage</t>
  </si>
  <si>
    <t>Overlapping attack signatures between train and test splits in single-vehicle scenarios</t>
  </si>
  <si>
    <t>Cross-vehicle split; Cross-attack testing on unseen attacks; Time-windowed streaming evaluation</t>
  </si>
  <si>
    <t>Vehicle ID / Time Window</t>
  </si>
  <si>
    <t>Random Oversampling (ROS)</t>
  </si>
  <si>
    <t>Car-Hacking dataset; IVN-IDS Challenge dataset; CAN-train-test dataset</t>
  </si>
  <si>
    <t>https://ocslab.hksecurity.net/Datasets/car-hacking-dataset</t>
  </si>
  <si>
    <t>Accuracy; Precision; F1-score; Error-rate; TPR; FPR; ROC; AUC</t>
  </si>
  <si>
    <t>CNN-LSTM, CNN-BiLSTM, CNN-LSTM-GRU, Transformer</t>
  </si>
  <si>
    <t>Good (hyperparameters, model parameters, and dataset splits are well documented; data is public)</t>
  </si>
  <si>
    <t>Bias towards identifying normal and DoS classifications; Severe domain shift when tested on unseen vehicle dynamics and unknown attacks</t>
  </si>
  <si>
    <t>supervised learning on data stream</t>
  </si>
  <si>
    <t>inductive</t>
  </si>
  <si>
    <t>temporal leakage; train-test contamination</t>
  </si>
  <si>
    <t>time block / chunk</t>
  </si>
  <si>
    <t>bagging with propagation of misclassified instances</t>
  </si>
  <si>
    <t>misclassified instances (false positives and false negatives propagated)</t>
  </si>
  <si>
    <t>Diabetes; Airlines_s; Airlines_l; IBM_stock; IBN_stock; INFY_stock</t>
  </si>
  <si>
    <t>F-measure; G-mean</t>
  </si>
  <si>
    <t>Learn++.NSE, Learn++.NIE, Naïve Bayes</t>
  </si>
  <si>
    <t>Information leakage (Confidentiality threats), WebView vulnerability</t>
  </si>
  <si>
    <t>Data flow path / API calling path</t>
  </si>
  <si>
    <t>API-call graph</t>
  </si>
  <si>
    <t>Android malware causing sensitive information leakages</t>
  </si>
  <si>
    <t>control flow graph and function call graph</t>
  </si>
  <si>
    <t>One-class SVM (v-SVM)</t>
  </si>
  <si>
    <t>application (app)</t>
  </si>
  <si>
    <t>MUDFLOW; DREBIN; Genome; VirusShare</t>
  </si>
  <si>
    <t>https://github.com/fpb1386/feature_selection</t>
  </si>
  <si>
    <t>ACC; TPR; FPR; AUC; F-measure</t>
  </si>
  <si>
    <t>MUDFLOW, mutual information, chi-square</t>
  </si>
  <si>
    <t>Deficiencies of static analysis on obfuscated code; Effectiveness depends on the representative of benign apps</t>
  </si>
  <si>
    <t>Windows PE malware (Adware, Backdoor, Downloader, Dropper, Spyware, Trojan, Virus, Worm)</t>
  </si>
  <si>
    <t>duplication</t>
  </si>
  <si>
    <t>Deduplication</t>
  </si>
  <si>
    <t>Windows Malware API Call Dataset</t>
  </si>
  <si>
    <t>Precision; Recall; F1-Score; Accuracy</t>
  </si>
  <si>
    <t>Decision Tree (DT), k-Nearest Neighbors (k-NN), Support Vector Machine (SVM), Random Forests (RF)</t>
  </si>
  <si>
    <t>noisy data</t>
  </si>
  <si>
    <t>Android malware / third-party APK sideloading</t>
  </si>
  <si>
    <t>train-test contamination; label leakage; duplication</t>
  </si>
  <si>
    <t>Feature selection prior to cross-validation; Duplicate applications in dataset</t>
  </si>
  <si>
    <t>Pipeline integration of SelectKBest; Stratified K-Fold cross-validation; Dataset deduplication</t>
  </si>
  <si>
    <t>Application (APK)</t>
  </si>
  <si>
    <t>Android Malware Prediction Dataset (Kaggle)</t>
  </si>
  <si>
    <t>https://www.kaggle.com/datasets/dannyrevaldo/android-malware-detection-dataset</t>
  </si>
  <si>
    <t>Accuracy; Precision; Recall; F1-Score; ROC-AUC; PR-AUC; Brier Score</t>
  </si>
  <si>
    <t>Manual Spearman Correlation feature selection</t>
  </si>
  <si>
    <t>High for leakage prevention, uses public dataset and standard CRISP-DM workflow.</t>
  </si>
  <si>
    <t>Limited to static permission analysis; Absence of dynamic behavioural data; Lack of longitudinal updates for model drift</t>
  </si>
  <si>
    <t>prompt manipulation, data poisoning</t>
  </si>
  <si>
    <t>DoS, HULK, DDoS, FTP-Patator, DoS Slowloris, SSH-Patator, scanning, Ransomware, Backdoor attacks, multi-step attacks</t>
  </si>
  <si>
    <t>Flow-based graph</t>
  </si>
  <si>
    <t>Supervised learning via Graph Convolutional Networks (GCN) and Graph Attention Networks (GAT)</t>
  </si>
  <si>
    <t>train-test contamination; entity overlap</t>
  </si>
  <si>
    <t>Same attacker IP appearing in both training and testing sets; Highly correlated segments of a single communication session split across sets</t>
  </si>
  <si>
    <t>IP-based evaluation procedure (Entity-aware split); Splitting datasets based on attacker IP and attack type</t>
  </si>
  <si>
    <t>Entity-aware split</t>
  </si>
  <si>
    <t>Attacker IP and Attack Type</t>
  </si>
  <si>
    <t>IP-based splitting ensures new IP addresses and unseen attack types in test set</t>
  </si>
  <si>
    <t>Undersampling of the majority normal class</t>
  </si>
  <si>
    <t>CICIDS 2017; ToN IoT</t>
  </si>
  <si>
    <t>Precision; Recall; F1-score; AUC; FPR</t>
  </si>
  <si>
    <t>MLP-based model [8], ML-based model [17], E-graphsage model [11], GNN-based model [15]</t>
  </si>
  <si>
    <t>Hyperparameters are detailed (learning rate, weight decay, PyTorch/CUDA versions), but source code link is missing.</t>
  </si>
  <si>
    <t>data leakage issue with classical evaluation procedures; biased evaluation from seeing correlated data in random split</t>
  </si>
  <si>
    <t>Image tampering (splicing, copy-move, removal)</t>
  </si>
  <si>
    <t>Supervised transfer learning</t>
  </si>
  <si>
    <t>Images</t>
  </si>
  <si>
    <t>RandomOverSampler</t>
  </si>
  <si>
    <t>CASIA v1; Columbia; MICC-F2000; Defacto (Splicing)</t>
  </si>
  <si>
    <t>Accuracy; Precision; Recall; F1-score; AUC</t>
  </si>
  <si>
    <t>Over 40 state-of-the-art models (e.g., IML-ViT, ConvNeXtFF, DRRU-Net, MVSS-Net++)</t>
  </si>
  <si>
    <t>High for data description, low for code availability (no repository linked)</t>
  </si>
  <si>
    <t>overfitting; class imbalance</t>
  </si>
  <si>
    <t>Android malware / privacy leakage</t>
  </si>
  <si>
    <t>call graph (used for static feature extraction)</t>
  </si>
  <si>
    <t>application</t>
  </si>
  <si>
    <t>VirusShare; popular Chinese android application market</t>
  </si>
  <si>
    <t>http://virusshare.com/, http://sj.qq.com/myapp/</t>
  </si>
  <si>
    <t>TPR; FPR; ACC; AUC</t>
  </si>
  <si>
    <t>ACC</t>
  </si>
  <si>
    <t>DroidAPIMiner, random guessing (P0)</t>
  </si>
  <si>
    <t>verifying whether each app is malicious by artificial means proved extremely difficult</t>
  </si>
  <si>
    <t>Data leakage, malware and viruses, insider threats</t>
  </si>
  <si>
    <t>IVI hacking, remote attack, command injection, resource exhaustion, MITM, Bluebugging</t>
  </si>
  <si>
    <t>CVSS Base score; Attack score</t>
  </si>
  <si>
    <t>Attack score</t>
  </si>
  <si>
    <t>Raspberry Pi 4 with AGL v11.0.0 image was used as a testbed; exact PoC snippets for vulnerabilities are provided in the paper.</t>
  </si>
  <si>
    <t>assessed single infotainment OS; did not utilize a real car; Scope metric only considers a CAN bus</t>
  </si>
  <si>
    <t>Eavesdropping, Packet Injection, Replay, Spoofing, DDoS, Malware, Unauthorized Access</t>
  </si>
  <si>
    <t>Detection Accuracy; Response Time; Latency; Resource Usage</t>
  </si>
  <si>
    <t>Framework A (AES-256), Framework B (AI-driven anomaly detection)</t>
  </si>
  <si>
    <t>Worm, Virus, Trojan Spy, Backdoor, Email-Worm, Exploit, Hacktool, Net-Worm, P2P-Worm, Trojan, Trojan-Downloader</t>
  </si>
  <si>
    <t>Control Flow Graphs (CFGs)</t>
  </si>
  <si>
    <t>PE files</t>
  </si>
  <si>
    <t>API-MalDetect; MalBehavD-V1-Dataset</t>
  </si>
  <si>
    <t>Detection Rate; Accuracy; False Positives</t>
  </si>
  <si>
    <t>Code obfuscation reduces accuracy below 60%</t>
  </si>
  <si>
    <t>DNS Tunneling / Data Exfiltration</t>
  </si>
  <si>
    <t>Custom 31-day laboratory DNS traffic + dnscat2 generated traffic</t>
  </si>
  <si>
    <t>Cache Hit Ratio (CHR)</t>
  </si>
  <si>
    <t>Vulnerability to large query transmission intervals; False alarms from new legitimate web access</t>
  </si>
  <si>
    <t>Malicious insider threat / Unauthorized memory dump</t>
  </si>
  <si>
    <t>semi-supervised / supervised</t>
  </si>
  <si>
    <t>Manual custom military-sensitive dataset</t>
  </si>
  <si>
    <t>Accuracy; Confusion Matrix</t>
  </si>
  <si>
    <t>Malware (General)</t>
  </si>
  <si>
    <t>Supervised (Logistic Regression)</t>
  </si>
  <si>
    <t>Balanced Sampling (500 benign, 500 malware)</t>
  </si>
  <si>
    <t>VirusSign; Portable Freeware Collection</t>
  </si>
  <si>
    <t>https://www.virussign.com/, https://www.portablefreeware.com/</t>
  </si>
  <si>
    <t>Accuracy; Precision; Recall; F1; Computational cost (seconds)</t>
  </si>
  <si>
    <t>Universal VS threshold method (Finder et al. 2022)</t>
  </si>
  <si>
    <t>Poor (Missing split details and code)</t>
  </si>
  <si>
    <t>Data leakage, malware attacks, hackers</t>
  </si>
  <si>
    <t>Memory Used; Average entropy per byte; Average No of bits optimally encodes a byte</t>
  </si>
  <si>
    <t>Average entropy per byte</t>
  </si>
  <si>
    <t>AES, DES, RSA, BLOWFISH, 3-DES</t>
  </si>
  <si>
    <t>Dos, U2R, R2L, Probing</t>
  </si>
  <si>
    <t>network connections</t>
  </si>
  <si>
    <t>KDD'99</t>
  </si>
  <si>
    <t>https://kdd.ics.uci.edu/databases/kddcup99/kddcup99.html</t>
  </si>
  <si>
    <t>Accuracy; Precision; Recall; F1_score; False Alarm; Average-cost</t>
  </si>
  <si>
    <t>XGBoost, Deep Belief Network (DBN)</t>
  </si>
  <si>
    <t>Hardware Trojans (Data Leakage, Functional Modification, Denial of Service)</t>
  </si>
  <si>
    <t>SPEC2006; MEDIA Bench II</t>
  </si>
  <si>
    <t>Throughput; Energy Consumption; Area Overhead; Power Overhead</t>
  </si>
  <si>
    <t>Throughput</t>
  </si>
  <si>
    <t>Typical PMPSoC (Baseline) and TMR-based techniques</t>
  </si>
  <si>
    <t>DDoS, DoS, Reconnaissance, Theft</t>
  </si>
  <si>
    <t>Yes (Privacy leakage, not evaluation leakage)</t>
  </si>
  <si>
    <t>Oversampling using GAN</t>
  </si>
  <si>
    <t>BoT-IoT</t>
  </si>
  <si>
    <t>Accuracy; Latency; Memory usage; Efficiency; Security</t>
  </si>
  <si>
    <t>Conventional GAN model</t>
  </si>
  <si>
    <t>Network covert timing channels (NCTCs)</t>
  </si>
  <si>
    <t>image</t>
  </si>
  <si>
    <t>sliding window</t>
  </si>
  <si>
    <t>MIT Lincoln Laboratory; Lab Traffic (Dataset 2); Backbone Traffic (Dataset 3)</t>
  </si>
  <si>
    <t>SnapCatch, CD-ACGAN, Entropy, CCE, eps-similarity, K-S, Regularity, DNN</t>
  </si>
  <si>
    <t>small-size data leakage</t>
  </si>
  <si>
    <t>Cyber threats associated with the digitalization of management accounting</t>
  </si>
  <si>
    <t>Survey of Enterprise N</t>
  </si>
  <si>
    <t>Consistency Index (IC); Consistency Ratio (RC)</t>
  </si>
  <si>
    <t>Consistency Ratio (RC)</t>
  </si>
  <si>
    <t>subjectivity of the manager; reliance on a single expert</t>
  </si>
  <si>
    <t>privacy theft / sensitive data leakage</t>
  </si>
  <si>
    <t>20 applications</t>
  </si>
  <si>
    <t>false positives and false negatives; low efficiency and accuracy; obfuscated source code</t>
  </si>
  <si>
    <t>DNS tunneling (Data exfiltration)</t>
  </si>
  <si>
    <t>Time-series anomaly detection using LSTM prediction error and rule-based thresholding</t>
  </si>
  <si>
    <t>Time (days and seconds)</t>
  </si>
  <si>
    <t>Yes (Trained on a client-by-client basis)</t>
  </si>
  <si>
    <t>31-day DNS traffic dataset from 21 clients in a laboratory</t>
  </si>
  <si>
    <t>ROC; AUC; Accuracy; True positive rate; False positive rate; Speed of attack detection</t>
  </si>
  <si>
    <t>AUC and Speed of attack detection</t>
  </si>
  <si>
    <t>Rule-based filter vs LSTM-based filter</t>
  </si>
  <si>
    <t>Detailed hyperparameters provided, but private dataset limits full reproducibility.</t>
  </si>
  <si>
    <t>Difficulty of detecting low-throughput attacks</t>
  </si>
  <si>
    <t>15 attack types including DDoS, MITM, Ransomware, SQL injection, XSS</t>
  </si>
  <si>
    <t>Removal of non-predictive or redundant features</t>
  </si>
  <si>
    <t>flow records</t>
  </si>
  <si>
    <t>network attacks</t>
  </si>
  <si>
    <t>knowledge graph</t>
  </si>
  <si>
    <t>malware / phishing / unauthorized access / cyberstalking</t>
  </si>
  <si>
    <t>Insider Threat / Unauthorized Access via Cryptographic Header Manipulation</t>
  </si>
  <si>
    <t>Remote Access Trojans (RATs)</t>
  </si>
  <si>
    <t>Supervised (Decision Trees, Random Forest, Naïve Bayes)</t>
  </si>
  <si>
    <t>session</t>
  </si>
  <si>
    <t>Imbalanced sampling (1:16 ratio)</t>
  </si>
  <si>
    <t>Custom Virtual Environment Dataset</t>
  </si>
  <si>
    <t>Accuracy; False Negative Rate (FNR); False Positive Rate (FPR)</t>
  </si>
  <si>
    <t>Decision Trees, Naïve Bayes</t>
  </si>
  <si>
    <t>APT, DoS, MITM, Hardware Trojans, EEG attacks, Sybil, Sinkhole</t>
  </si>
  <si>
    <t>Analysis, Backdoor, DoS, Exploits, Fuzzers, Generic, Reconnaissance, Shellcode, and Worms</t>
  </si>
  <si>
    <t>precision; recall; F1-score; training time; inference time</t>
  </si>
  <si>
    <t>Decision Tree, Random Forest, KNeighbors, MLP, Naive Bayes</t>
  </si>
  <si>
    <t>High for model parameters (depth, neighbors, etc. are specified), but no source code provided.</t>
  </si>
  <si>
    <t>classification / anomaly detection</t>
  </si>
  <si>
    <t>DDoS, Probe, U2R, R2L, Normal</t>
  </si>
  <si>
    <t>Supervised learning (J48, Random Forest, JRip, AdaBoost, Neural Networks) and Unsupervised learning (One-Class SVM)</t>
  </si>
  <si>
    <t>Mentions avoiding inefficient evaluation by using NSL-KDD which removed redundant records from KDD99.</t>
  </si>
  <si>
    <t>duplication; temporal leakage</t>
  </si>
  <si>
    <t>cross-validation / other</t>
  </si>
  <si>
    <t>dataset rows / spatial entities (rooms)</t>
  </si>
  <si>
    <t>NSL-KDD dataset; Smart building IoT sensor data (Private)</t>
  </si>
  <si>
    <t>Accuracy; Detection Rate; Precision; Cost Per Example (CPE); False Positive Rate (FPR)</t>
  </si>
  <si>
    <t>Cost Per Example (CPE)</t>
  </si>
  <si>
    <t>F-SVM, DMM, TANN, DBN, RNN, DNN, E-DNN, DFF-NN, DL, SVM-DR</t>
  </si>
  <si>
    <t>redundant records causing inefficient evaluation</t>
  </si>
  <si>
    <t>Evasion Attacks</t>
  </si>
  <si>
    <t>IP theft, netlist reverse engineering, test-based data leakage</t>
  </si>
  <si>
    <t>Banyan interconnection network</t>
  </si>
  <si>
    <t>OpenPiton system</t>
  </si>
  <si>
    <t>brute-force resilience; routing congestion; maximum and average wire length; signal integrity (eye diagram); propagation delay; power consumption</t>
  </si>
  <si>
    <t>baseline 2.5D OpenPiton system without scramblers</t>
  </si>
  <si>
    <t>DDoS, botnets, general network intrusions</t>
  </si>
  <si>
    <t>Supervised, Unsupervised, Reinforcement Learning, Deep Learning</t>
  </si>
  <si>
    <t>KDD'99; KDDCup99; NSL-KDD</t>
  </si>
  <si>
    <t>Accuracy; Detection Rate (DR); TPR; TNR; F measure; FPR; FNR; FDR</t>
  </si>
  <si>
    <t>Accuracy, Detection Rate</t>
  </si>
  <si>
    <t>Performance variations when tested on real-time data versus limited data; Lack of labeled data and cost-expensive labeling process</t>
  </si>
  <si>
    <t>Event spoofing attack</t>
  </si>
  <si>
    <t>unsupervised anomaly detection</t>
  </si>
  <si>
    <t>days</t>
  </si>
  <si>
    <t>Synthetic anomaly injection</t>
  </si>
  <si>
    <t>ARGUS; Peeves</t>
  </si>
  <si>
    <t>False Positive Rate; Reconstruction Error Increase; Training Time</t>
  </si>
  <si>
    <t>Reconstruction Error Increase</t>
  </si>
  <si>
    <t>Baseline auto-encoder (Argus) [10]</t>
  </si>
  <si>
    <t>Baseline methodology uses a dynamic threshold which fails under high anomalous event conditions; Countless attack scenarios were left out by the baseline</t>
  </si>
  <si>
    <t>A hacker or malicious insider extracting sensitive information from the internal network.</t>
  </si>
  <si>
    <t>academic campus network traffic (more than 1000 hosts over 7 days)</t>
  </si>
  <si>
    <t>Reduction in size; Compression rate; Percentage of active clients</t>
  </si>
  <si>
    <t>Reduction in storage volume</t>
  </si>
  <si>
    <t>gzip compression on raw log data</t>
  </si>
  <si>
    <t>Quota sampling</t>
  </si>
  <si>
    <t>Multinational survey of internet users in 10 Asian societies (YouGov panel)</t>
  </si>
  <si>
    <t>R-squared; Standardized coefficient; p-value; 95% CI</t>
  </si>
  <si>
    <t>Survey data can only investigate self-reported instead of actual behaviors.; With cross-sectional survey data, we are not able to ascertain the causal directions; These societies might not be representative of all Asian countries</t>
  </si>
  <si>
    <t>Insider-driven data breach risks</t>
  </si>
  <si>
    <t>Transposition, sentence structure alteration, modification, obfuscation attacks</t>
  </si>
  <si>
    <t>supervised classification</t>
  </si>
  <si>
    <t>Transcendental Meditation (TM); Mormon; Dyncorp; DBPedia</t>
  </si>
  <si>
    <t>f1-score; accuracy</t>
  </si>
  <si>
    <t>f1-score</t>
  </si>
  <si>
    <t>CNN, Kategori Profilleri, SGD</t>
  </si>
  <si>
    <t>AI-generated phishing attacks</t>
  </si>
  <si>
    <t>Eliminating duplicates during text preprocessing</t>
  </si>
  <si>
    <t>Balanced sampling (1:1 ratio of benign to phishing)</t>
  </si>
  <si>
    <t>Enron Email Corpus; Nazario Phishing Corpus; Synthetic LLM-generated phishing emails</t>
  </si>
  <si>
    <t>Accuracy; Precision; Recall; F1-score; AUC-ROC; Privacy Loss; Comm. Overhead; Convergence speed</t>
  </si>
  <si>
    <t>Local Training, Centralized Learning, FedProx, FedAvg, PhishHaven, DigitalTwin, ML-Watermark</t>
  </si>
  <si>
    <t>adversarial manipulation; non-IID distributions; overfitting risks</t>
  </si>
  <si>
    <t>IoT malware, adversarial augmentation (FGSM, PGD, GAN)</t>
  </si>
  <si>
    <t>IoT graph with devices and communication links</t>
  </si>
  <si>
    <t>heterogeneous</t>
  </si>
  <si>
    <t>Federated Learning, Reinforcement Learning, edge-optimized CNN</t>
  </si>
  <si>
    <t>gradient leakage and model-inversion risks</t>
  </si>
  <si>
    <t>shards per device</t>
  </si>
  <si>
    <t>IoT-23; N-BaIoT; Synthetic Dataset</t>
  </si>
  <si>
    <t>Accuracy; F1; Prec; Rec; FPR; TPR; AUC; AP11</t>
  </si>
  <si>
    <t>Logistic Regression, Naïve Bayes, kNN, AdaBoost, SVM, RFF+LogReg, Proposed-CentralLR</t>
  </si>
  <si>
    <t>Reported RNG seeds, deterministic flag, and YAML config usage</t>
  </si>
  <si>
    <t>deep model overfitting to small datasets; dataset that is not representative of the variability of a realistic traffic</t>
  </si>
  <si>
    <t>Network attacks (Analysis, Backdoor, DoS, Exploits, Fuzzers, Generic, Reconnaissance, Shellcode, Worms)</t>
  </si>
  <si>
    <t>Pre-defined train-test split from dataset</t>
  </si>
  <si>
    <t>Network flow records</t>
  </si>
  <si>
    <t>Decision Tree, Random Forest, K-nearest Neighbors, Multi-layer Perceptron (MLP), Bernoulli Naive Bayes</t>
  </si>
  <si>
    <t>Detailed hyperparameters and selected feature names are provided, but code/scripts are not shared.</t>
  </si>
  <si>
    <t>Wormhole attack</t>
  </si>
  <si>
    <t>network samples</t>
  </si>
  <si>
    <t>Malware Dataset</t>
  </si>
  <si>
    <t>accuracy; F1 score; precision; recall; confusion matrix; True Positive Rate; False Positive Rate</t>
  </si>
  <si>
    <t>Android Malware (third-party APK sideloading)</t>
  </si>
  <si>
    <t>Supervised machine learning</t>
  </si>
  <si>
    <t>train-test contamination; duplication; dataset artifacts</t>
  </si>
  <si>
    <t>Feature selection on entire dataset before split; Duplicate APK entries in the dataset</t>
  </si>
  <si>
    <t>Deduplication; Integrating SelectKBest within GridSearchCV cross-validation pipeline</t>
  </si>
  <si>
    <t>Android Malware Detection Dataset (Kaggle)</t>
  </si>
  <si>
    <t>Logistic Regression, Random Forests, Gradient Boosting Machine</t>
  </si>
  <si>
    <t>Good (Public dataset used, hyperparameters specified)</t>
  </si>
  <si>
    <t>Feature leakage in previous works; Lack of dynamic behavioral features</t>
  </si>
  <si>
    <t>Packet Corruption at Routers (PCR) by Hardware Trojans</t>
  </si>
  <si>
    <t>8x8 2D mesh NoC topology</t>
  </si>
  <si>
    <t>SPEC CPU 2017 benchmarks; Synthetic traffic patterns (uniform-random, bit-complement)</t>
  </si>
  <si>
    <t>Packet re-transmissions; Average packet latency; Maximum delivery latency; Hardware overhead (Area, Power)</t>
  </si>
  <si>
    <t>Packet re-transmissions</t>
  </si>
  <si>
    <t>NHT (No HT), HTWOT (HT without trust routing), TAR (Trust-Aware Routing)</t>
  </si>
  <si>
    <t>Sensitivity to HT physical orientation and count</t>
  </si>
  <si>
    <t>Ransomware, Tampering, Unauthorized access</t>
  </si>
  <si>
    <t>Encryption Time; Decryption Time; Key Generation Time; Storage Overhead; Security Level</t>
  </si>
  <si>
    <t>AES-Based Forensics, ECC-Based Forensics</t>
  </si>
  <si>
    <t>Android malware (also covers membership inference attacks against models)</t>
  </si>
  <si>
    <t>Federated Learning (FedAvg with Differential Privacy and Homomorphic Encryption)</t>
  </si>
  <si>
    <t>Moderate (provides hyperparameters, optimizer details, and dataset names but no source code link)</t>
  </si>
  <si>
    <t>man-in-the-middle, rogue access points, session hijacking, brute-force, firmware exploitation</t>
  </si>
  <si>
    <t>success rate; CVSS</t>
  </si>
  <si>
    <t>success rate</t>
  </si>
  <si>
    <t>Banking Trojans (Zeus, ZitMo, Emotet)</t>
  </si>
  <si>
    <t>Graphical Network Security Model (GNSM) / Bayesian Attack Graph (BAG)</t>
  </si>
  <si>
    <t>Custom virtualized network testbed</t>
  </si>
  <si>
    <t>Inability of iIRS to target dynamic ports; Network traffic obfuscation bypassing signature-based IDS</t>
  </si>
  <si>
    <t>Ransomware, DDoS, Advanced Persistent Threats (APTs)</t>
  </si>
  <si>
    <t>Cyber threats and APT (Advanced Persistent Threats)</t>
  </si>
  <si>
    <t>Privacy leakage, sensitive data exfiltration, and model manipulation</t>
  </si>
  <si>
    <t>Loghub-2.0; IoT Traffic; CTI Reports; NVD; MITRE-CVE; NSL-KDD</t>
  </si>
  <si>
    <t>Accuracy; Precision; Recall; F1-score; BERTScore; AUC</t>
  </si>
  <si>
    <t>Selection bias; Ecological validity; Measurement inconsistency; Evolving baselines; Human-AI integration uncertainty</t>
  </si>
  <si>
    <t>DNS data leakage (high-volume tunnels and low-volume malware communication)</t>
  </si>
  <si>
    <t>unsupervised / semi-supervised (One-class classifier)</t>
  </si>
  <si>
    <t>time (days)</t>
  </si>
  <si>
    <t>Yes (First two days for training, last four days for testing)</t>
  </si>
  <si>
    <t>filtering out legitimate DNS channels based on reputation</t>
  </si>
  <si>
    <t>Private ISP recursive server traffic; Simulated attack traffic (Iodine, DNSCat, DNS2TCP, Pisloader, Credit-card Malware)</t>
  </si>
  <si>
    <t>detection rate; accuracy rate</t>
  </si>
  <si>
    <t>detection rate</t>
  </si>
  <si>
    <t>Isolation Forest, OCSVM</t>
  </si>
  <si>
    <t>Low (Uses private ISP traffic data and does not provide source code)</t>
  </si>
  <si>
    <t>Distributed attacks can circumvent the anomaly detection model; Reputation-based filtering rules may have vulnerabilities if popular domains are compromised</t>
  </si>
  <si>
    <t>Android malwares evading dynamic analysis via event-driven actions</t>
  </si>
  <si>
    <t>VirusShare; ISBX center</t>
  </si>
  <si>
    <t>https:virusshare.com, http://www.unb.ca/research/iscx/dataset/</t>
  </si>
  <si>
    <t>Number of applications leaking data</t>
  </si>
  <si>
    <t>Count of newly detected data leakages (Android ID, IMEI, etc.)</t>
  </si>
  <si>
    <t>Dynamic analysis on original APKs using AppsPlayground</t>
  </si>
  <si>
    <t>Partial (Datasets and tools are mentioned, but instrumentation script is not shared)</t>
  </si>
  <si>
    <t>Crashing the application at runtime; Executing instrumented codes with low probability; Inability to trigger native codes</t>
  </si>
  <si>
    <t>IoT security / intrusion detection</t>
  </si>
  <si>
    <t>DDoS attacks, unauthorized access, data leakage</t>
  </si>
  <si>
    <t>Data leakage by insiders or outsiders</t>
  </si>
  <si>
    <t>context-aware selection</t>
  </si>
  <si>
    <t>Enron</t>
  </si>
  <si>
    <t>Detection rate; False positive rate</t>
  </si>
  <si>
    <t>Detection rate</t>
  </si>
  <si>
    <t>identity-to-public-key-binding stealthy targeted attack and the private-key-service censorship attack</t>
  </si>
  <si>
    <t>https://github.com/iRxyzzz/tab</t>
  </si>
  <si>
    <t>Gas Cost; Time (ms)</t>
  </si>
  <si>
    <t>Gas Cost and Time</t>
  </si>
  <si>
    <t>original privacy-preserving FL training</t>
  </si>
  <si>
    <t>custom video footage of a section of an industrial boiler room</t>
  </si>
  <si>
    <t>deviation in key dimensions (mm); processing time</t>
  </si>
  <si>
    <t>deviation in key dimensions</t>
  </si>
  <si>
    <t>Agisoft Metashape, 3DF Zephyr, Meshroom, RealityCapture, Pix4D, LumaAI</t>
  </si>
  <si>
    <t>DDoS, data leakage, unauthorized access</t>
  </si>
  <si>
    <t>DoS, Probe, R2L, U2R</t>
  </si>
  <si>
    <t>Streaming / Online Learning</t>
  </si>
  <si>
    <t>Random Undersampling, SMOTE Oversampling</t>
  </si>
  <si>
    <t>Logistic Regression, Random Forest, Decision Tree, K-Nearest Neighbor, Gradient Boosting, LightGBM</t>
  </si>
  <si>
    <t>Android Plus Applications / Privacy Leakage</t>
  </si>
  <si>
    <t>replicated or identical samples in dataset</t>
  </si>
  <si>
    <t>MD5 hash deduplication</t>
  </si>
  <si>
    <t>application (APK)</t>
  </si>
  <si>
    <t>Custom Dataset (454 Plus apps, 1,000 Original apps from Uptodown store)</t>
  </si>
  <si>
    <t>Accuracy; Kappa; True Positive Rate (TPR); False Positive Rate (FPR); Precision; F-Measure; MCC; ROC Area (AUC); PRC Area</t>
  </si>
  <si>
    <t>Support Vector Machine (SVM), Naive Bayes (NB), Decision Tree (J48), Random Forest (RF)</t>
  </si>
  <si>
    <t>Data replication; Misleading nature of ROC curve across different datasets</t>
  </si>
  <si>
    <t>APT, zero-day malware, adversarial malware, general malware</t>
  </si>
  <si>
    <t>CFG, FCG, PDG, API-call graph</t>
  </si>
  <si>
    <t>Yes (mentions compressing heterogeneous APK-API relationship graph into a homogeneous APK graph)</t>
  </si>
  <si>
    <t>Yes (indirectly via prior knowledge in datasets and adversarial evasion)</t>
  </si>
  <si>
    <t>dataset artifacts; not discussed</t>
  </si>
  <si>
    <t>Yes (mentions removing redundant data in NSL-KDD and non-redundant samples in Virus Sign)</t>
  </si>
  <si>
    <t>Oversampling for class imbalance</t>
  </si>
  <si>
    <t>Malicia dataset; Microsoft Malware Classification Challenge Dataset; Malimg dataset; Malnet dataset; Virus-MNIST dataset; Derbin dataset; CIC-AAGM dataset; NSL-KDD dataset; CLaMP dataset; Virus Total dataset; Ember dataset; Malshare dataset; Virus Share dataset; Virus Sign dataset; MalwareBazaar dataset; RmvDroid; Benchmark API Call Dataset; MalGenome dataset; Android Malware Datase; Marvin dataset; ISCX Android Botnet Dataset; Android PRA Guard dataset; National Software Reference Library (NSRL); AndroOBFS dataset; Piggybacking dataset; AndroZoo dataset</t>
  </si>
  <si>
    <t>Accuracy; F1-score; Recall</t>
  </si>
  <si>
    <t>Adversarial attacks; Zero-day software poses a huge threat; The widespread of malicious software attacks; The limitations of malware detection methods; The latency of malware detection</t>
  </si>
  <si>
    <t>Accuracy rate; Average recall rate; Average accuracy</t>
  </si>
  <si>
    <t>Average accuracy</t>
  </si>
  <si>
    <t>Dos, U2R, R2L, Probe</t>
  </si>
  <si>
    <t>deduplication</t>
  </si>
  <si>
    <t>network connection records</t>
  </si>
  <si>
    <t>Yes (removing duplicate items)</t>
  </si>
  <si>
    <t>KDD CUP 99</t>
  </si>
  <si>
    <t>Accuracy; Recall; F1 Score</t>
  </si>
  <si>
    <t>DT, SVM, RF</t>
  </si>
  <si>
    <t>phishing, ransomware, DoS, DDoS, malware, insider threats</t>
  </si>
  <si>
    <t>DNS Tunneling over HTTPS (DoH)</t>
  </si>
  <si>
    <t>Supervised machine learning / Outlier detection</t>
  </si>
  <si>
    <t>CIRA-CIC-DoHBrw-2020; Custom simulated DoH Tunneling dataset</t>
  </si>
  <si>
    <t>https://www.unb.ca/cic/datasets/dohbrw2020.html</t>
  </si>
  <si>
    <t>F1 Score; Accuracy; Loss</t>
  </si>
  <si>
    <t>KNN, SVM, Random Forests</t>
  </si>
  <si>
    <t>privacy attacks (e.g., background knowledge, similarity, skewness, reconstruction)</t>
  </si>
  <si>
    <t>Fault detection and synthetic concept drift</t>
  </si>
  <si>
    <t>prequential test</t>
  </si>
  <si>
    <t>Yes (chronological streaming)</t>
  </si>
  <si>
    <t>online resampling (resampling-based Online Bagging)</t>
  </si>
  <si>
    <t>SEA; STAGGER; iNemo</t>
  </si>
  <si>
    <t>Time decayed recall; Overall accuracy; Prequential recall</t>
  </si>
  <si>
    <t>Time decayed recall of the minority class</t>
  </si>
  <si>
    <t>DDM (Drift Detection Method)</t>
  </si>
  <si>
    <t>false alarms</t>
  </si>
  <si>
    <t>DoS attacks</t>
  </si>
  <si>
    <t>Federated Learning and Centralized Learning</t>
  </si>
  <si>
    <t>network flow records</t>
  </si>
  <si>
    <t>Yes (data cleaning removes duplicate entries)</t>
  </si>
  <si>
    <t>Selected all benign samples and exclusively DoS attack samples from the dataset</t>
  </si>
  <si>
    <t>IoTID20</t>
  </si>
  <si>
    <t>Accuracy; Precision; Recall; F1-score; AUC-ROC</t>
  </si>
  <si>
    <t>Centralized approach and baseline FL method from Rihan et al. [51]</t>
  </si>
  <si>
    <t>The source code will be made publicly available after acceptance.</t>
  </si>
  <si>
    <t>Non-IID data distribution causing performance degradation in FL</t>
  </si>
  <si>
    <t>DoS, Data tampering, Routing misbehavior, Blackhole/Sinkhole, Malware injection, Replay attack</t>
  </si>
  <si>
    <t>Multi-Agent System with Genetic Algorithm and Trust Computing</t>
  </si>
  <si>
    <t>IoT-23 dataset</t>
  </si>
  <si>
    <t>energy consumption; latency; network throughput; packet loss rate; anomaly detection ratio; false positive rate; trust recovery rate; isolation efficiency</t>
  </si>
  <si>
    <t>anomaly detection ratio</t>
  </si>
  <si>
    <t>OSRM, CBR-ICWSN</t>
  </si>
  <si>
    <t>Class imbalance influence on false positives and false negatives</t>
  </si>
  <si>
    <t>Gas Cost; Time</t>
  </si>
  <si>
    <t>DDoS, botnet, keylogging, data exfiltration, malware</t>
  </si>
  <si>
    <t>causal dilated convolutions</t>
  </si>
  <si>
    <t>Adversarial Minority Augmentation (AMA)</t>
  </si>
  <si>
    <t>UNSW-NB15; Edge-IIoT; BoT-IoT</t>
  </si>
  <si>
    <t>Accuracy; Precision; Recall; F1-Score; Specificity; Mean Square Error (MSE)</t>
  </si>
  <si>
    <t>FedPer, FedRep, FedALA, APFed</t>
  </si>
  <si>
    <t>class imbalance; data heterogeneity</t>
  </si>
  <si>
    <t>malware / botnet (e.g., DynDNS attack)</t>
  </si>
  <si>
    <t>Finite-state automaton</t>
  </si>
  <si>
    <t>10 Android application flow logs (e.g., disneyland, dropbox, skype, etc.)</t>
  </si>
  <si>
    <t>simplicity (number of states and transitions); precision (foreign traffic rejection rate)</t>
  </si>
  <si>
    <t>precision</t>
  </si>
  <si>
    <t>Synoptic, Invarimint</t>
  </si>
  <si>
    <t>Insider threats, data leakage (security threat)</t>
  </si>
  <si>
    <t>prompt injection, jailbreak attacks, backdoor attacks, data poisoning, hallucination, deepfakes</t>
  </si>
  <si>
    <t>Non-overlapping train/test splits</t>
  </si>
  <si>
    <t>power traces</t>
  </si>
  <si>
    <t>Data augmentation via jittering, scaling, and shifting</t>
  </si>
  <si>
    <t>ASCAD dataset</t>
  </si>
  <si>
    <t>Accuracy; Precision; Recall; F1-Score; AUC; Training time</t>
  </si>
  <si>
    <t>CNN, LSTM, AutoEncoder, SVM, Random Forest, Gradient Boosting, XGBoost, LightGBM, Hybrid CNN-LSTM, GNN</t>
  </si>
  <si>
    <t>High Noise Levels; Imbalanced Data; Low Signal-to-Noise Ratio; Varying Data Alignment; Adversarial Attacks</t>
  </si>
  <si>
    <t>Supply chain attacks, DoS, ransomware, Bluetooth vulnerabilities (KNOB, BLUR, BIAS), data eavesdropping</t>
  </si>
  <si>
    <t>DoS, fuzzy attacks, spoofing attacks</t>
  </si>
  <si>
    <t>samples</t>
  </si>
  <si>
    <t>reduced original data to 100,000 samples with a 1:1 ratio of normal to attack samples</t>
  </si>
  <si>
    <t>Automotive Hacking and Countermeasures Research Laboratory Dataset</t>
  </si>
  <si>
    <t>DT, RF, XGBoost, LR, LSTM, CNN, Transformer, Mamba</t>
  </si>
  <si>
    <t>Ransomware, Data leaks, Medical device hacking, Privilege abuse</t>
  </si>
  <si>
    <t>Android Malware (Adware, Ransomware, Scareware, SMS Malware, Obfuscated Malware)</t>
  </si>
  <si>
    <t>Heterogeneous Information Network (HIN)</t>
  </si>
  <si>
    <t>Reinforcement Learning (Double DQN) + Heterogeneous Graph Neural Network</t>
  </si>
  <si>
    <t>APP samples</t>
  </si>
  <si>
    <t>Random sampling stratified by year</t>
  </si>
  <si>
    <t>CICAndMal2017; MPMal2023</t>
  </si>
  <si>
    <t>Accuracy; Precision; FP-Rate; Recall; F1 value</t>
  </si>
  <si>
    <t>F1 value</t>
  </si>
  <si>
    <t>KNN, DT, RF, Node2Vec, GAT, GCN, HAN, HinDroid, HAWK</t>
  </si>
  <si>
    <t>obfuscation techniques</t>
  </si>
  <si>
    <t>Hardware Trojan (information leakage)</t>
  </si>
  <si>
    <t>Custom collected dataset (AES encryption/decryption transactions and other peripherals)</t>
  </si>
  <si>
    <t>DDoS, SQL injection, XSS, Ransomware, Botnet, Phishing</t>
  </si>
  <si>
    <t>Simulated 5G network traffic dataset</t>
  </si>
  <si>
    <t>Accuracy; Recall; F1 score; False alarm rate; Missed report rate; Response time</t>
  </si>
  <si>
    <t>Signature-based IDS, Statistics-based IDS, Traditional machine learning IDS</t>
  </si>
  <si>
    <t>phishing, ransomware, account hijacking, injection, brute force, man-in-the-middle</t>
  </si>
  <si>
    <t>Data poisoning and model poisoning attacks</t>
  </si>
  <si>
    <t>Federated Learning (FL)</t>
  </si>
  <si>
    <t>IDSIoT2024</t>
  </si>
  <si>
    <t>https://dx.doi.org/10.21227/gfaz-t124</t>
  </si>
  <si>
    <t>Global Model Accuracy; Client Training Time; Round Latency; Client Authentication Time; Communication Overhead per Round; Global Model Size</t>
  </si>
  <si>
    <t>Global Model Accuracy</t>
  </si>
  <si>
    <t>PHE, FHE, SMPC</t>
  </si>
  <si>
    <t>Malware, Rogue Access Point, Accidental Data Leakage</t>
  </si>
  <si>
    <t>Precision; Recall; F1 Score; Accuracy</t>
  </si>
  <si>
    <t>Phishing</t>
  </si>
  <si>
    <t>12 selected literature papers</t>
  </si>
  <si>
    <t>Limited research size; Not representative of entire population</t>
  </si>
  <si>
    <t>Illegal access and sale of personal data</t>
  </si>
  <si>
    <t>data leakage, unauthorized access, cyberstalking, phishing attacks, malware</t>
  </si>
  <si>
    <t>Covert channel attacks on air-gapped industrial control systems</t>
  </si>
  <si>
    <t>Spoofing, Tampering, Repudiation, Information Disclosure, Denial of Service, Elevation of Privilege</t>
  </si>
  <si>
    <t>Remote Control System for Automated Guided Vehicles (AGVs) case study</t>
  </si>
  <si>
    <t>https://t.ly/Rdfvr</t>
  </si>
  <si>
    <t>Number of Scenarios; Component count in scenarios; Frequency of attack types</t>
  </si>
  <si>
    <t>Frequency and distribution of attack scenarios</t>
  </si>
  <si>
    <t>STRIDE, MITRE ATT&amp;CK, PASTA, OCTAVE Allegro, TARA, FAIR, NIST CSF</t>
  </si>
  <si>
    <t>Network Security (General)</t>
  </si>
  <si>
    <t>Network attacks (DDoS, Botnet, Ransomware mentioned broadly)</t>
  </si>
  <si>
    <t>Attack trace graph</t>
  </si>
  <si>
    <t>Qualitative Functional Analysis (Security, Integrity, Scalability)</t>
  </si>
  <si>
    <t>Functional Comparison</t>
  </si>
  <si>
    <t>Compared against literature [7], [8], [9], [10], [11], [12], [13] via feature table</t>
  </si>
  <si>
    <t>Android malware (Adware, Ransomware, Scareware, SMS Malware)</t>
  </si>
  <si>
    <t>Reinforcement Learning (Double DQN) + Graph Neural Network (GNN/Attention)</t>
  </si>
  <si>
    <t>CICAndMal2017; MPMal2023 (Self-collected)</t>
  </si>
  <si>
    <t>Available from the authors upon request</t>
  </si>
  <si>
    <t>Accuracy; Precision; Recall; F1 Value; FP-Rate</t>
  </si>
  <si>
    <t>F1 Value</t>
  </si>
  <si>
    <t>Difficulty in acquiring Android sample structural features; Weakly in representing malware behavior structure; Poor robustness</t>
  </si>
  <si>
    <t>Simulated Logic Circuits (AND, NAND, D Flip Flop, JK Flip Flop)</t>
  </si>
  <si>
    <t>Randomization Percentage; Recovery Percentage</t>
  </si>
  <si>
    <t>Randomization Percentage</t>
  </si>
  <si>
    <t>Android Malware</t>
  </si>
  <si>
    <t>Imbalanced (Malware &gt; Benign)</t>
  </si>
  <si>
    <t>CICMalDroid 2020</t>
  </si>
  <si>
    <t>https://www.unb.ca/cic/datasets/maldroid-2020.html</t>
  </si>
  <si>
    <t>Precision; Recall; F1 score; Accuracy</t>
  </si>
  <si>
    <t>Comparison of 19 CNN models (VGG, ResNet, DenseNet, etc.)</t>
  </si>
  <si>
    <t>DDoS attacks, SQL injection, malware, APT, ransomware</t>
  </si>
  <si>
    <t>Supervised Learning (CNN, LSTM) and Reinforcement Learning (Q-learning)</t>
  </si>
  <si>
    <t>Time segment (sliding window)</t>
  </si>
  <si>
    <t>Implied</t>
  </si>
  <si>
    <t>VirusTotal; Simulated/Captured Network Traffic (PCAP)</t>
  </si>
  <si>
    <t>Accuracy; False Alarm Rate; Missed Report Rate</t>
  </si>
  <si>
    <t>Data imbalance; Noise; High-dimensional data</t>
  </si>
  <si>
    <t>SQL Injection, DDoS, Brute Force, Phishing, Social Engineering</t>
  </si>
  <si>
    <t>Internal HIS dataset (3 tables, ~16,000 patient records)</t>
  </si>
  <si>
    <t>Performance reduction (%)</t>
  </si>
  <si>
    <t>Performance reduction</t>
  </si>
  <si>
    <t>Comparison of different anonymization techniques (Generalization, K-Anonymity, Pseudonymization, Data Masking, Differential Privacy)</t>
  </si>
  <si>
    <t>Performance overhead; Data utility loss</t>
  </si>
  <si>
    <t>DDoS, ARP spoofing, SYN flooding, port scanning</t>
  </si>
  <si>
    <t>preprocessing statistics</t>
  </si>
  <si>
    <t>in-fold preprocessing</t>
  </si>
  <si>
    <t>flow/packet (implied from dataset)</t>
  </si>
  <si>
    <t>IDSAI</t>
  </si>
  <si>
    <t>accuracy; precision; recall; F1-score; ROC-AUC; inference throughput</t>
  </si>
  <si>
    <t>Logistic Regression (LR), Random Forest (RF), Gradient Boosting (GB)</t>
  </si>
  <si>
    <t>overfitting due to dataset cleanliness; lack of diversity in attack vectors</t>
  </si>
  <si>
    <t>Malicious URLs (Phishing attacks, Malware distribution)</t>
  </si>
  <si>
    <t>Supervised learning (Stacked Ensemble)</t>
  </si>
  <si>
    <t>Kaggle malicious URL dataset</t>
  </si>
  <si>
    <t>accuracy; precision; recall; F1 score; AUC</t>
  </si>
  <si>
    <t>Decision Tree, Random Forest, AdaBoost, Extra Trees, KNeighbors, GaussianNB, MLP, XGBoost</t>
  </si>
  <si>
    <t>DDoS, DoS, Recon, MQTT, Spoofing, Smurf Attack, Nmap Port Scan, Data Injection</t>
  </si>
  <si>
    <t>CICIoMT2024; ECU-IoHT; WUSTL-EHMS</t>
  </si>
  <si>
    <t>Accuracy; Precision; Recall; F1-score; Confusion matrix</t>
  </si>
  <si>
    <t>Centralized Learning (Centralized XGBoost)</t>
  </si>
  <si>
    <t>Inference attacks on FL updates (Privacy), and Network Intrusions (MITM, DoS/DDoS, Malware, Injection)</t>
  </si>
  <si>
    <t>Federated Learning (FedAVG)</t>
  </si>
  <si>
    <t>Model gradients/parameters (Privacy Leakage)</t>
  </si>
  <si>
    <t>Local Differential Privacy (Gaussian and Laplace mechanisms)</t>
  </si>
  <si>
    <t>Random client selection</t>
  </si>
  <si>
    <t>edge-IIoT dataset</t>
  </si>
  <si>
    <t>FedAVG without DP vs FedAVG with Gaussian/Laplace DP</t>
  </si>
  <si>
    <t>Data leakage by insiders or malware transfer over unknown protocols</t>
  </si>
  <si>
    <t>File</t>
  </si>
  <si>
    <t>Manually selected subsets for Identical, Similar, and Different scenarios</t>
  </si>
  <si>
    <t>False Positive/Negative Ratio</t>
  </si>
  <si>
    <t>Zeek (network security monitoring tool)</t>
  </si>
  <si>
    <t>Boundaries-shift problem; Scalability of pairwise comparison</t>
  </si>
  <si>
    <t>Authorization-Data Leakage (e.g., MQTT topic leakage, URL leakage, token leakage)</t>
  </si>
  <si>
    <t>ThingsBoard; Kaa Enterprise; Kaa open-source; JetLinks; ThingsKit; ThingsPanel</t>
  </si>
  <si>
    <t>Latency (ms); CPU usage (%); Memory usage (%)</t>
  </si>
  <si>
    <t>System startup latency</t>
  </si>
  <si>
    <t>Comparison of system performance before and after applying the SecHARE patch</t>
  </si>
  <si>
    <t>Cloud Computing</t>
  </si>
  <si>
    <t>Unauthorized access, data leakage</t>
  </si>
  <si>
    <t>document classification</t>
  </si>
  <si>
    <t>Data Leakage Prevention (DLP)</t>
  </si>
  <si>
    <t>Malicious content-based attacks (Transposition, sentence structure alteration, modification, obfuscation)</t>
  </si>
  <si>
    <t>Supervised Learning (Vote Classifier: SVM, Random Forest, MLP)</t>
  </si>
  <si>
    <t>Class balancing in test set</t>
  </si>
  <si>
    <t>F1-score; Accuracy</t>
  </si>
  <si>
    <t>CNN, SGD (Stochastic Gradient Descent), Category Profiling</t>
  </si>
  <si>
    <t>Low (Public datasets used but code not provided)</t>
  </si>
  <si>
    <t>IoT Botnets (Mirai, Sora, Masuta)</t>
  </si>
  <si>
    <t>label leakage (overfitting to device/botnet types); privacy leakage (side-channel data to cloud)</t>
  </si>
  <si>
    <t>model parameters; training data specifics</t>
  </si>
  <si>
    <t>Leave-one-device-out validation; Leave-one-botnet-out validation; Privacy-preserving inference protocol (Homomorphic Encryption)</t>
  </si>
  <si>
    <t>leave-one-entity-out</t>
  </si>
  <si>
    <t>Device Type / Botnet Type</t>
  </si>
  <si>
    <t>Sliding window (1.5s window, 0.5s step, 1/3 overlap)</t>
  </si>
  <si>
    <t>Custom IoT Power Traces (Security Camera, Voice Assistant); CHASE’19 public dataset</t>
  </si>
  <si>
    <t>Accuracy; Precision; Recall; F1-Measure; Processing Time; CPU/Memory Usage</t>
  </si>
  <si>
    <t>CHASE’19 (State-of-the-art CNN classifier)</t>
  </si>
  <si>
    <t>High (Methodology detailed, code/data mentioned available)</t>
  </si>
  <si>
    <t>Overfitting to specific device types or botnet patterns; Privacy leakage in distributed inference</t>
  </si>
  <si>
    <t>Covert Communication (Data Exfiltration via Model Updates)</t>
  </si>
  <si>
    <t>Model Gradients (as a covert channel)</t>
  </si>
  <si>
    <t>Data samples (partitioned among clients)</t>
  </si>
  <si>
    <t>Random partitioning of data to clients</t>
  </si>
  <si>
    <t>Accuracy; Training Loss</t>
  </si>
  <si>
    <t>Model Accuracy (impact of steganography)</t>
  </si>
  <si>
    <t>Baseline without embedding vs. Method with embedding</t>
  </si>
  <si>
    <t>Low (Dataset is standard MNIST, but specific FL split code not provided)</t>
  </si>
  <si>
    <t>None explicitly regarding evaluation validity</t>
  </si>
  <si>
    <t>Data injection attack (data replace and reorder attacks)</t>
  </si>
  <si>
    <t>Simulated distribution feeder with 1000 residential ACs; TMY2 weather data; PJM wholesale electricity price</t>
  </si>
  <si>
    <t>https://www.wunderground.com/ (Weather), http://pjm.com/ (Price)</t>
  </si>
  <si>
    <t>Detection success (FLAG); Computational overhead (time)</t>
  </si>
  <si>
    <t>Detection success (FLAG)</t>
  </si>
  <si>
    <t>Standard Paillier digital signature scheme (Fan et al. [17])</t>
  </si>
  <si>
    <t>Uncuffed Code on Github (URL not explicitly provided in text, mentioned as section 2)</t>
  </si>
  <si>
    <t>Code mentioned as available on Github, but no URL provided in the text snippet.</t>
  </si>
  <si>
    <t>Private/University Database</t>
  </si>
  <si>
    <t>MAE; Processing time; Compressibility; Average distance error</t>
  </si>
  <si>
    <t>MAE</t>
  </si>
  <si>
    <t>Traditional algorithms (unspecified)</t>
  </si>
  <si>
    <t>National Statistical Institute of Bulgaria data; Eurostat data</t>
  </si>
  <si>
    <t>Insider Threat / Data Leakage</t>
  </si>
  <si>
    <t>Network Intrusions (NSL-KDD) and Spam (ECUE)</t>
  </si>
  <si>
    <t>Supervised (Bi-LSTM)</t>
  </si>
  <si>
    <t>preprocessing (oversampling before split)</t>
  </si>
  <si>
    <t>Oversampling (SMOTE optimized by GSO)</t>
  </si>
  <si>
    <t>DNN+SVM, OC-SVM, Naive Bayesian, Gaussian Process, Random Forest, Gradient Boosting</t>
  </si>
  <si>
    <t>Low (Ambiguous splitting and evaluation protocol)</t>
  </si>
  <si>
    <t>Class imbalance; Concept drift</t>
  </si>
  <si>
    <t>Data Leakage (Side-channel/Simultaneous transmission of same-level packets)</t>
  </si>
  <si>
    <t>Synthetic generation based on probability distributions</t>
  </si>
  <si>
    <t>Generated dataset (1,500 instances); Real-Dataset (Video packet sizes from Ukommi 2022)</t>
  </si>
  <si>
    <t>Tm (Maximum transmission time); ga (gap); Aga (average gap); Ptg (percentage of optimal instances); Time (running time)</t>
  </si>
  <si>
    <t>DTA, GSC, HSC, HCD, HCI, QCD, QCI vs Literature (RLT, MDETA, RGS1)</t>
  </si>
  <si>
    <t>Data leakage, Identity theft, Man-in-the-middle attacks</t>
  </si>
  <si>
    <t>Has_Explicit_Leakage_Control</t>
  </si>
  <si>
    <t>Has_Temporal_Evaluation</t>
  </si>
  <si>
    <t>Has_Entity_Decontamination</t>
  </si>
  <si>
    <t>Reports_Split_Details</t>
  </si>
  <si>
    <t>Reports_Sampling_Details</t>
  </si>
  <si>
    <t>Risk_of_Evaluation_Bias</t>
  </si>
  <si>
    <t>Risk_Rationale_Short</t>
  </si>
  <si>
    <t>Book/Guide format; lacks rigorous ML experimental design</t>
  </si>
  <si>
    <t>ไม่มีการระบุวิธีการแบ่งข้อมูล (Train/Test Split) ใน dataset แรกอย่างชัดเจน และไม่ได้กล่าวถึงการจัดการเรื่องลำดับเวลา (Chronological split) หรือความซ้ำซ้อนของข้อมูล</t>
  </si>
  <si>
    <t>Paper is a general survey of authentication techniques in IoT/Home Automation and does not conduct an empirical ML evaluation or use graph-based methods.</t>
  </si>
  <si>
    <t>Uses chronological split (training on normal days, testing on attack days) which is standard for ICS anomaly detection to avoid temporal leakage.</t>
  </si>
  <si>
    <t>Paper uses SMOTE for oversampling on streaming data but does not specify if this occurs before or after train/test splitting, posing a high risk of data leakage. Split strategy (e.g., 80/20 vs temporal) is not explicitly defined.</t>
  </si>
  <si>
    <t>เอกสารเป็นบทในหนังสือ (Book Chapter) ที่สำรวจเรื่องความปลอดภัยในชั้นกายภาพ (Physical Layer Security) ของเครือข่ายไร้สาย RIS ไม่ใช่งานวิจัยที่นำเสนอโมเดล Machine Learning สำหรับการตรวจจับ APT หรือใช้ข้อมูลแบบ Graph จึงไม่มีการประเมินผลในบริบทของ SLR นี้</t>
  </si>
  <si>
    <t>Simulated environment with unclear separation between training and testing data for the TabNet model.</t>
  </si>
  <si>
    <t>ใช้ K-fold cross-validation แบบสุ่มบน dataset รวม (Drebin/Genome Project) โดยไม่มีการแบ่งตามเวลา (Temporal Split) ทำให้เสี่ยงต่อ data leakage จาก future knowledge</t>
  </si>
  <si>
    <t>Paper is a management survey and statistical analysis, not a technical ML/Graph evaluation.</t>
  </si>
  <si>
    <t>การประเมินประสิทธิภาพไม่ได้ใช้กระบวนการทาง Machine Learning (เช่น Train/Test split) แต่เป็นการทดสอบเครื่องมือ (Verification Tool) กับชุดข้อมูลตัวอย่างที่คัดเลือกมา (Purposive Sampling) จำนวน 131 แอป ทำให้ไม่สามารถวัด Generalization ในลักษณะเดียวกับ ML Model ได้</t>
  </si>
  <si>
    <t>Paper performs algorithmic optimization (scheduling), not machine learning evaluation. Concepts of ML split bias do not apply, but for the purpose of APT detection SLR, it lacks relevant evaluation.</t>
  </si>
  <si>
    <t>Paper is a Game Theory simulation, not a Machine Learning study.</t>
  </si>
  <si>
    <t>Paper evaluates photogrammetry software, not ML detection models. Leakage refers to data privacy, not train-test contamination.</t>
  </si>
  <si>
    <t>ผู้เขียนระบุว่าเงื่อนไขการเก็บข้อมูลแบบลำดับ (Sequential) ถูกยกเว้น และใช้วิธีแบ่ง 80:20 ซึ่งอาจทำลายความสัมพันธ์ทางเวลาของ APT</t>
  </si>
  <si>
    <t>บทความขาดรายละเอียดเกี่ยวกับการแบ่งชุดข้อมูล (Train/Test Split) และใช้วิธีการจำลองสภาพแวดล้อม (Simulated environment) โดยไม่ระบุถึงการควบคุม Data Leakage หรือ Temporal constraints</t>
  </si>
  <si>
    <t>บทความนี้นำเสนอ Framework สำหรับ Formal/Statistical Verification บน Hardware Netlist โดยใช้ Benchmarks มาตรฐาน (Trust-Hub) ไม่ใช่งาน Machine Learning ที่มีการแบ่งชุดข้อมูล Train/Test จึงไม่สามารถประเมินความเสี่ยงด้าน ML Evaluation Bias ได้ในบริบทเดียวกัน</t>
  </si>
  <si>
    <t>Paper performs no technical evaluation; qualitative review only.</t>
  </si>
  <si>
    <t>บทความนี้เป็น Comparative Study / Review Paper ที่สำรวจแนวโน้มภัยคุกคามและการแก้ปัญหาในภาพรวม (Survey) ไม่มีการนำเสนอโมเดลใหม่หรือการทดลอง (Experiment) จึงไม่มีการรายงาน Dataset, Split strategy หรือ Evaluation metrics</t>
  </si>
  <si>
    <t>Paper uses manual threshold setting based on a reduced implementation (calibration) and tests on benchmarks; not a rigorous ML statistical split.</t>
  </si>
  <si>
    <t>บทความนี้เป็นการวิเคราะห์เชิงทฤษฎี (Theoretical Analysis) เกี่ยวกับโมเดลความเป็นส่วนตัว ไม่มีการทดลองเชิงประจักษ์ด้วย Machine Learning หรือการแบ่งข้อมูล Train/Test สำหรับ APT Detection</t>
  </si>
  <si>
    <t>ใช้การแบ่งข้อมูลแบบ 70/15/15 โดยไม่ระบุว่าเป็น Temporal split ทั้งที่ข้อมูลเป็น Time-series (Sliding windows) ซึ่งเสี่ยงต่อ Data Leakage จากหน้าต่างเวลาที่ซ้อนทับกัน (Stride 2.5s, Window 5s)</t>
  </si>
  <si>
    <t>บทความนำเสนอสถาปัตยกรรมระบบ (System Architecture) และแสดงผลลัพธ์ผ่านหน้าจอ Dashboard (Screenshot evidence) โดยไม่มีการทดลองเชิง Machine Learning ที่ระบุ Dataset หรือ Evaluation metrics ที่ชัดเจน</t>
  </si>
  <si>
    <t>มีการระบุจำนวน training/testing samples แต่ไม่ระบุวิธีการแบ่ง (Split Strategy) ที่ชัดเจนว่าแยกตามเวลาหรือแคมเปญหรือไม่ แม้อ้างว่าทดสอบกับ unknown variants</t>
  </si>
  <si>
    <t>บทความนี้เป็นการนำเสนอสถาปัตยกรรมเครือข่าย (Network Architecture Design) และทดสอบเชิงฟังก์ชัน (Functional Testing) ไม่ใช่การวิจัยด้าน Machine Learning หรือ Graph Learning จึงไม่มีข้อมูลด้าน Data Split หรือ Bias ในบริบทของ AI</t>
  </si>
  <si>
    <t>งานวิจัยใช้ Cross-validation แบบ K-folds (Equation 3) ในบริบทของ Streaming Data ซึ่งมีความเสี่ยงสูงต่อ Temporal Leakage แม้ว่าจะมีการทดสอบ Drift ตามลำดับเวลา (Figures 3-5) แต่กระบวนการ Training หลักยังอ้างอิง CV ที่อาจไม่ได้ทำ Chronological blocking อย่างเคร่งครัด นอกจากนี้งานวิจัยนี้เป็น Tree-based (XGBoost) ไม่ใช่ Graph-based</t>
  </si>
  <si>
    <t>ใช้ dataset เก่า (NSL-KDD) ทดสอบระบบ Android โดยไม่มีรายละเอียดการแบ่งข้อมูล (Split) ที่ชัดเจน และไม่มีการจัดการเรื่อง Temporal dependencies</t>
  </si>
  <si>
    <t>ใช้ Random Split 80:20 กับข้อมูล Network Traffic/IoT โดยไม่คำนึงถึง Temporal dependency ทำให้เกิดความเสี่ยงสูงที่จะเกิด Look-ahead bias และสหสัมพันธ์ระหว่างแพ็กเก็ตที่ใกล้เคียงกัน</t>
  </si>
  <si>
    <t>บทความนี้เป็น Guest Editorial ที่สรุปภาพรวมและแนะนำบทความอื่นในฉบับ ไม่ใช่งานวิจัยหลักที่มีการทดลองหรือประเมินผลโมเดลด้วยตนเอง จึงไม่มีข้อมูลเกี่ยวกับการแบ่งชุดข้อมูลหรือการควบคุม Bias</t>
  </si>
  <si>
    <t>Paper proposes a management maturity model, not an ML/Graph evaluation.</t>
  </si>
  <si>
    <t>บทความนี้เป็นการวิเคราะห์ภัยคุกคามเชิงคุณภาพ (Qualitative Threat Analysis) โดยใช้กรอบ STRIDE และ LINDDUN ไม่มีการทดลองเชิงปริมาณ (Quantitative Experiment) หรือการประเมินโมเดลด้วย Dataset จึงไม่มีข้อมูลเกี่ยวกับการแบ่งข้อมูลหรือ Bias ในการประเมินผล</t>
  </si>
  <si>
    <t>Paper performs biometric authentication, not APT detection. It controls for correlation bias by using disjoint datasets for synthetic pairing.</t>
  </si>
  <si>
    <t>การประเมินผลทำโดยใช้คำถามที่ผู้เชี่ยวชาญกำหนดขึ้นเองจำนวนหนึ่ง (Reference questions) โดยไม่มีการระบุจำนวนตัวอย่างที่ชัดเจนหรือการแบ่งชุดข้อมูลมาตรฐาน (Train/Test split) เนื่องจากเป็นระบบ RAG/QA ไม่ใช่ระบบตรวจจับ (Detection model)</t>
  </si>
  <si>
    <t>บทความนี้เน้นการตรวจสอบความถูกต้อง (Integrity verification) ผ่าน Blockchain และ ZKP โดยใช้ DBSCAN เพื่อการสุ่มตัวอย่างสำหรับการบีบอัดข้อมูล (Compression) ไม่ใช่งาน ML Classification ทั่วไป จึงไม่มีการแบ่ง Train/Test เพื่อวัดผลความแม่นยำในการตรวจจับ</t>
  </si>
  <si>
    <t>งานวิจัยใช้เพียงสถานการณ์จำลอง (Scenario-based) ในการสาธิตโมเดล โดยไม่มีการใช้ข้อมูลจริง (Real-world dataset) ไม่มีการแบ่ง Train/Test หรือการวัดผลทางสถิติที่ชัดเจน</t>
  </si>
  <si>
    <t>มีการแบ่งข้อมูลตามเวลา (Temporal split) ชัดเจน แต่ชุดข้อมูลการโจมตี (Attack Sets) เป็นแบบจำลอง (Simulated/Devised) ทั้งหมด ไม่ใช่ Real-world attacks</t>
  </si>
  <si>
    <t>Paper proposes an Action Research methodology without a machine learning training/testing evaluation protocol.</t>
  </si>
  <si>
    <t>งานวิจัยนี้ไม่ใช่ Machine Learning แต่เป็นการออกแบบฮาร์ดแวร์ (Hardware Architecture) และประเมินด้วย FPGA implementation จึงไม่มีการแบ่ง dataset split หรือ sampling แบบงาน AI</t>
  </si>
  <si>
    <t>Survey paper; reviews other works without detailing their specific split/sampling strategies for bias assessment.</t>
  </si>
  <si>
    <t>Paper describes a commercial software solution with rule-based features and log tabulation. No machine learning evaluation, dataset splitting, or experimental validation provided.</t>
  </si>
  <si>
    <t>งานวิจัยนี้เป็นการศึกษาเชิงสังเกตการณ์ (Observational Study) บนแอปพลิเคชัน 213 ตัว ไม่มีการสร้างโมเดล ML หรือการแบ่ง Train/Test จึงไม่สามารถประเมิน bias ในเชิง ML evaluation ได้ แต่มีการระบุถึงความเสี่ยงที่ malware จะหลบเลี่ยงการตรวจจับ (Evasion) ผ่านการตรวจสอบสภาพแวดล้อม (Fingerprinting) ซึ่งส่งผลต่อความถูกต้องของการวิเคราะห์</t>
  </si>
  <si>
    <t>Uses a 70:30 split on network traffic data without mentioning temporal ordering or flow-grouping.</t>
  </si>
  <si>
    <t>Paper is a survey/implementation guide for DLP systems, not a machine learning evaluation paper.</t>
  </si>
  <si>
    <t>งานวิจัยใช้ชุดข้อมูลภาพการแพทย์ (X-Ray) ไม่ใช่ข้อมูล Graph Security สำหรับ APT detection การแบ่งข้อมูลใช้การแบ่งเท่าๆ กันให้แต่ละ Client โดยไม่ระบุ Temporal constraints</t>
  </si>
  <si>
    <t>Paper is out of scope for Graph-based APT detection. It is a survey-based statistical analysis of human awareness, not a machine learning evaluation.</t>
  </si>
  <si>
    <t>การแบ่งข้อมูลแบบ random/batch บนข้อมูลเครือข่ายโดยไม่คำนึงถึงลำดับเวลา (Temporal) ทำให้เกิดความเสี่ยงสูงต่อ Data Leakage และ Overestimation</t>
  </si>
  <si>
    <t>บทความเน้นการประเมินด้าน Privacy Utility (Information Loss) และ Efficiency แต่ไม่มีการรายงานวิธีการแบ่งชุดข้อมูล (Split) หรือผลลัพธ์ด้านความแม่นยำในการตรวจจับ (Detection Accuracy) ที่ชัดเจน แม้จะอ้างถึงความสามารถในการตรวจจับ Sybil/Malware ก็ตาม</t>
  </si>
  <si>
    <t>Paper proposes a hardware design methodology, not a machine learning model. No train/test split or sampling involved.</t>
  </si>
  <si>
    <t>Paper proposes a benchmark suite/dataset, not an ML evaluation method, so split/leakage metrics are not applicable.</t>
  </si>
  <si>
    <t>บทความนี้ใช้ Game Theory และ Numerical Simulation ไม่ใช่ Machine Learning จึงไม่มีการแบ่งชุดข้อมูล Train/Test หรือประเด็น Data Leakage ตามบริบทของ SLR นี้</t>
  </si>
  <si>
    <t>มีการแบ่งข้อมูลตามลำดับเวลา (Day 1 vs Day 2) เพื่อจำลอง baseline และ attack activity อย่างชัดเจน แม้จะเป็น synthetic dataset</t>
  </si>
  <si>
    <t>Dataset มีขนาดเล็กมาก (4 users) และไม่มีการระบุวิธีแบ่งข้อมูล Train/Test ที่ชัดเจน (เช่น Random หรือ Temporal split)</t>
  </si>
  <si>
    <t>บทความนี้เป็นเพียงการทบทวนวรรณกรรมและจัดหมวดหมู่ภัยคุกคาม (Taxonomy) ไม่มีส่วนการทดลอง (Experimental Results) ที่ใช้ชุดข้อมูลหรือโมเดล Machine Learning จริง</t>
  </si>
  <si>
    <t>Paper focuses on Formal Verification (SMT/Model Checking) using synthetic configurations, not Machine Learning with Train/Test splits.</t>
  </si>
  <si>
    <t>Paper proposes CAD frameworks (CWE-IFT, SoFI) using formal methods and simulation, not Machine Learning; thus ML evaluation bias is not applicable.</t>
  </si>
  <si>
    <t>บทความใช้การจำลองแบบ Reinforcement Learning (RL) โดยไม่ได้ระบุถึงการแยกชุดข้อมูล Train/Test ที่ชัดเจนเหมือน Supervised Learning แต่เน้นที่ convergence ของ reward ใน environment จำลอง ซึ่งอาจไม่สะท้อนความเป็นจริงหาก environment ไม่ครอบคลุม</t>
  </si>
  <si>
    <t>ใช้วิธี Interleaved Test-Then-Train ซึ่งเป็นมาตรฐานสำหรับ Data Streams เพื่อป้องกัน Temporal Leakage ในระดับ Instance แต่ไม่มีการระบุถึง Graph Leakage เพราะงานวิจัยไม่ใช่ Graph-based</t>
  </si>
  <si>
    <t>ใช้งาน 10-fold cross-validation กับข้อมูล Network Intrusion (UNSW-NB15) ซึ่งมีความสัมพันธ์ทางเวลา ทำให้เกิด Temporal Leakage</t>
  </si>
  <si>
    <t>Paper focuses on hardware attack generation and physical channel measurement, not machine learning detection evaluation.</t>
  </si>
  <si>
    <t>งานวิจัยนี้เป็นการนำเสนอคำนิยาม (Definition) และรายการของ API ที่ละเอียดอ่อน (Sensitive APIs) สำหรับ Android ไม่ใช่งานวิจัยที่สร้างโมเดล Machine Learning เพื่อตรวจจับ APT จึงไม่มีการประเมินผลโมเดล (Evaluation) ที่เกี่ยวข้องกับ Bias หรือ Sampling</t>
  </si>
  <si>
    <t>บทความใช้วิธี prequential evaluation (interleaved-test-then-train) ตามลำดับเวลา เพื่อป้องกัน temporal leakage อย่างชัดเจน</t>
  </si>
  <si>
    <t>บทความนี้เป็นงานวิจัยทางสังคมศาสตร์ (Social Science) ใช้การวิเคราะห์ทางสถิติ (Regression/Mediation) บนข้อมูลแบบสอบถาม ไม่ใช่งานวิจัยด้าน Graph-based APT Detection หรือ Machine Learning จึงไม่สามารถประเมิน Bias ในบริบทของ SLR นี้ได้</t>
  </si>
  <si>
    <t>ใช้ 10-fold CV กับข้อมูลที่มี Concept Drift ซึ่งทำลายลำดับเวลา (Temporal Order) ทำให้การวัดผล Drift Detection ไม่สะท้อนความจริง</t>
  </si>
  <si>
    <t>The paper uses a CAN bus dataset which is time-series data but does not explicitly state that the train/test split was chronological. The efficiency experiments explicitly use random assignment.</t>
  </si>
  <si>
    <t>บทความใช้การวิเคราะห์แบบ Static Analysis ที่ไม่ใช่ Machine Learning จึงไม่มีการแบ่งชุดข้อมูล Train/Test แต่การประเมินผลทำบนชุดข้อมูลสังเคราะห์ขนาดเล็ก (Synthetic Test Suites) เท่านั้น ไม่มีการทดสอบกับแอปพลิเคชันจริงจำนวนมาก (Real-world scale)</t>
  </si>
  <si>
    <t>Paper is a Systematic Literature Review (SLR) focusing on Mobile Security and Blockchain, not a primary experimental study proposing a Graph-based APT detection model.</t>
  </si>
  <si>
    <t>บทความนี้ไม่ได้อยู่ในโดเมน Graph-based APT Detection (เป็นการแนะนำงานให้นักศึกษา) วิธีการแบ่งข้อมูลและการสุ่มตัวอย่างมีความเสี่ยงสูง (เลือกผู้ใช้ 6 คนมาเปรียบเทียบ) และคำอธิบายระเบียบวิธีวิจัยไม่ชัดเจน</t>
  </si>
  <si>
    <t>Not an ML paper; uses optimization heuristics on static benchmarks.</t>
  </si>
  <si>
    <t>ใช้ Random split (80/20) บนข้อมูลที่มีมิติเวลา (Tweets/News) โดยไม่มีการจัดการ Temporal dependency หรือ Duplication ระหว่าง Train/Test</t>
  </si>
  <si>
    <t>Paper does not involve ML/Graph-based detection evaluation; it is a hardware security paper evaluating circuit-level Trojans.</t>
  </si>
  <si>
    <t>บทความใช้ข้อมูลจากการจำลอง (Simulation) โดยไม่ได้ระบุวิธีการแบ่งข้อมูล (Split Strategy) ที่ชัดเจน นอกจากการกล่าวว่าแบ่งเป็น training/testing sets และไม่มีการกล่าวถึงการควบคุม Data Leakage หรือ Temporal constraints ทั้งที่ใช้โมเดล Time-series (Informer)</t>
  </si>
  <si>
    <t>บทความนี้เป็น Survey Paper จึงไม่ได้ระบุวิธีการทดลอง (Evaluation methodology) ของตนเอง แต่เป็นการรวบรวมงานวิจัยอื่น</t>
  </si>
  <si>
    <t>บทความนี้เป็นบทสำรวจ (Survey/Review) เกี่ยวกับความปลอดภัยของ Conversational AI โดยไม่ได้นำเสนอการทดลองเชิงประจักษ์ (Empirical Experiments) หรือวิธีการประเมินผลสำหรับแบบจำลอง Graph-based APT detection</t>
  </si>
  <si>
    <t>บทความนี้เป็นงานวิจัยเชิงทดลอง (Proof of Concept) ด้านการพัฒนา Malware และการตรวจสอบทางนิติวิทยาศาสตร์ ไม่ใช่งานวิจัยด้าน Machine Learning จึงไม่มีการแบ่งชุดข้อมูล Train/Test หรือการประเมินผลเชิงสถิติที่เกี่ยวข้องกับ Bias ในบริบทของ AI</t>
  </si>
  <si>
    <t>มีการใช้ Cross-validation ร่วมกับการประเมินแบบ Streaming (Time-dependent) ซึ่งอาจเกิดความซับซ้อนในการแยกข้อมูลหากทำไม่ถูกลำดับเวลา แต่บทความเน้นเรื่อง Drift detection ซึ่งเป็นการจัดการ temporal bias โดยตรง</t>
  </si>
  <si>
    <t>The study uses a simulation (AnyLogic) with a fixed scenario of 19 machines rather than a standard dataset with training/testing splits, making evaluation bias high and generalizability limited.</t>
  </si>
  <si>
    <t>การทดลองใช้ Random Split 80-20 บนชุดข้อมูล Network Traffic โดยไม่มีการแบ่งตามเวลา (Temporal Split) ทำให้มีความเสี่ยงสูงต่อ Temporal Leakage</t>
  </si>
  <si>
    <t>ใช้การแบ่งข้อมูลแบบสุ่ม (Random Split) บนข้อมูลรูปภาพทั่วไป ไม่มีการประเมินเชิงเวลา (Temporal) ซึ่งเป็นบริบทสำคัญของ APT detection แม้จะมีการควบคุม Privacy Leakage แต่ไม่ใช่ Data Leakage ในบริบทของ Graph/Time</t>
  </si>
  <si>
    <t>มีการใช้ GAN เพิ่มจำนวนข้อมูลแต่ไม่ระบุวิธีแบ่งข้อมูล (Split Strategy) หรือการจัดการลำดับเวลา (Temporal Split) ซึ่งเสี่ยงต่อ Data Leakage ในบริบท Network Traffic</t>
  </si>
  <si>
    <t>Paper is a Systematic Literature Review (SLR) on Transactive Energy Markets, not an experimental study proposing or evaluating a Graph-based APT detection model.</t>
  </si>
  <si>
    <t>Paper evaluates a physical attack method, not a machine learning detection model.</t>
  </si>
  <si>
    <t>Evaluation uses only 5 manually selected malicious apps with no benign baseline or statistical metric.</t>
  </si>
  <si>
    <t>เอกสารเป็นหนังสือคู่มือปฏิบัติ (Practical Guide) สำหรับสร้างเซ็นเซอร์ ไม่ใช่งานวิจัยเชิงทดลองที่มีการแบ่งชุดข้อมูล Train/Test หรือการวัดผลทางสถิติที่ชัดเจน</t>
  </si>
  <si>
    <t>ใช้ Random split 80-20 กับข้อมูล Network Traffic ซึ่งมีความสัมพันธ์ทางเวลา (Temporal Dependency) ทำให้เสี่ยงต่อ Temporal Leakage</t>
  </si>
  <si>
    <t>Paper evaluates on standard CV datasets (not time-dependent) and explicitly separates auxiliary poisoning data from target client data.</t>
  </si>
  <si>
    <t>Paper proposes a hardware architecture (MeeMo) and performs functional testing rather than statistical ML evaluation; no datasets or splits are reported.</t>
  </si>
  <si>
    <t>แม้บทความจะเน้นแก้ปัญหา Data Leakage ในขั้นตอน Feature Selection แต่การทดลองยังใช้ Random Split (70:30) บนข้อมูล IoT ซึ่งอาจมีความสัมพันธ์ทางเวลา (Temporal Dependency) ที่ยังไม่ถูกจัดการ</t>
  </si>
  <si>
    <t>มีการแยกชุดข้อมูล Index และ Test ชัดเจน โดยทดสอบกับไฟล์เวอร์ชันเก่า (Wiki) และ Malware variants เพื่อจำลองความคล้ายคลึงที่สมจริง ไม่ใช่การสุ่มแบ่ง chunks</t>
  </si>
  <si>
    <t>Paper is about Hardware Trojan attack simulation, not Machine Learning detection.</t>
  </si>
  <si>
    <t>บทความนี้เป็นการทบทวนวรรณกรรมทางการศึกษา (Systematic Review on Education) ไม่ใช่การทดลองทางเทคนิคด้าน Machine Learning หรือ Graph-based Detection จึงไม่มีข้อมูลเกี่ยวกับการแบ่งข้อมูลหรือการวัดผลโมเดล</t>
  </si>
  <si>
    <t>The paper defines a contest problem with specific evaluation datasets (Trojaned vs Trojan-free) derived from Trust-Hub, rather than evaluating a specific model.</t>
  </si>
  <si>
    <t>บทความนี้เป็นการศึกษาเชิงพฤติกรรม (Behavioral Case Study) เกี่ยวกับ Phishing ไม่ใช่การทดลอง Machine Learning หรือ Graph-based detection จึงไม่มีประเด็นเรื่อง Data Leakage หรือ Split Strategy ในบริบทของการเรียนรู้ของเครื่อง</t>
  </si>
  <si>
    <t>บทความนี้เป็นงานวิจัยเชิงคุณภาพและนำเสนอกรอบแนวคิดการบริหารจัดการ (Conceptual Framework) ไม่มีการทดลองเชิงปริมาณหรือการใช้อัลกอริทึม Machine Learning</t>
  </si>
  <si>
    <t>บทความนี้เป็น Systematic Literature Review (SLR) เกี่ยวกับ RPA Security ไม่ใช่งานวิจัยเชิงทดลองที่มีการสร้างโมเดลหรือแบ่งชุดข้อมูล จึงไม่สามารถประเมิน Evaluation Bias ในบริบทของ Machine Learning ได้</t>
  </si>
  <si>
    <t>ใช้งานชุดข้อมูล NSL-KDD แบบ Standard Split โดยไม่มีการระบุถึง Temporal Split หรือการควบคุม Data Leakage ระหว่าง Train/Test อย่างชัดเจน</t>
  </si>
  <si>
    <t>ใช้ข้อมูลสังเคราะห์ (Generated) สำหรับ Malicious class ในการเทรนและทดสอบ และไม่มีรายละเอียดการแบ่ง Train/Test ที่ชัดเจนในแง่ของเวลา (Temporal split) แม้จะมีการทดสอบกับ Real-time traffic ในภายหลังแต่ขาดรายละเอียด</t>
  </si>
  <si>
    <t>Paper uses simulation on static graphs, not ML training/testing.</t>
  </si>
  <si>
    <t>Evaluation uses a composite dataset (Real Benign + Synthetic Malicious) without clear training/testing splits or temporal ordering.</t>
  </si>
  <si>
    <t>Random split (70/30) on time-series log data likely causes temporal leakage and entity overlap.</t>
  </si>
  <si>
    <t>Paper performs formal verification (CSP/PAT) rather than Machine Learning evaluation; standard ML bias metrics do not apply.</t>
  </si>
  <si>
    <t>บทความนี้นำเสนอ Framework ด้าน Deception (Honeytokens) โดยการประเมินผลเป็นแบบ Theoretical probability และ Scenario-based demonstration เท่านั้น ไม่มีการใช้ Machine Learning, Dataset จริง หรือการแบ่งข้อมูล Train/Test ทำให้ไม่สามารถประเมิน Bias ในบริบทของ Graph-based ML ได้ แต่ถือว่ามีความเสี่ยงสูงในเชิง Generalization</t>
  </si>
  <si>
    <t>ใช้ Stratified random split (80/20) กับข้อมูล Network traffic โดยไม่ระบุการแยกตามเวลา (Time) หรือ Flow ID ทำให้มีความเสี่ยงสูงต่อ Temporal leakage</t>
  </si>
  <si>
    <t>บทความนี้เป็น Survey/Position paper ที่นำเสนอแนวคิดทั่วไปเกี่ยวกับ AI และ Blockchain ไม่มีการทดลอง (No Experiments) ไม่มีการใช้ Dataset หรือ Evaluation ใดๆ จึงไม่สามารถประเมิน Bias ในการทดลองได้</t>
  </si>
  <si>
    <t>Scenario 1 ทดสอบกับข้อมูลชุดเดียวกับที่ใช้สร้าง Centroids (Known Data) ซึ่งเป็น Data Leakage อย่างชัดเจน ส่วน Scenario 2 และ 3 มีการแยกข้อมูลบ้างแต่ขาดรายละเอียดการสุ่มที่ชัดเจน</t>
  </si>
  <si>
    <t>บทความไม่มีส่วนการทดลอง (Experiment), ไม่มีการใช้ Dataset, และไม่มีการวัดผลเชิงปริมาณ มีเพียงตารางอธิบายคำนิยามเท่านั้น</t>
  </si>
  <si>
    <t>บทความนี้เป็นการสำรวจพฤติกรรมผู้ใช้ (User Survey) ไม่ใช่งานวิจัยด้าน Machine Learning หรือ Graph-based Detection จึงไม่มีการแบ่งชุดข้อมูลสำหรับเทรนโมเดล</t>
  </si>
  <si>
    <t>ใช้ 10-fold CV กับข้อมูล time-series (side-channel) โดยไม่ระบุถึงการจัดการลำดับเวลาหรือการแยก dataset เพื่อป้องกัน data leakage ระหว่าง train/test</t>
  </si>
  <si>
    <t>Paper is a literature review, not an experimental study.</t>
  </si>
  <si>
    <t>มีการจัดการ Temporal Leakage อย่างชัดเจนด้วยการแบ่งข้อมูลตามปี (Year-based split) และการทดสอบแบบ Interleaved</t>
  </si>
  <si>
    <t>ใช้ k-fold cross-validation กับข้อมูล vital signs ซึ่งโดยธรรมชาติเป็น time-series แต่ไม่มีการระบุถึงการจัดการ temporal dependency หรือการแยกผู้ป่วย (subject-wise split) อย่างชัดเจน</t>
  </si>
  <si>
    <t>Paper proposes a security defense mechanism (SecHARE) and evaluates it via performance benchmarks and case studies, not a machine learning model. Thus, ML-specific evaluation biases like data leakage or splitting strategies are not applicable.</t>
  </si>
  <si>
    <t>Evaluation relies on a small, manually curated dataset (360 docs) with profiles built from Wikipedia. No standard train/test split; instead, profiles are updated dynamically during testing, introducing potential order-dependent bias.</t>
  </si>
  <si>
    <t>บทความนี้เป็น Review Article ที่สำรวจมาตรการความปลอดภัยในฐานข้อมูล ไม่มีการนำเสนอโมเดลใหม่หรือการทดลอง (Experiment) จึงไม่มีข้อมูลเกี่ยวกับการแบ่งชุดข้อมูลหรือการประเมินผลเชิงปริมาณ</t>
  </si>
  <si>
    <t>Paper is a legal/policy analysis, not a technical experiment.</t>
  </si>
  <si>
    <t>ผู้เขียนระบุปัญหา Data Leakage จากการสุ่มแยกข้อมูลในงานวิจัยก่อนหน้าอย่างชัดเจน และใช้วิธี Temporal Sliding Window พร้อมแยก Window Memories อย่างเคร่งครัดเพื่อป้องกันการรั่วไหล</t>
  </si>
  <si>
    <t>มีการใช้ Cross-design validation แยกวงจรที่ใช้เทรนและทดสอบออกจากกันอย่างชัดเจน ช่วยลดความเสี่ยงเรื่อง Overfitting ต่อโครงสร้างวงจรเดิม</t>
  </si>
  <si>
    <t>The review reports on papers using random splits (e.g., 80/20) on datasets like KDD99/NSL-KDD without mentioning temporal constraints or leakage controls.</t>
  </si>
  <si>
    <t>Paper proposes a system mechanism (access control), not an ML model. Standard ML evaluation bias criteria do not apply directly, but no diverse dataset was used.</t>
  </si>
  <si>
    <t>Benign dataset split (70/20/10) does not specify temporal ordering; random split on time-series vectors risks leakage.</t>
  </si>
  <si>
    <t>บทความไม่ระบุวิธีแบ่งชุดข้อมูล (Train/Test) หรือ Dataset ที่ใช้ทดสอบ intrusion detection อย่างชัดเจน เป็นเพียงการเปรียบเทียบค่าสถิติระหว่างสองระบบ</t>
  </si>
  <si>
    <t>บทความไม่ใช่งานวิจัย Machine Learning แต่เป็นการวิเคราะห์เชิงปริมาณ (Quantitative Analysis) ที่ใช้การกำหนด Threshold จากข้อมูลส่วนหนึ่ง (Calibration) แล้วทดสอบกับ Benchmark อื่น โดยไม่มีกระบวนการ Cross-validation หรือ Split ที่ชัดเจนในเชิง ML</t>
  </si>
  <si>
    <t>Uses 10-fold cross-validation on time-series network traffic without explicit temporal separation or flow decontamination.</t>
  </si>
  <si>
    <t>บทความนี้ไม่ใช่ Machine Learning แต่เป็นการนำเสนอโปรโตคอลความปลอดภัย (Security Protocol) การวัดผลเน้นประสิทธิภาพเชิงคำนวณ (Cryptographic operations) ไม่มีการวัดผลด้านการตรวจจับ (Detection Metrics) หรือการแบ่งข้อมูล Train/Test</t>
  </si>
  <si>
    <t>Uses random k-fold partitioning on time-series network data.</t>
  </si>
  <si>
    <t>ใช้การแบ่งข้อมูลแบบสุ่ม (Random Split) บนชุดข้อมูล Network Traffic โดยไม่มีการจัดการเรื่องลำดับเวลา (Temporal dependencies) ซึ่งเสี่ยงต่อ Data Leakage</t>
  </si>
  <si>
    <t>ใช้ข้อมูลสังเคราะห์ที่สร้างจากกฎ (Rule-based Synthetic Data) จำนวนน้อย (2K) และแบ่งข้อมูลแบบ Random Split (80/20) โดยไม่มีการทดสอบกับข้อมูลจริงหรือระวังเรื่อง Data Leakage</t>
  </si>
  <si>
    <t>บทความนี้นำเสนอ Ontology (OntoSecRPA) และประเมินคุณภาพเชิงโครงสร้าง (Structural Metrics) พร้อมกรณีศึกษา (Case Study) เพื่อสาธิตการใช้งานในการประเมินความเสี่ยง ไม่มีการเทรนโมเดล Machine Learning หรือการแบ่งชุดข้อมูล (Train/Test split) จึงไม่สามารถประเมิน Bias ในบริบทของ Graph-based ML Detection ได้</t>
  </si>
  <si>
    <t>Uses standard random split or cross-validation on time-series network data without explicit temporal ordering controls.</t>
  </si>
  <si>
    <t>Uses random split on time-series network traffic data (CIC-IDS 2017), likely causing temporal leakage.</t>
  </si>
  <si>
    <t>บทความนี้นำเสนอ Framework ทางทฤษฎีและการคำนวณดัชนีความปลอดภัย (SEI) โดยใช้ค่าสมมติ (Hypothetical ratings) ไม่มีการทดลองด้วย Machine Learning หรือชุดข้อมูลจริง จึงไม่สามารถประเมิน Bias ในบริบทของ Graph-based detection ได้</t>
  </si>
  <si>
    <t>บทความนี้ไม่ใช่การวิจัยด้าน Machine Learning หรือ Graph Learning แต่เป็นการทดสอบความปลอดภัยของฐานข้อมูล (Database Security) ด้วยการรันคำสั่ง SQL Injection ด้วยมือ จึงไม่มีประเด็นเรื่อง Data Leakage ในบริบทของ ML Model Training</t>
  </si>
  <si>
    <t>บทความนี้นำเสนอโมเดลเชิงสถาปัตยกรรม (Conceptual Model) และระบุว่าการประเมินผลผ่าน CloudSim เป็นงานในอนาคต จึงไม่มีการทดลองเชิงประจักษ์ให้ประเมิน Bias</t>
  </si>
  <si>
    <t>Paper focuses on cryptography (image encryption) rather than machine learning; standard ML evaluation bias metrics (splits, leakage) are not applicable.</t>
  </si>
  <si>
    <t>การทดลองใช้ข้อมูลเพียง 1 วัน (Single-day log) และไม่มี Ground Truth ของการโจมตีที่ชัดเจน การประเมินผลใช้ ROC เพื่อเทียบความแม่นยำของ Algorithm ประมาณค่า (Approximate) กับแบบ Exact เท่านั้น ส่วนการตรวจจับภัยคุกคามจริงใช้การตรวจสอบด้วยมือ (Manual verification) เฉพาะกับข้อมูลที่มีค่า Outlier score สูงสุด</t>
  </si>
  <si>
    <t>การประเมินใช้การสุ่มแบ่ง (random split) จากชุดคำสั่ง SQL ที่สังเคราะห์ขึ้น (synthetic queries) จำนวน 1,000 รายการ โดยไม่มีการระบุถึงการควบคุม data leakage หรือลำดับเวลาที่ชัดเจนในการแบ่ง Train/Test</t>
  </si>
  <si>
    <t>Uses random stratified split (70:15:15) on network traffic time-series data without temporal ordering or campaign grouping.</t>
  </si>
  <si>
    <t>บทความเป็นงานวิจัยด้าน Network Protocol Performance ที่ใช้ข้อมูลสังเคราะห์ (Synthetic Data) ในการทดสอบความเร็ว ไม่ใช่งานด้าน Machine Learning ที่มีการแบ่ง Train/Test หรือใช้ Graph-based approach จึงไม่เกี่ยวข้องกับบริบทการป้องกัน Data Leakage หรือ Evaluation Bias ในโมเดล AI</t>
  </si>
  <si>
    <t>ใช้การสุ่มแบ่งข้อมูล (Random Split) ในบริบทข้อมูลเครือข่ายที่มีลำดับเวลา (CSE-CIC-IDS2018) ไม่มีการกล่าวถึงการแบ่งตามเวลา (Temporal Split) ซึ่งเสี่ยงต่อการรั่วไหลของข้อมูลในอนาคตเข้าสู่ชุดฝึกสอน</t>
  </si>
  <si>
    <t>Paper presents a commercial system (SOAR) with operational metrics, not a data-driven model evaluation.</t>
  </si>
  <si>
    <t>ใช้ Random Split 80/20 บนข้อมูล Network Traffic โดยไม่มีการจัดการเรื่อง Temporal dependencies หรือ Flow correlation</t>
  </si>
  <si>
    <t>LSTM is used for sequential data, but the split appears to be a standard random partition without explicit temporal ordering.</t>
  </si>
  <si>
    <t>ใช้ Random Split 70/30 โดยไม่คำนึงถึงเงื่อนไขเวลา (Chronological order) ทำให้เสี่ยงต่อ Temporal Leakage</t>
  </si>
  <si>
    <t>ใช้ Random Split กับข้อมูล CERT ที่เป็น Time-series ทำให้เกิด Temporal Leakage และไม่มีการแยก Entity (User) อย่างชัดเจน</t>
  </si>
  <si>
    <t>Paper proposes a system (TaintART), not a machine learning model. Standard ML evaluation bias metrics (splits/leakage) are not applicable.</t>
  </si>
  <si>
    <t>ใช้ Standard Benchmark Split โดยไม่มีการอภิปรายเรื่อง Time-dependency หรือ Leakage ในบริบทของ Intrusion Detection</t>
  </si>
  <si>
    <t>ผู้เขียนไม่ได้ระบุวิธีแบ่งชุดข้อมูล (Train/Test Split) และใช้ dataset ขนาดเล็ก (600 apps) โดยไม่มีการกล่าวถึง Temporal Split ทั้งที่ Malware มีการเปลี่ยนแปลงตามเวลา</t>
  </si>
  <si>
    <t>มีการใช้ Random split (80:20) โดยไม่มีการระบุถึง Test set ที่แยกอิสระอย่างชัดเจน และไม่มีการกล่าวถึงการควบคุม Data Leakage จากภาพต้นฉบับเดียวกัน (Content overlap)</t>
  </si>
  <si>
    <t>บทความนำเสนอการทดลองเชิงสาธิต (Functional Demonstration) ไม่มีการแบ่งชุดข้อมูล (Train/Test) หรือการวัดผลทางสถิติที่ชัดเจน</t>
  </si>
  <si>
    <t>ใช้วิธี cross-validation แบบสุ่ม (8:2) บนชุดข้อมูล Malware (Drebin/Malgenome) โดยไม่ได้คำนึงถึงลำดับเวลา (Temporal Split) ซึ่งมีความเสี่ยงสูงต่อ Data Leakage ในบริบทของ Malware Evolution</t>
  </si>
  <si>
    <t>บทความใช้ dataset ที่เก็บเอง (54 devices) และระบุเพียงว่าเทรน 5 ครั้ง verify 3 ครั้ง ไม่มีการระบุถึง Temporal Split หรือการป้องกัน Data Leakage ในระดับ Model Evaluation ที่ชัดเจน</t>
  </si>
  <si>
    <t>บทความนี้เป็นการศึกษาเชิงประจักษ์ (Empirical Study) เกี่ยวกับช่องโหว่ความปลอดภัยและการโจมตี (Vulnerability &amp; Attack) บนแอปพลิเคชัน Android ไม่ใช่งานวิจัยด้าน Machine Learning หรือ Graph-based Detection จึงไม่มีการสร้างโมเดล การแบ่งชุดข้อมูล หรือการวัดผลทางสถิติที่เกี่ยวข้องกับ Evaluation Bias ในบริบทของ AI</t>
  </si>
  <si>
    <t>ใช้ Random split 80/20 และ Random sampling 10% กับข้อมูล IoT traffic ซึ่งมีความต่อเนื่องทางเวลา (Time-dependent) โดยไม่มีการกล่าวถึง Temporal split</t>
  </si>
  <si>
    <t>The paper presents a qualitative case study of vulnerabilities rather than a quantitative evaluation of a detection system; standard ML evaluation metrics and controls are not applicable.</t>
  </si>
  <si>
    <t>บทความนี้นำเสนอระบบ Authentication โดยใช้ DNA cryptography และการจำลองทางชีวเคมี ไม่ได้ใช้ Machine Learning หรือ Graph-based approach จึงไม่มีการประเมินด้วย dataset, split strategy หรือ sampling แบบงาน ML</t>
  </si>
  <si>
    <t>Paper proposes a conceptual model without empirical evaluation or ML experiments.</t>
  </si>
  <si>
    <t>บทความนี้เป็นการสำรวจช่องโหว่ (Vulnerability Assessment) และการรั่วไหลของข้อมูล (Data Leakage) ในระบบสาธารณสุขจริง ไม่ใช่การนำเสนอหรือประเมินโมเดล Machine Learning/Graph-based detection จึงไม่มีการแบ่งชุดข้อมูล Train/Test หรือการวัดผลทางสถิติที่เกี่ยวข้องกับ Bias ในบริบทของ SLR นี้</t>
  </si>
  <si>
    <t>เป็นบทความ Review ที่มีการประเมิน Risk of Bias ของงานวิจัยอื่นอย่างเข้มงวด โดยเฉพาะประเด็น Data Leakage และ Temporal Split</t>
  </si>
  <si>
    <t>งานวิจัยใช้การแบ่งข้อมูลแบบสุ่ม (80/20) โดยไม่ได้ระบุถึงการจัดการลำดับเวลา (Temporal Split) ซึ่งมีความเสี่ยงสูงต่อการรั่วไหลของข้อมูลในอนาคต (Look-ahead bias) สำหรับงานด้านความปลอดภัย</t>
  </si>
  <si>
    <t>Paper focuses on covert channel creation and basic statistical detection; no graph learning or rigorous ML split strategy reported.</t>
  </si>
  <si>
    <t>The paper uses standard pre-defined splits (KDDTrain+ and KDDTest+) without discussing temporal ordering or entity overlap specifically for the context of APT or modern leakage. The paper focuses on traditional NIDS rather than graph-based methods.</t>
  </si>
  <si>
    <t>งานวิจัยใช้ Stratified sampling และ SMOTE บนข้อมูล Network Traffic ที่เป็น Time-series ซึ่งมีความเสี่ยงสูงต่อ Data Leakage (Look-ahead bias) และไม่มีการกล่าวถึงการแบ่งข้อมูลตามลำดับเวลา</t>
  </si>
  <si>
    <t>บทความนี้เป็น Systematic Review ด้านการศึกษา (Education/Pedagogy) ไม่ใช่งานวิจัยด้านเทคนิค (Technical Implementation) ที่ใช้ Graph Learning หรือ Datasets สำหรับ APT Detection จึงไม่มีข้อมูลส่วนนี้</t>
  </si>
  <si>
    <t>Paper is a legal analysis, not an experimental ML study.</t>
  </si>
  <si>
    <t>ใช้ Interleaved-Test-Then-Train ซึ่งเคารพลลำดับเวลา (Temporal Order) และจำลองข้อมูลแบบ Stream จึงลดความเสี่ยงเรื่อง Look-ahead Bias</t>
  </si>
  <si>
    <t>บทความนี้ออกแบบมาเพื่อแก้ไข Evaluation Bias โดยเฉพาะ มีการใช้ Temporal Split และเปรียบเทียบกับ Random Split อย่างชัดเจน</t>
  </si>
  <si>
    <t>มีการใช้ Stratified Split 70/30 (random) บนชุดข้อมูล Network Flow (CICIDS2017) โดยไม่ได้ระบุการแยกตามเวลา (Temporal Split) ซึ่งเสี่ยงต่อ Data Leakage จากความสัมพันธ์ของ Flow ใน Session เดียวกัน</t>
  </si>
  <si>
    <t>Random split on IoT traffic and use of test-derived adversarial samples in training.</t>
  </si>
  <si>
    <t>Paper uses Formal Verification (Theorem Proving), not Machine Learning. ML evaluation concepts (Split/Sampling/Bias) are not applicable.</t>
  </si>
  <si>
    <t>Paper evaluates a defense mechanism (compiler transformation) using analytical models and performance benchmarks, not a Machine Learning detection model. Thus, ML-specific bias metrics are not applicable.</t>
  </si>
  <si>
    <t>ใช้ชุดข้อมูล NSL-KDD (Network IDS) ทดสอบระบบ Android โดยไม่มีรายละเอียดการแบ่งข้อมูล (Split) ที่ชัดเจน และไม่มีการจัดการเรื่อง Temporal Leakage</t>
  </si>
  <si>
    <t>บทความเป็น System paper ที่เน้นการสร้างสถาปัตยกรรมเก็บ Provenance และวัดประสิทธิภาพ (Performance/Overhead) ไม่ใช่การเทรนโมเดล ML จึงไม่มีการแบ่งชุดข้อมูล Train/Test หรือประเด็นเรื่อง Sampling bias</t>
  </si>
  <si>
    <t>Paper performs black-box penetration testing on commercial tools, not machine learning model training/evaluation. Concepts of split/sampling bias in the ML sense are not applicable.</t>
  </si>
  <si>
    <t>Paper lacks specific experimental details, dataset names, or split methodologies.</t>
  </si>
  <si>
    <t>บทความนี้เป็น Review และ Proposal เชิงคอนเซปต์เกี่ยวกับ Security/Privacy ในหุ่นยนต์ช่วยเหลือ (Assistive Robotics) ไม่มีการทดลอง Machine Learning หรือการใช้ Graph-based APT Detection จึงไม่สามารถประเมิน Evaluation Bias ในบริบทของ SLR นี้ได้</t>
  </si>
  <si>
    <t>บทความใช้การสุ่มตัวอย่างเพื่อสร้าง balanced dataset (300 safe, 300 malicious) โดยไม่ระบุวิธีแบ่ง Train/Test หรือการจัดการด้านเวลา (Temporal Split) ซึ่งเสี่ยงต่อ Data Leakage</t>
  </si>
  <si>
    <t>ใช้การแบ่งข้อมูลแบบ Fixed Split (Train/Val/Test) จากชุดข้อมูลเดิมโดยไม่มีการระบุถึง Time-based split หรือการจัดการ Data Leakage/Duplication ในระดับ Source Code</t>
  </si>
  <si>
    <t>ใช้วิธีการรวมข้อมูลปกติและข้อมูลโจมตีแล้วสุ่มแบ่ง (Random Split) โดยไม่คำนึงถึงลำดับเวลา (Temporal) หรือการแยกแคมเปญการโจมตี</t>
  </si>
  <si>
    <t>ใช้ Random split กับข้อมูล Network Traffic ซึ่งมีความสัมพันธ์ทางเวลา (Temporal correlation) ทำให้เกิด Temporal Leakage ได้ง่าย</t>
  </si>
  <si>
    <t>ใช้ Random Split 75/25 และ 5-fold CV บน Dataset เก่า (2015) โดยไม่มีการแบ่งตามเวลา (Temporal Split) ทำให้เสี่ยงต่อ Concept Drift และ Look-ahead bias</t>
  </si>
  <si>
    <t>งานวิจัยใช้ Game Theory และ Simulation ด้วยข้อมูลสังเคราะห์ (Synthetic) ทั้งหมด ไม่มีการใช้ข้อมูลจริง (Real-world datasets) หรือการแบ่งข้อมูลแบบ Train/Test ซึ่งไม่สามารถนำมาประเมินประสิทธิภาพในบริบทของ Graph-based Detection ได้</t>
  </si>
  <si>
    <t>บทความใช้ข้อมูล Network Traffic ที่มีความสัมพันธ์ทางเวลา แต่การแบ่งข้อมูล (Split) ระบุเพียง 'Train, Test and Validation Split' โดยไม่ระบุว่าเป็น Temporal split ซึ่งมีความเสี่ยงสูงที่จะเกิด Data Leakage จากการสุ่ม</t>
  </si>
  <si>
    <t>Paper uses random split on MNIST for CNN payload; focuses on Hardware Verification, not APT/Graph temporal data.</t>
  </si>
  <si>
    <t>มีการจัดการ Duplicate ดีเยี่ยม แต่ยอมรับว่า K-Fold ทำลายลำดับเวลา (Temporal nature) ของข้อมูล CAN bus</t>
  </si>
  <si>
    <t>บทความนี้เป็นกรณีศึกษาเชิงคุณภาพ (Qualitative Case Study) และนำเสนอกระบวนการจัดการ (Management Workflow) ไม่ใช่งานวิจัยด้าน Machine Learning ที่มีการทดลองเชิงปริมาณ</t>
  </si>
  <si>
    <t>บทความนี้เป็นงานด้าน Hardware Security (Circuit Design) ไม่ใช่ Machine Learning</t>
  </si>
  <si>
    <t>มีการแบ่งข้อมูลแบบ Time-based split (12 เดือน train / 5 เดือน test) อย่างชัดเจนเพื่อป้องกัน Temporal Leakage</t>
  </si>
  <si>
    <t>Paper proposes a system architecture (hypervisor), not an ML model; standard ML evaluation bias metrics do not apply.</t>
  </si>
  <si>
    <t>Uses prequential evaluation (test-then-train) which respects temporal order in data streams.</t>
  </si>
  <si>
    <t>Uses legacy datasets (KDD99/NSL-KDD) lacking modern APT structures; synthetic oversampling (KNN-JS) applied to training data without explicit discussion of leakage constraints across time chunks.</t>
  </si>
  <si>
    <t>Not an ML/Graph-based detection paper; evaluates steganography bandwidth via simulation.</t>
  </si>
  <si>
    <t>บทความใช้การประเมินแบบ Qualitative Case Studies (Proof of Concept) จำนวน 3 กรณีศึกษา ไม่มีการแบ่งข้อมูล Train/Test หรือวัดผลเชิงปริมาณทางสถิติ</t>
  </si>
  <si>
    <t>บทความใช้การสุ่มข้อมูล (random split) ในการฝึกสอนโมเดลเริ่มต้นบนชุดข้อมูลประเภท network traffic (CICIDS2017/NBaIoT) ซึ่งมีโครงสร้างความสัมพันธ์ของข้อมูลตามเวลา ทำให้มีความเสี่ยงสูงที่จะเกิด temporal leakage</t>
  </si>
  <si>
    <t>ผู้วิจัยมีการตระหนักถึง leakage จาก SMOTE และป้องกันไว้ได้ดี แต่มีการนำข้อมูลเครือข่ายทั้ง 5 วันมารวมกันแล้วแบ่ง train/test แบบสุ่ม (ไม่ทำ temporal split) ทำให้เสี่ยงต่อ Temporal Leakage สูงมากในบริบทของ Network Traffic</t>
  </si>
  <si>
    <t>บทความนี้ไม่ได้นำเสนอโมเดล Machine Learning หรือ Graph-based APT Detection แต่เป็นการประเมินแชทบอทด้วย Blackbox และแบบสอบถามผู้เชี่ยวชาญ จึงไม่มีการประเมินเรื่อง Evaluation Bias</t>
  </si>
  <si>
    <t>เนื่องจากเป็นเอกสารประเภท Demo Abstract จึงไม่มีการระบุรายละเอียดเกี่ยวกับการแบ่งชุดข้อมูล (train/test split) หรือกลยุทธ์การประเมินผลสำหรับข้อมูลด้านเวลา (Time-dependent) ซึ่งมีความเสี่ยงสูงที่จะเกิดการประเมินที่ลำเอียง</t>
  </si>
  <si>
    <t>แม้จะมีการควบคุม Data Leakage ในขั้นตอน Preprocessing อย่างเข้มงวด แต่งานวิจัยยังคงใช้วิธี Random Split (80/20) ในข้อมูล Network Traffic ซึ่งเป็นข้อมูลที่มีความสัมพันธ์เชิงเวลา (Time-dependent) จึงมีความเสี่ยงที่จะเกิด Temporal Leakage</t>
  </si>
  <si>
    <t>งานวิจัยนี้ไม่ได้ใช้ Machine Learning แต่เป็นการออกแบบ Query Optimizer ของฐานข้อมูลเชิงสัมพันธ์ (Relational Database) จึงไม่มีการพิจารณา Train-Test Split หรือ Evaluation Bias ในบริบทของ ML</t>
  </si>
  <si>
    <t>มีการทำ Data Augmentation ก่อนที่จะแบ่งชุดข้อมูล (Partition) ซึ่งอาจทำให้เกิด Data Leakage (ตัวอย่างที่ถูก augment จากภาพเดียวกันอาจไปตกอยู่ทั้งใน train และ test set) และไม่มีการระบุถึงการควบคุม leakage ที่แน่ชัด</t>
  </si>
  <si>
    <t>งานวิจัยนี้ประเมินผลโดยใช้ Random Train-Test Split (70/30) บนหน้าต่างข้อมูล (Graph Windows) ที่สกัดจาก Time-series CAN bus traffic ซึ่งมีความเสี่ยงสูงต่อการเกิด Temporal leakage</t>
  </si>
  <si>
    <t>ตัวเปเปอร์เป็นงานประเภท survey และนำเสนอ conceptual architecture ไม่มีการทดลองเชิงประจักษ์หรือการระบุวิธีแบ่งข้อมูล (split data) ทำให้ต้องให้คะแนนความเสี่ยงเป็น High ตามกฎ</t>
  </si>
  <si>
    <t>งานวิจัยนี้ไม่ได้ใช้วิธีการทาง Machine Learning แต่เป็นการจำลองการทำงานของฮาร์ดแวร์ (Hardware Simulation) จึงไม่มีการอธิบายวิธีการแบ่งข้อมูล (Data splits) หรือการควบคุม Data Leakage ซึ่งตามเกณฑ์ประเมินหากไม่มีความชัดเจนต้องระบุเป็น High</t>
  </si>
  <si>
    <t>บทความนี้เป็นเพียงบทนำเสนอวิสัยทัศน์ (Keynote) ไม่มีการทดลอง การแบ่งข้อมูล (Data split) หรือชุดข้อมูลที่ใช้จริง จึงไม่สามารถประเมินความโปร่งใสและอคติในการทดลองได้</t>
  </si>
  <si>
    <t>ไม่มีการระบุวิธีการแบ่งข้อมูล (Train/Test split) ที่ชัดเจน และประเมินผลบนชุดข้อมูลที่มีความสัมพันธ์เชิงเวลา (CIC-IDS2017) ทำให้มีความเสี่ยงสูงต่อ Evaluation Bias</t>
  </si>
  <si>
    <t>เปเปอร์นี้ไม่ใช่ระบบ Machine Learning แต่เป็นการตรวจจับด้วย Pattern Matching ในหน่วยความจำ จึงไม่มีกระบวนการแบ่งชุดข้อมูลหรือระบุการจัดการ Data Leakage ในการประเมิน</t>
  </si>
  <si>
    <t>เปเปอร์ไม่ได้ระบุรายละเอียดวิธีการแบ่งชุดข้อมูล (Train/Test split) สำหรับชุดข้อมูล CERT ซึ่งเป็นข้อมูลล็อกแบบ Time-series จึงมีความเสี่ยงสูงที่จะเกิด Temporal leakage และขาดความโปร่งใสในการประเมิน</t>
  </si>
  <si>
    <t>ใช้วิธีการแบ่งข้อมูลแบบสุ่ม (random split) กับชุดข้อมูลลำดับเวลา (system call sequences) ซึ่งมีความเสี่ยงสูงที่จะเกิด Temporal Leakage</t>
  </si>
  <si>
    <t>บทความนี้เป็นเพียงการนำเสนอกรอบแนวคิด (Proposed framework) ไม่มีการทดลองหรือประเมินผลเชิงประจักษ์ด้วยชุดข้อมูลจริง จึงไม่มีรายละเอียดการควบคุมอคติหรือการแบ่งข้อมูลใดๆ</t>
  </si>
  <si>
    <t>งานวิจัยนี้นำเสนอโมเดลทางคณิตศาสตร์ (Game Theory) และประเมินผลด้วย Numerical simulation โดยไม่ได้ใช้ Machine learning หรือชุดข้อมูลจริง จึงไม่ปรากฏรายละเอียดการแบ่งข้อมูล (Split strategy) ที่ชัดเจนและทำให้ความเสี่ยงในเชิง Evaluation Bias ไม่สามารถประเมินในบริบทของ ML ได้</t>
  </si>
  <si>
    <t>เป็นบทความปริทัศน์ (Review paper) ที่เน้นเทคโนโลยีการแฮชสำหรับ CSAM และข้อกฎหมาย ไม่มีการทดลองเชิงประจักษ์ (Empirical evaluation) หรือการแบ่งชุดข้อมูล</t>
  </si>
  <si>
    <t>งานวิจัยใช้ 10-fold cross-validation กับข้อมูล streaming ซึ่งทำให้เกิด temporal leakage เนื่องจากไม่มีการแบ่งข้อมูลตามลำดับเวลา (Chronological split) ที่เหมาะสมกับบริบทของ Concept drift</t>
  </si>
  <si>
    <t>มีการใช้เพียง train-test split ธรรมดาและประสบปัญหา class imbalance อย่างรุนแรงโดยไม่มีการแก้ไข รวมถึงขาดการทำ temporal split ทำให้โมเดลอาจเรียนรู้จากข้อมูลในอดีตและทดสอบได้ไม่ดีกับภัยคุกคามใหม่</t>
  </si>
  <si>
    <t>แม้มีการป้องกัน Leakage จากการทำ SMOTEENN เฉพาะบนชุดฝึกสอน แต่ใช้การแบ่งข้อมูลแบบสุ่ม (ไม่ระบุว่าเป็น Temporal split) ในโจทย์เครือข่ายที่มีบริบทเรื่องเวลา</t>
  </si>
  <si>
    <t>ผู้วิจัยใช้การแบ่งข้อมูลแบบ stratified 80:20 ซึ่งถือเป็น random split บนชุดข้อมูลเครือข่าย (Time-dependent) อาจทำให้เกิดปัญหา Temporal Leakage ได้</t>
  </si>
  <si>
    <t>มีการใช้ 80/10/10 random split กับข้อมูลอนุกรมเวลา (power traces) ซึ่งมีความเสี่ยงสูงที่จะเกิด temporal leakage</t>
  </si>
  <si>
    <t>งานวิจัยนี้นำเสนอการจำลองโปรโตคอลบนบล็อกเชน ไม่ใช่โมเดล Machine Learning ดังนั้นจึงไม่มีการระบุถึงกลยุทธ์การแบ่งข้อมูล (data split) หรือการควบคุม data leakage</t>
  </si>
  <si>
    <t>ไม่มีการระบุวิธีการแบ่งข้อมูล (Data split strategy) หรือการป้องกัน Data Leakage ในการประเมินผลกับชุดข้อมูล CICIDS 2017 และ UNSW-NB15 ซึ่งเป็นข้อมูล Time-dependent</t>
  </si>
  <si>
    <t>บทความใช้การแบ่งข้อมูลด้วยวิธี Stratified 10-fold cross-validation กับข้อมูล Log ที่มีความยาวถึง 10 เดือน โดยไม่มีการทำ Chronological split (การประเมินผลตามลำดับเวลา) ซึ่งเสี่ยงต่อการเกิด Temporal Data Leakage อย่างมากในโจทย์ Intrusion Detection</t>
  </si>
  <si>
    <t>ไม่มีการรายงานรายละเอียดการทดลอง ชุดข้อมูล หรือวิธีการแบ่งข้อมูลในเอกสาร เนื่องจากเป็นเพียงการนำเสนอแนวคิด (Extended Abstract)</t>
  </si>
  <si>
    <t>เป็นเพียงบทความสาธิต (demo paper) เกี่ยวกับการใช้ formal verification และ automata learning ไม่มีรายละเอียดการแบ่งชุดข้อมูลหรือการประเมินผลทาง Machine Learning ใดๆ ที่ชัดเจน</t>
  </si>
  <si>
    <t>การประเมินผลใช้เพียงข้อมูล log เครือข่ายจากแอปพลิเคชัน Android เล็กน้อย และทดสอบด้วยการโจมตีแบบ simple port scanning เพียง 50 flows โดยไม่มีการระบุกลไกควบคุม Data Leakage หรือ Dataset Artifacts อย่างชัดเจน</t>
  </si>
  <si>
    <t>ให้ความเสี่ยงระดับ High เนื่องจากใช้เพียงการแบ่งข้อมูลแบบสุ่ม 80/20 สำหรับฝึกสอนและทดสอบข้อมูลชุดพฤติกรรม (Time-dependent) โดยไม่แบ่งตามลำดับเวลา (Temporal split)</t>
  </si>
  <si>
    <t>ระบุเพียงการใช้ random split 70/30 และ 80/20 บนชุดข้อมูล network traffic ที่มีความต่อเนื่องทางเวลา ซึ่งอาจก่อให้เกิด temporal data leakage ได้สูง</t>
  </si>
  <si>
    <t>บทความนี้นำเสนออัลกอริทึม deterministic string matching โดยใช้ finite automata ไม่ใช่โมเดล Machine Learning ดังนั้นการประเมินผลเรื่อง ML evaluation bias จึงไม่สามารถระบุได้</t>
  </si>
  <si>
    <t>บทความนี้เป็นเพียงการนำเสนอกรอบแนวคิดทางนิติวิทยาศาสตร์ดิจิทัล (Digital Triage Forensics) ไม่มีการใช้ Machine Learning และไม่มีการระบุการแบ่งชุดข้อมูลใดๆ จึงมีความเสี่ยงต่อ Evaluation Bias ระดับ High หากประเมินในบริบทของการสร้างโมเดล</t>
  </si>
  <si>
    <t>ไม่มีการระบุกลยุทธ์การแบ่งข้อมูล (Split strategy) ที่ชัดเจนสำหรับการประเมินโมเดลประเภทอนุกรมเวลา (Time-dependent) และไม่มีการกล่าวถึงการควบคุม Data Leakage จึงมีความเสี่ยงสูง</t>
  </si>
  <si>
    <t>บทความนี้เป็นกรณีศึกษาการรั่วไหลของข้อมูลจากการตั้งค่าฐานข้อมูลผิดพลาด ไม่ได้มีการพัฒนา Machine Learning Model หรือทดสอบกับ Dataset จึงไม่มีการประเมินผลหรือ Evaluation Bias</t>
  </si>
  <si>
    <t>งานวิจัยนี้เป็นกรณีศึกษาเชิงอุตสาหกรรมเกี่ยวกับการนำระบบป้องกันข้อมูลรั่วไหล (DLP) มาใช้งานในองค์กร ไม่ใช่งานวิจัยประเมินโมเดล Machine Learning จึงไม่มีประเด็นเรื่อง Evaluation Bias</t>
  </si>
  <si>
    <t>งานวิจัยใช้เพียงการแบ่งข้อมูลแบบสัดส่วนคงที่ (8:1:1) โดยไม่มีการแบ่งข้อมูลเชิงเวลา (temporal split) และไม่มีมาตรการควบคุม data leakage ที่ชัดเจนในขั้นตอนการสร้างชุดข้อมูล</t>
  </si>
  <si>
    <t>มีการใช้การประเมินผลแบบ online prequential learning manner ซึ่งทดสอบข้อมูลก่อนที่จะนำไปปรับปรุงโมเดลตามลำดับเวลา ช่วยป้องกันปัญหา Temporal Leakage ได้โดยธรรมชาติ</t>
  </si>
  <si>
    <t>บทความนี้ใช้แบบจำลองทางคณิตศาสตร์ (Genetic Algorithm) ในการหาค่าที่เหมาะสมที่สุด (Optimization) สำหรับการบริหารจัดการความปลอดภัย ไม่ได้ใช้วิธีการ Machine Learning จึงไม่มีประเด็นเรื่อง Data Leakage หรือ Evaluation Bias จากการแบ่งข้อมูล</t>
  </si>
  <si>
    <t>ใช้การแบ่งข้อมูลแบบสุ่ม (80-20) และ 5-fold cross-validation โดยไม่มีการระบุว่าได้แยกข้อมูลตามช่วงเวลา (temporal) หรือระดับผู้ป่วย (patient-level split) ซึ่งมักทำให้เกิด data leakage ในข้อมูล Vital Signs ที่มีความต่อเนื่องทางเวลา</t>
  </si>
  <si>
    <t>ไม่มีการระบุถึงวิธีการแบ่งชุดข้อมูล (Data Split) อย่างชัดเจน รวมถึงการใช้ชุดข้อมูล KDD99 ซึ่งมักมีปัญหาเรื่อง duplicate records โดยไม่มีการรายงานถึงกระบวนการลด Bias หรือ Data Leakage</t>
  </si>
  <si>
    <t>งานวิจัยนี้นำเสนอระบบสื่อสารเพื่อโจมตีผ่านช่องสัญญาณเสียง (Voice channel) ไม่ใช่โมเดล Machine Learning แบบ Graph-based จึงไม่มีการทำ Data Split หรือระเบียบวิธีควบคุม Evaluation Bias ที่เกี่ยวข้องเลย</t>
  </si>
  <si>
    <t>งานวิจัยนี้นำเสนอแนวคิดด้านสถาปัตยกรรมความปลอดภัย (Conceptual architecture) ไม่มีการทดลองด้วย Machine Learning จึงไม่มีการประเมินผลชุดข้อมูล</t>
  </si>
  <si>
    <t>ผู้วิจัยรายงานว่าความแม่นยำสูงเกือบ 100% อาจเกิดจากชุดข้อมูลที่ง่ายเกินไปและขาดความหลากหลาย อีกทั้งไม่ได้ทดสอบด้วย temporal split สำหรับข้อมูลเครือข่าย</t>
  </si>
  <si>
    <t>บทความนี้ไม่ใช่งานวิจัยด้าน Machine Learning หรือ Graph-based APT แต่เป็นการศึกษาทางเศรษฐศาสตร์/การเงิน (Event Study) เกี่ยวกับผลกระทบของข่าวการรั่วไหลของข้อมูลต่อมูลค่าหุ้นของบริษัท</t>
  </si>
  <si>
    <t>งานวิจัยนี้ระบุชัดเจนถึงปัญหา data leakage ในอดีต และออกแบบการทดสอบแบบรัดกุม (cross-vehicle, unseen attacks, และ time-windowed streaming) เพื่อจำลองสถานการณ์จริงและลด bias จากการแบ่งข้อมูลแบบสุ่ม</t>
  </si>
  <si>
    <t>พบความเสี่ยงสูงด้าน Temporal Leakage และ Train-test contamination เนื่องจากการระบุช่วงเวลาแบ่งชุดข้อมูล Stock Market ที่ซ้อนทับกัน (Train: 2000-2016, Test: 2001-2016)</t>
  </si>
  <si>
    <t>ไม่มีการรายงานการประเมินผลเชิงปริมาณ (Quantitative Evaluation) ชุดข้อมูล หรือวิธีการแบ่งข้อมูลในงานวิจัยนี้ เป็นเพียงการนำเสนอสถาปัตยกรรมแบบ Hybrid และ Proof-of-concept เท่านั้น</t>
  </si>
  <si>
    <t>มีการใช้ random 10-fold cross-validation ในการประเมินผลหลัก ซึ่งในบริบทของมัลแวร์อาจนำไปสู่ temporal leakage ได้ เนื่องจากไม่ได้แบ่งชุดทดสอบตามลำดับเวลาการเกิดของมัลแวร์</t>
  </si>
  <si>
    <t>ใช้วิธีแบ่งข้อมูลแบบ random split (75/25) โดยไม่มีการแบ่งข้อมูลตามลำดับเวลา (temporal split) ซึ่งในบริบทของการตรวจจับมัลแวร์ที่เปลี่ยนพฤติกรรมตามเวลา อาจทำให้เกิด temporal leakage หรือ evaluation bias ได้</t>
  </si>
  <si>
    <t>มีการจัดการ Feature Leakage และ Deduplication ที่ดี แต่ใช้การแบ่งข้อมูลแบบ Stratified K-Fold (Random split) ในโจทย์มัลแวร์ที่เป็น Time-dependent โดยไม่พิจารณาการประเมินผลเชิงเวลา ทำให้มีความเสี่ยงด้าน Evaluation Bias ในการใช้งานจริง</t>
  </si>
  <si>
    <t>บทความนี้เป็นงานทบทวนวรรณกรรม (Survey) เกี่ยวกับความปลอดภัยของ LLM ไม่ใช่งานวิจัยเชิงประจักษ์ด้านกราฟ (Graph-based APT Detection) จึงไม่มีการแบ่งข้อมูลประเมินผล</t>
  </si>
  <si>
    <t>ผู้วิจัยรับทราบและแก้ไขปัญหา Data Leakage อย่างจริงจัง โดยเปลี่ยนจากการใช้ Random Split มาเป็นการแบ่งกลุ่มข้อมูลตาม IP ผู้โจมตีและประเภทการโจมตี (Entity-aware split) เพื่อประเมินกับพฤติกรรมใหม่ๆ ได้สมจริง</t>
  </si>
  <si>
    <t>การแบ่งข้อมูลใช้เพียง random split อัตราส่วน 80:20 ซึ่งอาจไม่เพียงพอต่อการประเมิน robustness จริงในโลกไซเบอร์ และการใช้ RandomOverSampler หากทำก่อนการ split อาจทำให้เกิด Data Leakage ได้</t>
  </si>
  <si>
    <t>การประเมินผลใช้ 10-fold cross-validation แบบสุ่มทั่วไปโดยไม่มีการแบ่งตามเวลา (Temporal split) และสุ่มตัวอย่างจากแหล่งที่มาที่ต่างกันอย่างชัดเจน (VirusShare สำหรับมัลแวร์ และตลาดแอปสำหรับแอปปกติ) ซึ่งเสี่ยงต่อการเกิด Dataset artifacts อย่างมาก</t>
  </si>
  <si>
    <t>บทความนี้เป็นเพียงการทบทวนวรรณกรรม (Literature Review) เพื่อเปรียบเทียบเทคนิค AI สำหรับ BYOD ไม่มีการทดลองเชิงประจักษ์หรือชุดข้อมูลจริง จึงไม่สามารถประเมินความเสี่ยงด้าน Evaluation Bias ได้</t>
  </si>
  <si>
    <t>งานวิจัยนี้เป็นการศึกษาเชิงประจักษ์ด้านความปลอดภัยทางไซเบอร์ (การแข่งขันแฮ็กระบบ IVI) ไม่ใช่งานวิจัยด้าน Machine Learning หรือ Graph-based APT Detection จึงไม่มีประเด็นเรื่อง Evaluation Bias ในโมเดล</t>
  </si>
  <si>
    <t>เปเปอร์ไม่ได้ระบุวิธีการแบ่งข้อมูล (Data split) หรือกลยุทธ์การสุ่มข้อมูลสำหรับโมเดล AI anomaly detection ทำให้มีความเสี่ยงสูงต่อ Evaluation Bias</t>
  </si>
  <si>
    <t>มีการระบุเพียงแค่การใช้ Random split แบ่งข้อมูลเป็น 3 subsets โดยไม่มีการควบคุม Temporal distribution หรือการป้องกัน File overlap ซึ่งมีโอกาสเกิด Label leakage สูงในบริบทของ Malware detection</t>
  </si>
  <si>
    <t>ผู้วิจัยไม่ได้แบ่งข้อมูลเป็น Train/Test set อย่างชัดเจน แต่ใช้การคำนวณสมการพหุนาม (Polynomial fitting) หา threshold จากข้อมูลตัวอย่างที่ใช้แสดงผล (Scenarios 1, 2, 3) โดยตรง</t>
  </si>
  <si>
    <t>ไม่มีการอธิบายวิธีการแบ่งข้อมูล (train/test split) ที่ชัดเจน และใช้ชุดข้อมูลขนาดเล็กที่สร้างขึ้นเอง (1205 ประโยค) โดยไม่เปิดเผยสู่สาธารณะ ทำให้มีความเสี่ยงด้านอคติในการประเมินสูง</t>
  </si>
  <si>
    <t>ไม่มีการระบุรายละเอียดการแบ่งชุดข้อมูล (train/test split) อย่างชัดเจน และไม่มีการพิจารณาหรือควบคุมเรื่อง Temporal Leakage หรือ Data Leakage ในกระบวนการ Feature Selection</t>
  </si>
  <si>
    <t>งานวิจัยนี้เป็นเรื่องของการเข้ารหัสลับ (Cryptography) สำหรับคลาวด์ ไม่ได้ใช้ Machine Learning จึงไม่มีข้อมูลเกี่ยวกับการแบ่งชุดข้อมูลหรือประเมินอคติ (Evaluation Bias)</t>
  </si>
  <si>
    <t>การประเมินใช้เพียงชุดข้อมูล KDD'99 แบบมาตรฐานและการทำ 5-fold cross-validation ซึ่งไม่ได้คำนึงถึงปัญหา Data Leakage จากความสัมพันธ์ทางเวลา (Temporal Split) ของข้อมูลเครือข่าย</t>
  </si>
  <si>
    <t>บทความนี้มีลักษณะเป็นการทบทวนวรรณกรรมและนำเสนอกรอบแนวคิดทั่วไป ไม่ได้รายงานการทดลองเชิงประจักษ์ ชุดข้อมูล วิธีการแบ่งข้อมูล หรือการควบคุม Data Leakage ทำให้มีความเสี่ยงสูงที่จะไม่สามารถประเมิน Bias ได้</t>
  </si>
  <si>
    <t>งานวิจัยนี้ไม่ได้ใช้ Machine Learning โมเดล แต่เป็นการนำเสนอสถาปัตยกรรมการตรวจสอบระดับระบบฮาร์ดแวร์ (Hardware Architecture) จึงไม่มีประเด็นเรื่อง ML Evaluation Bias หรือ Data Leakage ระหว่าง Train/Test</t>
  </si>
  <si>
    <t>ให้คะแนนความเสี่ยง High เนื่องจากเปเปอร์เป็น Network Traffic (Time-dependent) แต่ไม่มีการระบุวิธีการทำ Train-Test Split อย่างชัดเจน และมีการใช้ GAN ในการ augmentation ซึ่งอาจทำให้เกิด leakage หากไม่แบ่งชุดข้อมูลก่อน</t>
  </si>
  <si>
    <t>มีการใช้ Sliding window สร้างตัวอย่างข้อมูลและแบ่งชุด Train/Test ด้วยสัดส่วน 9:1 โดยไม่มีการระบุการแบ่งตามเวลา (Chronological split) ซึ่งอาจทำให้เกิด Overlap และ Temporal Leakage สูง</t>
  </si>
  <si>
    <t>บทความนี้ใช้วิธีการกระบวนการวิเคราะห์เชิงลำดับชั้น (AHP) โดยพึ่งพาแบบสอบถามจากผู้เชี่ยวชาญ ไม่ได้ใช้โมเดล Machine Learning จึงไม่มีการแบ่งชุดข้อมูลหรือระบุวิธีการควบคุม Data Leakage ใดๆ</t>
  </si>
  <si>
    <t>ไม่มีการระบุชุดข้อมูล วิธีการแบ่งข้อมูล หรือตัวชี้วัดที่ชัดเจน เป็นเพียงการทดสอบกับแอปพลิเคชัน 20 ตัวด้วยวิธี rule-based ทำให้มีความเสี่ยงสูงต่ออคติในการประเมินผล</t>
  </si>
  <si>
    <t>การแบ่งข้อมูลอ้างอิงตามลำดับเวลา (Chronological split) และการฝึกสอนโมเดลแยกตามผู้ใช้งาน (Client-by-client) ช่วยลดปัญหา Temporal Leakage ได้ดี แต่อาจมี Bias จากการทดสอบบนข้อมูลจำลองเฉพาะกลุ่มที่สร้างขึ้นในห้องปฏิบัติการ</t>
  </si>
  <si>
    <t>บทความระบุเพียงการแบ่งชุดข้อมูลเป็น 80% train และ 20% validation โดยไม่ได้อธิบายว่าเป็นการแบ่งตามเวลา (chronological split) ซึ่งข้อมูล network traffic อาจทำให้เกิด evaluation bias จาก temporal leakage ได้หากใช้วิธี random split</t>
  </si>
  <si>
    <t>บทความนี้เป็น Systematic Review เกี่ยวกับปัจจัยทางจิตวิทยาและพฤติกรรมมนุษย์ในงานความมั่นคงปลอดภัยทางไซเบอร์ ไม่มีการเสนอโมเดล Machine Learning หรือกราฟสำหรับ APT Detection</t>
  </si>
  <si>
    <t>บทความนี้เป็นเพียงการนำเสนอกรอบสถาปัตยกรรม (System framework) ไม่มีการรายงานการทดลอง ชุดข้อมูล หรือวิธีการประเมินผลเชิงประจักษ์ใดๆ จึงไม่สามารถประเมินความเสี่ยงได้แน่ชัด</t>
  </si>
  <si>
    <t>เป็นบทความประเภท Overview/Survey ไม่มีการทำการทดลองจริง จึงไม่มีการรายงานชุดข้อมูล การแบ่งข้อมูล หรือการควบคุม Bias ใดๆ</t>
  </si>
  <si>
    <t>บทความนี้ไม่ใช่การศึกษาวิจัยด้าน Machine Learning หรือ Graph-based Detection แต่เป็นการสาธิตช่องโหว่ทางคริปโทกราฟีของซอฟต์แวร์ (Symantec PGP) จึงไม่มีการประเมินอคติของการทดสอบโมเดล</t>
  </si>
  <si>
    <t>มีการใช้ 10-fold cross validation ร่วมกับชุดข้อมูลที่มีขนาดเล็กมาก (10 RAT sessions) และไม่มีการทำ Temporal split อาจทำให้เกิด Data leakage และ Overfitting สูง</t>
  </si>
  <si>
    <t>บทความนี้นำเสนอเพียงการจัดหมวดหมู่ (Taxonomy) และการวิเคราะห์การโจมตีทางไซเบอร์ ไม่มีการสร้างและประเมินโมเดล Machine Learning หรือ Graph-based Detection จึงไม่มีประเด็นเรื่อง Data Leakage หรือ Evaluation Bias จากการแบ่งข้อมูล</t>
  </si>
  <si>
    <t>งานวิจัยนี้เป็นเพียงการนำเสนอกรอบแนวคิดทางนิติวิทยาศาสตร์ดิจิทัล (Digital Triage Forensics Framework) ไม่มีโมเดล Machine Learning และไม่มีกระบวนการแบ่งชุดข้อมูลเพื่อประเมินผล</t>
  </si>
  <si>
    <t>งานวิจัยใช้การแบ่งข้อมูลทดสอบและฝึกสอนจากชุดข้อมูล 10% ของ UNSW-NB15 โดยไม่มีการระบุกลยุทธ์ temporal split ซึ่งมีความเสี่ยงสูงต่อข้อมูลประเภท network traffic</t>
  </si>
  <si>
    <t>การประเมินผลส่วน Classification ใช้ 10-fold cross-validation กับข้อมูลเครือข่าย ซึ่งเสี่ยงต่อการเกิด Temporal leakage สูง เนื่องจากไม่มีการแบ่งเวลาในการทดสอบ</t>
  </si>
  <si>
    <t>บทความนี้เป็นการจำลองสถานการณ์ทางคณิตศาสตร์ด้วยทฤษฎีเกม (Game Theory) ไม่มีการใช้ชุดข้อมูลจริงหรือโมเดล Machine Learning จึงไม่สามารถประเมิน Bias ในการทดสอบได้</t>
  </si>
  <si>
    <t>บทความนี้อยู่ในขอบเขตของ Hardware Security (2.5D ICs) ไม่ใช่งานด้าน Machine Learning สำหรับ Graph-based APT Detection จึงไม่มีประเด็นเรื่อง Dataset split หรือ Data Leakage แบบใน ML</t>
  </si>
  <si>
    <t>เปเปอร์นี้เป็นงานทบทวนวรรณกรรม (Survey) ทั่วไปที่ไม่ได้วิเคราะห์ลึกลงไปถึงวิธีการแบ่งข้อมูล หรือความเสี่ยงด้าน Data Leakage ของแต่ละเปเปอร์ ทำให้ข้อมูลเกี่ยวกับกรอบการประเมินที่รัดกุมมีจำกัด</t>
  </si>
  <si>
    <t>การประเมินผลใช้วิธีฉีดข้อมูลความผิดปกติ (anomalies) ลงใน 6 วันที่ถูกสุ่มขึ้นมา (random days) บนข้อมูลลำดับเวลา (time-dependent sequence) โดยไม่มีการแบ่งกลุ่มตามลำดับเวลา (chronological split) หรืออธิบายการควบคุมการรั่วไหลของข้อมูลที่ชัดเจน</t>
  </si>
  <si>
    <t>บทความนี้ไม่ได้นำเสนอโมเดล Machine Learning แต่เป็นการพัฒนาระบบบีบอัดและจัดการพื้นที่จัดเก็บข้อมูล (Storage System) จึงไม่มีการรายงานวิธีการแบ่งชุดข้อมูลหรือการควบคุมอคติในการประเมินผล</t>
  </si>
  <si>
    <t>ไม่ใช่เปเปอร์ด้าน Machine Learning หรือ Graph-based APT detection แต่เป็นงานวิจัยเชิงสำรวจ (Survey research) ทางสังคมศาสตร์เกี่ยวกับการป้องกันความเป็นส่วนตัว จึงไม่มีการแบ่งข้อมูล Train/Test หรือประเมิน Data Leakage แบบโมเดลทางคอมพิวเตอร์</t>
  </si>
  <si>
    <t>เอกสารนี้ไม่ได้นำเสนอโมเดล Machine Learning สำหรับ Graph-based APT Detection แต่เป็นการเสนอ Maturity Model สำหรับจัดการนโยบาย Data Leakage Prevention (DLP) ในระดับองค์กร จึงไม่มีการประเมินผล Dataset หรือ Split Strategy</t>
  </si>
  <si>
    <t>การวิจัยใช้การแบ่งข้อมูลแบบสุ่ม (random split) ที่สัดส่วน 70/30 โดยไม่มีการพิจารณา temporal alignment หรือ entity decontamination ซึ่งมีความเสี่ยงสูงต่อ evaluation bias ในโจทย์ APT</t>
  </si>
  <si>
    <t>ใช้วิธีการสุ่มแบ่งข้อมูลแบบ 80/20 (Random split) ในการตรวจจับภัยคุกคามซึ่งมีการเปลี่ยนแปลงตามเวลา (Phishing) ทำให้เสี่ยงต่อ Temporal Leakage</t>
  </si>
  <si>
    <t>ให้ความเสี่ยง High เนื่องจากใช้วิธีแบ่งข้อมูล 70/15/15 บนข้อมูลที่เป็น sliding window ซึ่งอาจนำไปสู่ Temporal leakage ได้ง่ายในปัญหา Time-dependent</t>
  </si>
  <si>
    <t>ให้คะแนนเป็น High เนื่องจากใช้ pre-defined train/test split ของ UNSW-NB15 (แบบสุ่ม) โดยไม่มีการแบ่งข้อมูลตามลำดับเวลา (Temporal split) หรือควบคุม Data Leakage ที่เหมาะสมในโจทย์การตรวจจับเครือข่าย</t>
  </si>
  <si>
    <t>การแบ่งข้อมูลใช้เพียงการแบ่งแบบสุ่มทั่วไป (Train/Test split) บนข้อมูลจราจรเครือข่าย โดยไม่ได้ควบคุมเรื่อง Temporal leakage หรือความซ้ำซ้อนของข้อมูลเชิงเวลา</t>
  </si>
  <si>
    <t>แม้จะมีการควบคุม Data leakage อย่างเข้มงวดในขั้นตอน Feature selection และ Deduplication แต่ใช้เพียง Stratified random split โดยไม่มี Temporal split ซึ่งอาจประเมินเกินจริงในบริบทของมัลแวร์ที่เปลี่ยนแปลงตามกาลเวลา</t>
  </si>
  <si>
    <t>เป็นงานวิจัยด้านสถาปัตยกรรมฮาร์ดแวร์ (NoC routing) ที่ใช้ Simulation ไม่ใช่งานวิจัยด้าน Machine Learning จึงไม่มีประเด็นเรื่อง Data Leakage หรือ Train/Test Split</t>
  </si>
  <si>
    <t>ไม่มีการระบุชุดข้อมูล วิธีการแบ่งข้อมูล (Split Strategy) หรือรายละเอียดการจัดเตรียมข้อมูลสำหรับการจำลองผล (Simulation) อย่างชัดเจน</t>
  </si>
  <si>
    <t>มีการใช้เพียง cross-validation สัดส่วน 8:2 ในการแบ่งข้อมูล โดยไม่มีการประเมินแบบ temporal split ทั้งที่ชุดข้อมูลมัลแวร์มีบริบทเรื่องเวลาที่อาจทำให้เกิด temporal leakage</t>
  </si>
  <si>
    <t>เปเปอร์นี้ไม่ใช่งานวิจัยด้าน Machine Learning หรือ Graph-based Detection แต่เป็นการทดสอบเจาะระบบ (Penetration testing) อุปกรณ์เครือข่าย จึงไม่มีกระบวนการประเมิน Dataset split หรือ Leakage control</t>
  </si>
  <si>
    <t>งานวิจัยนี้เป็นการทดสอบระบบบน Testbed เสมือนจริงที่มีเพียง 3 เครื่องในรูปแบบ Proof of Concept ไม่ได้ใช้โมเดล Machine Learning ในการตรวจจับกราฟ จึงไม่มีการแบ่งชุดข้อมูลหรือป้องกัน Data Leakage ทำให้มีความเสี่ยงด้าน Bias สูงหากมองในแง่การประเมินประสิทธิภาพเชิงสถิติ</t>
  </si>
  <si>
    <t>งานวิจัยนี้ไม่ได้ใช้วิธีการทาง Machine Learning หรือ Graph-based แบบอัตโนมัติ แต่เป็นการจำลองการโจมตีใน VirtualBox จึงไม่มีการระบุการแบ่งข้อมูลหรือประเมิน Data Leakage</t>
  </si>
  <si>
    <t>บทความนี้เป็นงานประเภท Survey ไม่ได้นำเสนอการแบ่งข้อมูล (Split) หรือ Sampling ของโมเดล Graph-based ด้วยตัวเอง แต่ชี้ให้เห็นว่าการประเมินในงานวิจัยปัจจุบันยังมี Evaluation Bias สูงเนื่องจากขาด Benchmark ที่เป็นมาตรฐาน</t>
  </si>
  <si>
    <t>ผู้วิจัยใช้วิธีแบ่งข้อมูลแบบ Chronological (temporal) split อย่างชัดเจน (เทรนด้วยข้อมูล 2 วันแรก และทดสอบด้วย 4 วันหลัง) ซึ่งเหมาะสมกับข้อมูล Time-dependent และช่วยลดปัญหา Temporal Leakage ได้เบื้องต้น</t>
  </si>
  <si>
    <t>บทความนี้เป็นการนำเสนอเครื่องมือด้าน Software Instrumentation เพื่อกระตุ้นพฤติกรรมมัลแวร์ ไม่ใช่งานวิจัยที่สร้าง Machine Learning model จึงไม่มีการแบ่งข้อมูล Train/Test หรือกล่าวถึง Data Leakage แต่อย่างใด</t>
  </si>
  <si>
    <t>บทความนี้เป็นงานทบทวนวรรณกรรมแบบกว้าง (Comprehensive Review) ไม่ใช่งานวิจัยเชิงทดลอง (Empirical study) จึงไม่มีการระบุการแบ่งข้อมูล การวัดผล หรือการควบคุมอคติในการประเมินใดๆ ถือว่ามีความเสี่ยงสูงหรือไม่อาจประเมินความน่าเชื่อถือของการทดลองได้</t>
  </si>
  <si>
    <t>งานวิจัยไม่มีการระบุรายละเอียดเกี่ยวกับการแบ่งข้อมูล (Split Strategy) สำหรับ Machine Learning และวิธีการประเมินผลอย่างชัดเจน</t>
  </si>
  <si>
    <t>งานวิจัยนี้ไม่ได้เน้นไปที่โมเดล Machine Learning สำหรับการตรวจจับภัยคุกคามหรือ Graph-based APT แต่เน้นประเมินประสิทธิภาพของ Smart Contract (Gas cost/Time) จึงไม่มีประเด็นเรื่อง Data Leakage หรือ Evaluation Bias แบบที่กำหนด</t>
  </si>
  <si>
    <t>บทความนี้ไม่ได้อยู่ในโดเมน Machine Learning สำหรับการตรวจจับ APT แต่เป็นงานวิจัยเปรียบเทียบประสิทธิภาพซอฟต์แวร์ Photogrammetry จึงไม่มีการประเมินชุดข้อมูลแบบ Train/Test ที่จะทำให้เกิด Evaluation Bias ในบริบทของ ML</t>
  </si>
  <si>
    <t>เนื่องจากเปเปอร์นี้เป็นบทความปริทัศน์ (Review paper) ทั่วไปเกี่ยวกับการใช้ AI ใน IoT Security จึงไม่มีการทดลองเชิงประจักษ์ (Empirical evaluation) และไม่มีการกล่าวถึงข้อมูลการแบ่งชุดข้อมูลหรือ Data leakage</t>
  </si>
  <si>
    <t>มีการใช้ชุดข้อมูลที่เก่าและเป็น static (NSL-KDD) นำมาจำลองทำ streaming data โดยไม่ได้อธิบายชัดเจนถึงลำดับเวลาที่แท้จริงของการโจมตี ซึ่งอาจนำไปสู่ temporal leakage ได้</t>
  </si>
  <si>
    <t>การประเมินใช้ 10-fold cross-validation แบบสุ่ม (random split) โดยไม่มีการแบ่งข้อมูลตามเวลา (temporal split) ซึ่งในโดเมนของ malware อาจทำให้เกิด temporal leakage และส่งผลให้ประเมินความแม่นยำสูงเกินจริง แม้ว่าจะมีการทำ deduplication ด้วย MD5 แล้วก็ตาม</t>
  </si>
  <si>
    <t>ตัวเปเปอร์เป็นงาน review ซึ่งชี้ให้เห็นชัดเจนว่าชุดข้อมูลที่มีอยู่มักมี prior knowledge ทำให้การประเมินผลกับ zero-day หรือ APT มักเกิด evaluation bias เนื่องจากโมเดลไม่ได้ถูกทดสอบในสภาพแวดล้อมที่ไร้ข้อมูลการโจมตีใหม่ๆ อย่างแท้จริง</t>
  </si>
  <si>
    <t>ไม่มีการระบุวิธีการแบ่งข้อมูล (Data split) สำหรับชุดข้อมูลอนุกรมเวลา (Time-series) และไม่ระบุชื่ออัลกอริทึมที่แน่ชัด ทำให้มีความเสี่ยงสูงที่จะเกิดการรั่วไหลของข้อมูล (Temporal Leakage) และ Evaluation Bias</t>
  </si>
  <si>
    <t>การประเมินความเสี่ยงถือว่าอยู่ในระดับสูง (High) เนื่องจากใช้ชุดข้อมูล KDD CUP 99 ซึ่งเป็นที่ทราบกันดีว่ามีความล้าสมัยและมีปัญหา Data Leakage โดยผู้วิจัยใช้การแบ่งข้อมูลแบบสัดส่วน (70/15/15) ซึ่งมีแนวโน้มเป็นการทำ random split โดยไม่ได้คำนึงถึงลำดับเวลา (Chronological split) ในข้อมูลประเภท Network Traffic</t>
  </si>
  <si>
    <t>บทความนี้เป็น Systematic Literature Review สำรวจช่องโหว่ความปลอดภัยบน Cloud Computing ไม่ได้นำเสนอการทดลองหรือการสร้างโมเดล Machine Learning/Graph-based จึงไม่มีการแบ่งชุดข้อมูลและการประเมิน Evaluation Bias</t>
  </si>
  <si>
    <t>ไม่มีการระบุรายละเอียดและสัดส่วนวิธีการแบ่งข้อมูลอย่างชัดเจน (Train/Test split) และไม่มีการจัดการ Temporal leakage ในชุดข้อมูล Network traffic</t>
  </si>
  <si>
    <t>บทความนี้เป็นงานทบทวนวรรณกรรมที่เกี่ยวกับ Data Privacy Models (K-Anonymity, l-Diversity, t-Closeness, Differential Privacy) ไม่ใช่งานวิจัยเชิงทดลองที่สร้างโมเดล Machine Learning จึงไม่มีการแบ่งชุดข้อมูลหรือการประเมินผลที่ทำให้เกิด Evaluation Bias ในบริบทของการแบ่ง Dataset</t>
  </si>
  <si>
    <t>มีการใช้ Prequential test (Evaluate-then-learn) ซึ่งโมเดลจะถูกทดสอบด้วยข้อมูลใหม่ก่อนนำไปเทรน ทำให้หลีกเลี่ยง Temporal leakage ได้อย่างสมบูรณ์แบบสำหรับข้อมูลประเภท Stream</t>
  </si>
  <si>
    <t>มีความเสี่ยงสูงเนื่องจากการประเมินผลใช้เพียง random split (80/20) บนข้อมูลเครือข่าย (Network traffic) ซึ่งมีลำดับเวลา ทำให้มีโอกาสเกิด temporal leakage ได้ง่าย</t>
  </si>
  <si>
    <t>ไม่มีการระบุกลยุทธ์การแบ่งข้อมูล (Split Strategy) ที่ชัดเจนในการใช้ IoT-23 dataset ร่วมกับ NS-3 simulation รวมทั้งไม่มีการจัดการกับ temporal data leakage ในชุดข้อมูลแบบ time-dependent</t>
  </si>
  <si>
    <t>บทความนี้ไม่ได้ประเมินโมเดลพยากรณ์หรือตรวจจับความผิดปกติที่ใช้กราฟ แต่เป็นการวัดประสิทธิภาพของ Smart Contract บนระบบบล็อกเชน จึงไม่มีการรายงานเรื่อง Split Strategy หรือควบคุมการรั่วไหลของข้อมูล</t>
  </si>
  <si>
    <t>ให้ระดับความเสี่ยงสูงเนื่องจากไม่มีการระบุกลยุทธ์การแบ่งชุดข้อมูล (Split strategy) ที่ชัดเจนโดยเฉพาะในด้านเวลา (Temporal split) แม้โมเดลจะป้องกัน temporal leakage ผ่าน causal convolution แต่การประเมินอาจได้รับอิทธิพลจาก Random split bias</t>
  </si>
  <si>
    <t>ไม่มีการระบุการแบ่งข้อมูล Train/Test split ที่ชัดเจนสำหรับแอปพลิเคชันเดียวกัน แต่ใช้ข้อมูล log ทั้งหมดสร้างโมเดลแบบ exact generation และทดสอบ precision โดยใช้ log ของแอปพลิเคชันอื่นเป็น negative samples ซึ่งอาจทำให้เกิด overfitting ต่อชุดข้อมูลที่ใช้ฝึก</t>
  </si>
  <si>
    <t>งานวิจัยนี้เป็นเพียงบทความสำรวจ (Survey) เกี่ยวกับเทคโนโลยีป้องกันข้อมูลรั่วไหล (Data Leakage Prevention) ไม่ได้นำเสนอโมเดล Machine Learning หรือทำการประเมินผลกับชุดข้อมูลทดลอง จึงไม่มีการประเมินความเสี่ยงด้าน Evaluation Bias</t>
  </si>
  <si>
    <t>บทความนี้เป็นงานวิจัยประเภท Survey และ Framework ไม่มีการทดลองกับชุดข้อมูลเชิงประจักษ์ (Empirical dataset evaluation) จึงไม่มีการระบุวิธีการแบ่งข้อมูลหรือการจัดการ Bias</t>
  </si>
  <si>
    <t>การแบ่งข้อมูลใช้สัดส่วน 80/10/10 แบบสุ่มกับข้อมูลอนุกรมเวลา (power traces) ซึ่งเสี่ยงต่อการเกิด data leakage จากความสัมพันธ์ทางเวลา หากไม่ได้ทำการแบ่งแบบ chronological split</t>
  </si>
  <si>
    <t>บทความนี้เน้นการนำเสนอโมเดลคณิตศาสตร์สำหรับ Risk Optimization และ Protocol การป้องกันแบบ Dynamic Defense Strategy โดยไม่มีการทดลองด้วย Machine Learning หรือใช้ Dataset ใดๆ ทำให้ไม่มีการรายงานวิธีแบ่งข้อมูลหรือการควบคุม Data Leakage</t>
  </si>
  <si>
    <t>บทความใช้ Sliding window แบบมี Overlap (ขนาด 64, step 32) ร่วมกับการสุ่มแบ่งข้อมูล (Random split) ในสัดส่วน 7:3 โดยไม่แยกตามเวลา ทำให้เกิด Data leakage ระหว่างชุด Train และ Test ซึ่งนำไปสู่ผลลัพธ์ที่สูงถึง 100%</t>
  </si>
  <si>
    <t>งานวิจัยนี้เป็นการนำเสนอแนวคิดและภาพรวมเกี่ยวกับการประเมินช่องโหว่ของ Medical Software โดยไม่มีการทดลองหรือประเมินผลด้วย Machine Learning จึงไม่มีข้อมูลด้าน Evaluation Bias</t>
  </si>
  <si>
    <t>มีการประเมินผลแบบแยกตามปี (chronological M2013-M2021) ซึ่งช่วยลดปัญหา temporal leakage ได้ระดับหนึ่ง แต่ไม่มีการพูดถึงการควบคุม entity/label leakage ที่เกิดจาก API หรือ permission overlap อย่างชัดเจน</t>
  </si>
  <si>
    <t>บทความรายงานเพียงค่าความแม่นยำในการฝึกสอนและทดสอบ (training and testing accuracy) แต่ไม่ได้ระบุวิธีการแบ่งชุดข้อมูล (split strategy) หรือการจัดการการรั่วไหลของข้อมูลใดๆ</t>
  </si>
  <si>
    <t>ไม่มีการระบุรายละเอียดของ Split strategy อย่างชัดเจน โดยเฉพาะเมื่อโมเดลใช้ LSTM เพื่อเรียนรู้ temporal characteristics ของข้อมูลเครือข่าย แต่ไม่มีการยืนยันการแบ่งข้อมูลแบบ Temporal split เพื่อป้องกัน Leakage</t>
  </si>
  <si>
    <t>บทความนี้นำเสนอกรอบแนวคิดระบบรักษาความปลอดภัยแบบ DNA cryptography โดยไม่ได้มีการทดลองบนชุดข้อมูล Machine Learning หรือ Graph-based APT detection ใดๆ จึงไม่มีรายละเอียดการแบ่งข้อมูลเพื่อประเมินผล</t>
  </si>
  <si>
    <t>มีการใช้เพียง random/ratio split แบบมาตรฐานในชุดข้อมูล IoT Intrusion ซึ่งมีลักษณะเป็นข้อมูลอนุกรมเวลา (Time-dependent) โดยไม่ได้ระบุมาตรการควบคุม Data Leakage</t>
  </si>
  <si>
    <t>ไม่มีการระบุชุดข้อมูล วิธีการแบ่งข้อมูล (Split strategy) หรือการควบคุม Data Leakage ในการประเมินผล Machine Learning อย่างชัดเจน</t>
  </si>
  <si>
    <t>บทความนี้เป็นงานวิจัยแบบทบทวนวรรณกรรมอย่างเป็นระบบ (SLR) เกี่ยวกับความตระหนักรู้ด้านฟิชชิง ไม่ได้มีการนำเสนอหรือประเมินโมเดล Machine Learning ดังนั้นจึงไม่มีการระบุกลยุทธ์การแบ่งข้อมูล (Split Strategy) ทำให้ความเสี่ยงด้าน Evaluation Bias ในเชิงเทคนิค ML ไม่สามารถประเมินได้ชัดเจน (จัดเป็น High ตามกฎที่วิธีแบ่งข้อมูลไม่ชัดเจน)</t>
  </si>
  <si>
    <t>บทความนี้เป็นการวิเคราะห์ทางกฎหมายเกี่ยวกับการรั่วไหลของข้อมูลส่วนบุคคล (Real-world Data Breach) ไม่ใช่งานวิจัยด้าน Machine Learning หรือ Graph-based APT Detection จึงไม่มีข้อมูลเกี่ยวกับการแบ่งชุดข้อมูลหรือ Evaluation Bias</t>
  </si>
  <si>
    <t>เป็นบทความปริทัศน์ (Overview/Survey) ไม่มีการทดลองเชิงประจักษ์ ไม่มีการแบ่งชุดข้อมูลเพื่อประเมินผลโมเดล Machine Learning</t>
  </si>
  <si>
    <t>เอกสารนี้เป็นบทความปริทัศน์ (Survey) สำรวจเทคนิคการโจมตีทางกายภาพ (Covert channels) ไม่ได้นำเสนอโมเดล Machine Learning หรือ Graph-based detection จึงไม่มีการประเมินผลชุดข้อมูล</t>
  </si>
  <si>
    <t>งานวิจัยนี้ไม่ใช่ Machine Learning เป็นการวิเคราะห์หา Attack Scenarios จาก Data Flow Diagram แบบ Static (Design-time) จึงไม่มีการแบ่งชุดข้อมูลหรือระบุการควบคุม Evaluation Bias ตามเกณฑ์ของโมเดล ML</t>
  </si>
  <si>
    <t>Evaluation is purely qualitative/functional comparison; no empirical ML experiment or quantitative performance metrics provided.</t>
  </si>
  <si>
    <t>มีการใช้ 5-fold cross-validation กับข้อมูลที่ครอบคลุมช่วงเวลาหลายปี (2013-2021) โดยไม่มีการแบ่งชุดทดสอบตามเวลา (Temporal Split) ทำให้เสี่ยงต่อ Temporal Leakage</t>
  </si>
  <si>
    <t>บทความนี้เป็นการจำลองวงจรฮาร์ดแวร์ (Hardware Simulation) บน Xilinx Vivado ไม่ใช่งานวิจัยด้าน Machine Learning หรือ Graph-based APT Detection จึงไม่มีการแบ่งชุดข้อมูล Train/Test หรือการประเมินผลเชิงสถิติที่เกี่ยวข้องกับ Bias ในบริบทของ SLR นี้</t>
  </si>
  <si>
    <t>ใช้การแบ่งข้อมูลแบบสุ่ม (random split) ในสัดส่วน 80/20 โดยไม่คำนึงถึงลำดับเวลา (chronological order) ทำให้เสี่ยงต่อ Temporal Leakage ในบริบทของ Malware detection</t>
  </si>
  <si>
    <t>มีการใช้ Sliding Window แบ่งข้อมูลตามเวลา (implied) แต่ไม่มีรายละเอียดเกี่ยวกับสัดส่วนการแบ่ง Train/Test หรือการป้องกัน Temporal Leakage ที่ชัดเจน</t>
  </si>
  <si>
    <t>บทความนี้เป็นการทดสอบประสิทธิภาพ (Performance Overhead) ของเทคนิค Anonymization บนระบบฐานข้อมูล ไม่ใช่การทดลอง Machine Learning สำหรับการตรวจจับภัยคุกคาม จึงไม่มีการแบ่งชุดข้อมูล (Split Strategy) หรือการประเมินความแม่นยำโมเดล</t>
  </si>
  <si>
    <t>ใช้ Stratified K-Fold กับข้อมูล Network Traffic ซึ่งอาจเกิด Temporal Leakage และไม่มีการระบุถึงการแยกตาม Time หรือ Campaign</t>
  </si>
  <si>
    <t>Uses random split and cross-validation on a URL dataset without considering temporal ordering, leading to potential look-ahead bias.</t>
  </si>
  <si>
    <t>Evaluation uses standard train/test split on flow data without mentioning temporal ordering or flow-grouping.</t>
  </si>
  <si>
    <t>Uses random split (70:20:10) on a dataset (edge-IIoT) likely containing time-dependent network flows, without mentioning chronological ordering or flow grouping.</t>
  </si>
  <si>
    <t>Evaluation relies on small, manually selected subsets (100 files) for 'similar' and 'different' categories rather than a large-scale random or temporal split.</t>
  </si>
  <si>
    <t>This paper is not a Machine Learning detection study. It evaluates a security patching tool (SecHARE) against discovered vulnerabilities in IoT platforms. The term 'Leakage' in the title refers to information leakage vulnerabilities, not ML evaluation data leakage.</t>
  </si>
  <si>
    <t>Paper is a survey of access control models, not an experimental study with datasets.</t>
  </si>
  <si>
    <t>ใช้ Random Split 70/30 โดยไม่มีการจัดการเรื่อง Temporal dependency หรือ Entity separation ที่ชัดเจน</t>
  </si>
  <si>
    <t>มีการใช้ Leave-one-device-out และ Leave-one-botnet-out เพื่อป้องกันการ Overfit กับอุปกรณ์หรือรูปแบบการโจมตีเดิม</t>
  </si>
  <si>
    <t>Paper is irrelevant to Graph-based APT detection (Out of Scope). Uses random split on MNIST for FL.</t>
  </si>
  <si>
    <t>Not an ML paper; uses cryptographic verification.</t>
  </si>
  <si>
    <t>Paper proposes a system design and simulation, not a machine learning model evaluation.</t>
  </si>
  <si>
    <t>บทความไม่ได้อยู่ในโดเมน Graph-based APT Detection และวิธีการแบ่งข้อมูล (Splits) ไม่ชัดเจน ใช้การเลือกช่วงข้อมูลแบบ uniform interval โดยไม่มีมาตรฐานการทดสอบที่รัดกุม</t>
  </si>
  <si>
    <t>บทความนี้เป็นการสำรวจแนวทางการจัดการ (Management approaches) และสถิติระดับองค์กร ไม่ใช่งานวิจัยด้าน Machine Learning หรือ Graph-based Detection จึงไม่มีการแบ่งชุดข้อมูลเพื่อเทรนโมเดล</t>
  </si>
  <si>
    <t>บทความนี้เป็น Systematic Literature Review (Survey) เกี่ยวกับ Data Leakage Prevention (DLP) ในฐานะภัยคุกคามความปลอดภัย (Security Threat) ไม่ใช่งานวิจัยที่นำเสนอโมเดล Graph-based APT Detection หรือการทดลอง Machine Learning จึงไม่มีการประเมินผล Evaluation Bias หรือ Data Leakage ในบริบทของ Model Training</t>
  </si>
  <si>
    <t>Apply SMOTE globally before stream simulation/evaluation.</t>
  </si>
  <si>
    <t>Paper is algorithmic optimization, not ML detection; uses synthetic data and packet sizes, no APT traces.</t>
  </si>
  <si>
    <t>Paper proposes a system architecture/simulation without an ML-based experimental evaluation.</t>
  </si>
  <si>
    <t>Key_Findings_1</t>
  </si>
  <si>
    <t>Key_Findings_2</t>
  </si>
  <si>
    <t>Key_Findings_3</t>
  </si>
  <si>
    <t>Evaluation_Bias_Observation</t>
  </si>
  <si>
    <t>What_Was_Missing_in_Evaluation</t>
  </si>
  <si>
    <t>นำเสนอการใช้ Raspberry Pi และ Python เพื่อสร้างเซ็นเซอร์ตรวจสอบพฤติกรรม IoT แบบ Passive โดยไม่ใช้ Active Scanning</t>
  </si>
  <si>
    <t>เน้นการเก็บข้อมูล Packet (Ethernet, ARP, IP, TCP, UDP, ICMP) เพื่อสร้าง Baseline ของพฤติกรรมปกติ</t>
  </si>
  <si>
    <t>ไม่ได้เน้นอัลกอริทึม Graph-based APT detection ขั้นสูง แต่เน้นการสร้างเครื่องมือราคาถูก (Low-cost sensor) เพื่อการมองเห็น (Visibility) ในเครือข่าย</t>
  </si>
  <si>
    <t>เอกสารเป็นหนังสือคู่มือเชิงปฏิบัติ (Practical Guide) มากกว่างานวิจัยเชิงทดลอง จึงไม่มีส่วน Evaluation มาตรฐานแบบเปรียบเทียบ Metrics</t>
  </si>
  <si>
    <t>ขาดการทดลองเปรียบเทียบ (Benchmarking), การแบ่งชุดข้อมูล (Train/Test Split), และการวัดผลทางสถิติที่ชัดเจน</t>
  </si>
  <si>
    <t>โมเดล FLIDS (Federated Learning + CNN) ทำได้ 99.31% Accuracy และ 97.38% F1-score บนชุดข้อมูล CIC IoMT 2024</t>
  </si>
  <si>
    <t>การใช้ Federated Proximal (FedProx) ช่วยจัดการปัญหา data heterogeneity ได้ดีกว่า FedAvg ในสภาพแวดล้อม IoT</t>
  </si>
  <si>
    <t>การทดสอบข้าม Dataset (Cross-dataset evaluation) บน CICIoT2023 แสดงให้เห็นถึงความทนทาน (Robustness) ของโมเดล</t>
  </si>
  <si>
    <t>บทความเน้นเรื่อง Privacy Leakage แต่ไม่ได้กล่าวถึง Data Leakage ในบริบทของการประเมินผล (เช่น train-test overlap)</t>
  </si>
  <si>
    <t>ขาดรายละเอียดเรื่องวิธีการแบ่งข้อมูล (Splitting strategy) ภายใน dataset หลัก และไม่มีการวิเคราะห์ผลกระทบของ Time-series dependency</t>
  </si>
  <si>
    <t>Authentication methods like Passwords, 2FA, Biometrics, and SSO have varying strengths and weaknesses regarding security, usability, and cost.</t>
  </si>
  <si>
    <t>Biometric authentication is more secure than passwords but can be compromised if sensors are unreliable; it involves facial recognition, fingerprint, voice, and eye/retina scanners.</t>
  </si>
  <si>
    <t>Multi-factor authentication (MFA) and Tokens provide higher security but may be more complex or costly compared to simple 2FA or passwords.</t>
  </si>
  <si>
    <t>The paper lacks an experimental evaluation, dataset description, or quantitative comparison of the techniques discussed.</t>
  </si>
  <si>
    <t>โมเดล LVA-SP (Lightweight VAE + Spectral Residual + GRU + AR) ให้ผล F1-score 84.81% บนชุดข้อมูล SWaT ซึ่งสูงกว่า baseline อื่นๆ</t>
  </si>
  <si>
    <t>การใช้ Spectral Residual (SR) ช่วยขยายความแตกต่างระหว่างข้อมูลปกติและข้อมูลการโจมตี ทำให้ Reconstruction Error ของการโจมตีสูงขึ้น</t>
  </si>
  <si>
    <t>การใช้ Permutation Entropy (PE) ในการถ่วงน้ำหนัก Anomaly Score ช่วยลดผลกระทบจาก sensor ที่มีความผันผวนสูงแบบสุ่ม และเน้น sensor ที่สำคัญ</t>
  </si>
  <si>
    <t>การแบ่งข้อมูลทำตามลำดับเวลา (Train 7 วันแรก, Test 4 วันหลัง) ซึ่งเหมาะสมกับข้อมูล Time-series แต่ไม่ได้กล่าวถึงการปรับจูน Hyperparameter บน Validation set ที่แยกขาดจาก Test set อย่างชัดเจน (ระบุว่า 20% ของ 7 วันแรกเป็น validation)</t>
  </si>
  <si>
    <t>ขาดการวิเคราะห์เชิงลึกเกี่ยวกับประเภทการโจมตีที่ตรวจจับได้ยาก (False Negatives) และไม่มีการทดลองกับชุดข้อมูล Graph-based</t>
  </si>
  <si>
    <t>เสนอโมเดล MOMBD-CDD ที่ใช้ Bi-LSTM ร่วมกับ STEPD (Concept Drift Detection) และ SMOTE-GSO เพื่อจัดการ Imbalanced Data</t>
  </si>
  <si>
    <t>การใช้ GSO-SMOTE ช่วยเพิ่มจำนวนตัวอย่างใน Minority Class อย่างมีนัยสำคัญ (เช่น NSL-KDD จาก 125,973 เป็น 129,843 instances)</t>
  </si>
  <si>
    <t>โมเดลทำ Accuracy ได้สูงถึง 97.45% บน NSL-KDD และ 94.23% บน ECUE Spam</t>
  </si>
  <si>
    <t>ไม่มีการระบุวิธีการแบ่งข้อมูล (Split Strategy) ที่ชัดเจน แม้จะอ้างถึง Concept Drift แต่ผลลัพธ์สุดท้ายรายงานเป็นค่าเดียวโดยไม่แสดง Time-based Performance หรือการจัดการลำดับเวลาในการทดสอบที่ชัดเจน</t>
  </si>
  <si>
    <t>ขาดรายละเอียดเรื่อง Train/Test Split และการป้องกัน Data Leakage จากการใช้ SMOTE</t>
  </si>
  <si>
    <t>RIS (Reconfigurable Intelligent Surfaces) ช่วยปรับปรุงความปลอดภัยในชั้นกายภาพ (Physical Layer Security) แต่ก็นำมาซึ่งช่องโหว่ใหม่ เช่น การโจมตีด้วยการปรับเปลี่ยนสภาพแวดล้อม (Environment Reconfiguration Attacks) และ Pilot Contamination</t>
  </si>
  <si>
    <t>เทคนิคการป้องกันรวมถึงการสร้างสัญญาณรบกวนเทียม (Artificial Noise), การเข้ารหัสทางกายภาพ (Physical Key Generation), และการปรับ Beamforming เพื่อลดการดักฟัง</t>
  </si>
  <si>
    <t>การใช้งาน RIS ใน 6G ครอบคลุมทั้ง UAV, Satellite และ IoT แต่ยังเผชิญความท้าทายเรื่องการระบุตัวตนอุปกรณ์ (Authentication) และการป้องกันการควบคุม RIS โดยไม่ได้รับอนุญาต</t>
  </si>
  <si>
    <t>เอกสารฉบับนี้เป็นการสำรวจวรรณกรรมและแนวคิด (Survey/Overview) ไม่มีการทดลองเชิงประจักษ์ด้าน Graph-based Intrusion Detection</t>
  </si>
  <si>
    <t>นำเสนอเฟรมเวิร์ก RPAW สำหรับการทำ Watermarking บน Network Flow ในสภาพแวดล้อม Digital Twin โดยใช้ TabNet ในการสกัดข้อมูล</t>
  </si>
  <si>
    <t>RPAW มีประสิทธิภาพเหนือกว่าวิธีเปรียบเทียบ (DICBW, IPCW, SIBW) ในด้าน Extraction Accuracy Rate (EAR) ภายใต้สภาวะ Jitter และ Packet Loss</t>
  </si>
  <si>
    <t>โมเดล TabNet ช่วยให้ระบบมีความทนทาน (Robustness) ต่อสัญญาณรบกวนในเครือข่ายได้ดีกว่าวิธีดั้งเดิม</t>
  </si>
  <si>
    <t>การทดลองใช้ข้อมูลจากการจำลอง (Simulation) โดยระบุเพียงว่าทำการทดสอบ 200 ครั้ง (200 independent runs) แต่ไม่ได้ระบุชัดเจนถึงการแบ่งข้อมูลสำหรับการ Train และ Test โมเดล TabNet ซึ่งอาจนำไปสู่ Evaluation Bias ได้</t>
  </si>
  <si>
    <t>ขาดรายละเอียดเกี่ยวกับ Dataset ที่ใช้เทรนโมเดล TabNet และวิธีการ Split ข้อมูลเพื่อป้องกัน Data Leakage</t>
  </si>
  <si>
    <t>เสนอ DroidPortrait ที่สร้างโปรไฟล์พฤติกรรมมัลแวร์ 5 มิติ (Configuration, Code, Certification, Network, System call) โดยใช้การวิเคราะห์ความสัมพันธ์ (Apriori) สร้าง behavioral tags</t>
  </si>
  <si>
    <t>เสนออัลกอริทึม Optimized Random Forest (ORF) ที่ใช้ Dropout และ Roulette Wheel Selection ในการเลือก Decision Tree เพื่อเพิ่มประสิทธิภาพการจำแนก</t>
  </si>
  <si>
    <t>ผลการทดลองแสดงความแม่นยำ (Accuracy) 97.1% ในการตรวจจับ Unknown Android apps ซึ่งสูงกว่า Baseline (FEST, Drebin, DroidAPIMiner)</t>
  </si>
  <si>
    <t>การประเมินผลใช้ Cross-validation แบบมาตรฐานบนชุดข้อมูลที่ผสมระหว่างเก่า (Genome Project) และใหม่อาจทำให้ผลลัพธ์สูงเกินจริง (Overoptimistic) เมื่อนำไปใช้จริงกับมัลแวร์ที่อุบัติใหม่</t>
  </si>
  <si>
    <t>ขาดการประเมินแบบ Temporal Split เพื่อวัดความสามารถในการตรวจจับ Zero-day หรือมัลแวร์ในอนาคต และไม่มีการวิเคราะห์เรื่อง Data Leakage ระหว่าง Train/Test</t>
  </si>
  <si>
    <t>องค์กรมีการสื่อสารสองรูปแบบหลักที่มีผลต่อแนวทางความปลอดภัย: Network communication (ความเท่าเทียมกัน) และ Hierarchical organizational communication (ตามลำดับขั้น)</t>
  </si>
  <si>
    <t>ข้อมูลสถิติจากปี 2022 แสดงให้เห็นว่าองค์กรขนาดใหญ่ในบัลแกเรีย (มากกว่า 250 คน) มีนโยบายความปลอดภัย ICT สูงถึง 57% ซึ่งมากกว่าองค์กรขนาดเล็ก</t>
  </si>
  <si>
    <t>การป้องกันข้อมูลรั่วไหล (DLP) และการจัดประเภทข้อมูล (Data Classification) เป็นเครื่องมือสำคัญในการสื่อสารแบบลำดับขั้น (Hierarchical)</t>
  </si>
  <si>
    <t>Not Applicable (No experimental evaluation)</t>
  </si>
  <si>
    <t>บทความนี้เป็นการสำรวจเชิงบริหารจัดการและสถิติ ไม่มีการทดลองทางเทคนิคหรือการประเมินโมเดลตรวจจับภัยคุกคาม</t>
  </si>
  <si>
    <t>นำเสนอ DROIDPF ซึ่งใช้เทคนิค Software Model Checking ร่วมกับ Java PathFinder (JPF) ในการตรวจสอบแอป Android โดยมีการจำลอง Android OS (Mock-up OS) เพื่อรองรับการรันบน JVM ทั่วไป</t>
  </si>
  <si>
    <t>ใช้เทคนิค Dependency-Constrained Event Permutation โดยสร้าง Deterministic Finite Automata (DFA) เพื่อลดจำนวนลำดับเหตุการณ์ (Event sequences) ที่เป็นไปไม่ได้ ช่วยลดปัญหา State space explosion</t>
  </si>
  <si>
    <t>การทดลองกับแอป 131 ตัว (รวม Malware และ DroidBench) พบว่า DROIDPF สามารถตรวจจับ Known Security Issues ได้เกือบทั้งหมด และพบช่องโหว่ใหม่ที่ไม่เคยรายงานมาก่อน 9 รายการ</t>
  </si>
  <si>
    <t>การเลือกชุดข้อมูลทดสอบเป็นการเลือกแบบเจาะจง (Malware 7 ตัว, แอปจริง 13 ตัว, DroidBench) ไม่มีการกล่าวถึงการสุ่มหรือการแบ่งข้อมูลเพื่อทดสอบความสามารถในการทำนายแอปที่ไม่เคยเห็นมาก่อน (Zero-day) ในบริบทของการเรียนรู้</t>
  </si>
  <si>
    <t>ขาดการประเมินกับชุดข้อมูลขนาดใหญ่ (Large-scale) เนื่องจากข้อจำกัดด้าน Scalability และความพยายามในการสร้าง Mock-up ด้วยมือ</t>
  </si>
  <si>
    <t>อัลกอริทึม BCG (Best-classification groups) ให้ผลลัพธ์ดีที่สุดใน 89.1% ของเคสทดสอบด้วย generated dataset</t>
  </si>
  <si>
    <t>อัลกอริทึม BCG มีค่า average gap น้อยกว่า 0.001 เมื่อเทียบกับอัลกอริทึมอื่นๆ</t>
  </si>
  <si>
    <t>การเปรียบเทียบกับอัลกอริทึมใน literature (RLT) พบว่า BCG ดีกว่าใน 389 instances และเท่ากันใน 436 instances</t>
  </si>
  <si>
    <t>งานวิจัยนี้เป็นการแก้ปัญหา NP-hard scheduling problem ไม่ใช่งาน Machine Learning สำหรับตรวจจับ APT จึงไม่มีการประเมิน bias ในมุมมองของข้อมูล training/testing</t>
  </si>
  <si>
    <t>ไม่มีการทดลองในสภาวะการโจมตีจริง (Real-world attack scenarios) เพียงแต่ใช้ video packet size เป็นตัวแทนข้อมูลในการส่ง</t>
  </si>
  <si>
    <t>การเพิ่มความน่าเชื่อถือ (Credibility benefits) และการลดต้นทุนการกำกับดูแลของรัฐบาลและแพลตฟอร์มช่วยส่งเสริมพฤติกรรมที่ดี (Good behavior) ในระบบนิเวศ Security Crowdsourcing</t>
  </si>
  <si>
    <t>กลไกการกำกับดูแลเครดิต (Credit supervision mechanism) สามารถทำงานได้อย่างมีประสิทธิภาพเมื่อมีการกำกับดูแลร่วมกัน (Collaborative governance) และการให้รางวัล/ลงโทษ</t>
  </si>
  <si>
    <t>การจำลองสถานการณ์แสดงให้เห็นว่าระบบสามารถเข้าสู่สภาวะเสถียรที่เหมาะสม (Ideal stable state) คือ รัฐบาลกำกับดูแลเข้มงวด แพลตฟอร์มตรวจสอบเชิงรุก และบุคลากรความปลอดภัยซื้อขายอย่างถูกกฎหมาย ภายใต้เงื่อนไขพารามิเตอร์ที่เหมาะสม</t>
  </si>
  <si>
    <t>งานวิจัยนี้เป็นการจำลองสถานการณ์ทางคณิตศาสตร์ (Numerical Simulation) โดยใช้ MATLAB ไม่ใช่การทดลอง Machine Learning จึงไม่มีประเด็นเรื่อง Data Leakage หรือ Sampling Bias ในบริบทของการตรวจจับ APT</t>
  </si>
  <si>
    <t>ขาดการทดสอบกับข้อมูลเหตุการณ์จริง (Real-world event logs) หรือกราฟพฤติกรรมจริง เนื่องจากเป็นการจำลองเชิงทฤษฎีเกม</t>
  </si>
  <si>
    <t>RealityCapture ให้ความแม่นยำสูงสุด (1-10 มม.) และเก็บรายละเอียดได้ดีบนพื้นผิวที่มีความมันวาว</t>
  </si>
  <si>
    <t>LumaAI (NeRF) ประมวลผลได้รวดเร็วและสามารถสร้างส่วนที่ถูกบดบังได้ แต่มีความเสี่ยงด้าน Data Leakage เนื่องจากต้องอัปโหลดข้อมูลขึ้น Cloud</t>
  </si>
  <si>
    <t>Meshroom และ Pix4D ไม่เหมาะสมกับชุดข้อมูลขนาดใหญ่หรือการถ่ายภาพภาคพื้นดินที่มีความซับซ้อน (เกิด Critical errors)</t>
  </si>
  <si>
    <t>บทความนี้ไม่เกี่ยวข้องกับ Graph-based APT Detection หรือ ML Evaluation Bias ในบริบทของ Intrusion Detection</t>
  </si>
  <si>
    <t>โมเดล Federated Learning (FL) ที่เสนอมีการใช้ Memory น้อยกว่าโมเดล Centralized ถึง 1.4 เท่า และลด Data leakage (ในเชิง Privacy) ได้ดีกว่า</t>
  </si>
  <si>
    <t>การใช้ Data Pruning (Weight pruning) ที่ 80% sparsity ช่วยลดขนาดโมเดลโดยยังคงความแม่นยำที่ 97.7%</t>
  </si>
  <si>
    <t>โมเดลสามารถจำแนก MITRE ATT&amp;CK Tactics ได้ด้วยความแม่นยำใกล้เคียงกับ Centralized model (ต่างกันเพียง 2%)</t>
  </si>
  <si>
    <t>งานวิจัยนี้ไม่ได้ใช้วิธีการแบ่งข้อมูลตามเวลา (Temporal Split) ทั้งที่ APT เป็นการโจมตีต่อเนื่อง และมีการระบุว่า 'exclude the condition of collecting data sequentially' ซึ่งอาจทำให้การประเมินผลไม่สะท้อนความจริงในการตรวจจับ APT</t>
  </si>
  <si>
    <t>ขาดการประเมินด้วย Graph-based method (ใช้เพียง Neural Network ธรรมดา) และขาดการแบ่งข้อมูลแบบ Temporal หรือ Campaign-based split</t>
  </si>
  <si>
    <t>SentinelGuard ลดอัตรา False Positive เหลือ 8% เมื่อเทียบกับโซลูชันอื่นๆ (Forcepoint 64%, McAfee 36%, Symantec 23%)</t>
  </si>
  <si>
    <t>การใช้ BERT Fine-tuning กับชุดข้อมูลเฉพาะองค์กรช่วยเพิ่มความแม่นยำในการจำแนกข้อมูลอ่อนไหว</t>
  </si>
  <si>
    <t>การรวม Web Extension เข้ากับ Server-side AI model ช่วยป้องกัน Data Leakage แบบ Real-time</t>
  </si>
  <si>
    <t>การประเมินผลทำในสภาพแวดล้อมจำลอง (Simulated environment) และเปรียบเทียบกับผลิตภัณฑ์ Commercial โดยไม่ได้ระบุวิธีการสุ่มตัวอย่างหรือ Dataset size ที่ชัดเจน</t>
  </si>
  <si>
    <t>ขาดรายละเอียดเรื่อง Confusion Matrix (Precision, Recall), ไม่ระบุวิธีแบ่งข้อมูล Train/Test, และไม่มีการทดสอบกับ Graph-based structures เนื่องจากเป็น Text-based approach</t>
  </si>
  <si>
    <t>QuEST ใช้การคำนวณ Shannon Entropy, Mutual Information (MI) และ Conditional Mutual Information (CMI) บนโครงสร้าง BDD เพื่อระบุและวัดปริมาณการรั่วไหลของข้อมูล (Information Leakage) ในระดับฮาร์ดแวร์</t>
  </si>
  <si>
    <t>ผลการทดลองบน 11 Benchmarks จาก Trust-Hub แสดงให้เห็นว่า QuEST สามารถตรวจจับ Hardware Trojans และระบุ Trigger points ได้อย่างถูกต้อง โดยเอาชนะข้อจำกัดของวิธี Path-oriented (เช่น GLIFT) ที่ไม่สามารถตรวจจับ Leakage จากหลาย Inputs พร้อมกันได้</t>
  </si>
  <si>
    <t>การใช้ CMI ช่วยให้ระบุตำแหน่ง 'Leakage Control Points' (เช่น Trojan triggers) ได้อย่างแม่นยำ โดยสังเกตจากอัตราการเปลี่ยนแปลงของ Entropy ที่สูงขึ้นอย่างมีนัยสำคัญ</t>
  </si>
  <si>
    <t>การประเมินเน้นที่ความถูกต้องในการตรวจจับ Leakage และเวลาที่ใช้ แต่ไม่ได้เปรียบเทียบกับเทคนิค Graph Learning สมัยใหม่อื่นๆ ในบริบทของ Security เนื่องจากเป็นงานด้าน Hardware Verification</t>
  </si>
  <si>
    <t>Telemedicine relies heavily on technology, making patient data vulnerable to misuse and cyberattacks (e.g., ransomware).</t>
  </si>
  <si>
    <t>Indonesia has regulations (Minister of Health No. 20 of 2019), but specific protections for personal data in telemedicine need strengthening.</t>
  </si>
  <si>
    <t>Cybermedicine allows dissemination of clinical info, posing privacy risks; secure management is crucial to prevent abuse.</t>
  </si>
  <si>
    <t>No experimental evaluation of detection systems; paper is a policy/literature review.</t>
  </si>
  <si>
    <t>ภัยคุกคามหลักใน Healthcare Big Data ได้แก่ Data breaches, Insider threats และ Data Manipulation (เช่น Data Poisoning)</t>
  </si>
  <si>
    <t>เทคนิคการบรรเทาความเสี่ยง (Mitigation) ที่สำคัญคือ Encryption, Access Control, Anomaly Detection และ Data Masking</t>
  </si>
  <si>
    <t>การนำ Zero Trust Architecture มาใช้มีความสำคัญและช่วยลดผลกระทบจาก Data Breach ได้</t>
  </si>
  <si>
    <t>บทความนี้ไม่มีส่วนการทดลอง (Experimental Evaluation) จึงไม่มีข้อมูลเกี่ยวกับการแบ่งชุดข้อมูลหรือการวัดผล</t>
  </si>
  <si>
    <t>QFlow สามารถตรวจจับการรั่วไหลของข้อมูล (Leakage) จาก Hardware Trojans ในชุดทดสอบ AES และ RSA ได้ครบถ้วน โดยมีความผิดพลาด (False Positive) ต่ำมาก</t>
  </si>
  <si>
    <t>วิธีการ QIF-Verilog แบบเดิมไม่สามารถตรวจจับ Trojans บางประเภทที่มีเงื่อนไขซับซ้อนหรือการดำเนินการต่อเนื่อง (Sequential communication)</t>
  </si>
  <si>
    <t>การวิเคราะห์ด้วย Graph of binds (AST) ร่วมกับสมการ QModel ช่วยให้สามารถระบุเส้นทางการรั่วไหลในระดับบิตได้แม่นยำขึ้น</t>
  </si>
  <si>
    <t>การกำหนด Threshold เพื่อตัดสินว่ามีการรั่วไหลหรือไม่ ทำโดยการรันกับวงจร AES แบบย่อ (2 rounds) แล้วนำค่าที่ได้มาใช้เป็นเกณฑ์สำหรับ Benchmarks อื่นๆ ซึ่งอาจไม่ครอบคลุมวงจรประเภทอื่น</t>
  </si>
  <si>
    <t>ขาดการทดสอบกับชุดข้อมูลขนาดใหญ่ที่หลากหลายนอกเหนือจาก Cryptographic cores และไม่มีการประเมินแบบ Statistical Cross-validation</t>
  </si>
  <si>
    <t>โมเดลความเป็นส่วนตัวเดิม (k-anonymity, l-diversity, t-closeness) ล้มเหลวในการป้องกันข้อมูลเมื่อผู้โจมตีมีความรู้พื้นฐานที่ครอบคลุม (Comprehensive Background Knowledge)</t>
  </si>
  <si>
    <t>เสนอโมเดล Comprehensive Privacy ซึ่งรับประกันว่าความเป็นส่วนตัวจะไม่ถูกเปิดเผยแม้จะมี Background Knowledge ที่หลากหลาย (Statistical, Individual, Cohesive ฯลฯ)</t>
  </si>
  <si>
    <t>การเชื่อมโยงข้อมูลจาก Social Networks (Cohesive Knowledge) สามารถใช้ลดความน่าจะเป็นในการเดาและระบุตัวตนในตารางข้อมูลที่ถูกทำให้นิรนามได้</t>
  </si>
  <si>
    <t>การประเมินผลใช้วิธีพิสูจน์ทางคณิตศาสตร์ (Theorems) แทนการทดลองกับชุดข้อมูลจริง ทำให้ไม่สามารถประเมิน Bias ในแง่ Sampling หรือ Splitting ได้</t>
  </si>
  <si>
    <t>ขาดการทดลองกับข้อมูลขนาดใหญ่ (Large-scale datasets) หรือการวัดผลในสถานการณ์จริงที่เกี่ยวข้องกับ APT หรือ Cyber Threat Detection</t>
  </si>
  <si>
    <t>QryptaShield achieves Accuracy = 92.4% and FPR = 0.053, outperforming classical baselines like SVM and Logistic Regression.</t>
  </si>
  <si>
    <t>Modules QARL (RL-based thresholding) allows dynamic adjustment of decision boundaries, balancing precision and recall better than fixed thresholds.</t>
  </si>
  <si>
    <t>Quantum-Informed Feature Selection (QIAFS) effectively identifies relevant features (e.g., packets, bytes, entropy) while reducing redundancy.</t>
  </si>
  <si>
    <t>The use of overlapping sliding windows (stride 2.5s vs window 5s) combined with a likely random split (70/15/15) creates a high risk of training data leaking into test data.</t>
  </si>
  <si>
    <t>Lack of strict chronological splitting or testing on unseen campaigns/time-periods to verify robustness against concept drift.</t>
  </si>
  <si>
    <t>นำเสนอ Trust model สำหรับ BYOD ที่ประกอบด้วย Agentless device trust model (scan malware) และ Multifactor authentication บน Blockchain</t>
  </si>
  <si>
    <t>การใช้ Blockchain ในการบันทึกข้อมูล (Record Keeping) ช่วยสร้างหลักฐานทางนิติวิทยาศาสตร์ (Digital Forensics) ที่แก้ไขได้ยาก</t>
  </si>
  <si>
    <t>ผลการทดสอบแสดงการตรวจจับ Data Leakage และ Malware ผ่าน Dashboard ของระบบที่พัฒนาขึ้น แต่ไม่มีตัวเลขประสิทธิภาพเชิงปริมาณ</t>
  </si>
  <si>
    <t>เป็นการนำเสนอ Concept และ System Implementation มากกว่าการประเมินผลอัลกอริทึมตรวจจับด้วยข้อมูล Benchmark มาตรฐาน</t>
  </si>
  <si>
    <t>ขาดรายละเอียด Dataset, Metrics (Precision/Recall), และ Baseline comparison</t>
  </si>
  <si>
    <t>การวิเคราะห์พลังงานแบบ Fine-grained ผ่าน multiscale feature extraction ช่วยให้ระบุพฤติกรรมของมัลแวร์ Mirai ได้แม่นยำกว่าแบบ Coarse-grained</t>
  </si>
  <si>
    <t>สถาปัตยกรรม µThingNet ที่ใช้ h-swish activation และ depthwise adaptive convolution ลดการใช้หน่วยความจำลง 20% และเพิ่มความเร็วในการตรวจจับ 25% เมื่อเทียบกับ ReLU</t>
  </si>
  <si>
    <t>การใช้ sliding window size ขนาด 256 data points โดยไม่มี overlapping ratio (0) ให้ผลลัพธ์ที่เหมาะสมที่สุดในการทดลอง</t>
  </si>
  <si>
    <t>การทดลองใช้ข้อมูลที่เก็บเอง (2400 samples) โดยระบุว่าทดสอบกับ unknown variants แต่ไม่ได้อธิบายชัดเจนว่าชุดข้อมูล Train กับ Test แยกออกจากกันโดยสิ้นเชิงในระดับ Variant หรือไม่ (อาจปนเปื้อนถ้าสุ่มแบ่ง)</t>
  </si>
  <si>
    <t>ขาดการเปรียบเทียบกับเทคนิค Graph-based อื่นๆ และขาดรายละเอียดการแบ่งข้อมูลเพื่อยืนยัน Zero-day capability อย่างแท้จริง (เช่น Temporal split)</t>
  </si>
  <si>
    <t>การใช้สถาปัตยกรรมที่แยกส่วน (Segregated design) สำหรับ BYOD Trusted User และ Guest User ช่วยลดความเสี่ยงด้านความปลอดภัย</t>
  </si>
  <si>
    <t>การใช้ EAP-TLS (Certificate-based authentication) ร่วมกับ Foreign/Anchor Controller ช่วยให้การยืนยันตัวตนมีความปลอดภัยและเข้ารหัส</t>
  </si>
  <si>
    <t>การจราจรข้อมูล (Traffic flow) สามารถถูกส่งผ่าน EOIP tunnel ไปยัง DMZ โดยตรง เพื่อเลี่ยงการเข้าถึงเครือข่ายภายในองค์กรโดยไม่ได้รับอนุญาต</t>
  </si>
  <si>
    <t>งานวิจัยนี้เป็นการสาธิตระบบ (Demonstration) ไม่มีการประเมินผลเชิงสถิติหรือเปรียบเทียบกับ Baseline</t>
  </si>
  <si>
    <t>ขาดการทดลองในสเกลใหญ่ (Large-scale deployment) และไม่มีการวัดผลด้าน Detection Rate ต่อภัยคุกคามจริง (Real-world threats)</t>
  </si>
  <si>
    <t>โมเดลที่นำเสนอ (CSDI + XGBoost) ให้ค่า Accuracy (99.98%) และ Recall (1) สูงกว่าโมเดลพื้นฐาน (SVM, RF, XGBoost) ในชุดข้อมูล Credit Card</t>
  </si>
  <si>
    <t>ในชุดข้อมูล Twitter Spam โมเดลรักษาความเสถียรของค่า F-measure ได้ดีกว่าโมเดลเปรียบเทียบ (MDDT+XGB) เมื่อทดสอบในช่วงเวลา 5 วันที่มี Concept Drift</t>
  </si>
  <si>
    <t>การใช้ Drift Identification ช่วยให้โมเดลปรับตัวกับข้อมูลใหม่ได้ดีกว่า Traditional Ensemble methods</t>
  </si>
  <si>
    <t>การวัดผลใช้ Cross-validation ผสมกับการจำลอง Streaming (Sliding Window) อาจทำให้ผลลัพธ์ Accuracy สูงเกินจริงหากข้อมูลใน Fold มีความสัมพันธ์กันทางเวลา</t>
  </si>
  <si>
    <t>ขาดการระบุรายละเอียดว่า Cross-validation จัดการลำดับเวลาอย่างไร (Time-series split vs Standard Shuffle split) และงานนี้ไม่มีองค์ประกอบของ Graph Structure</t>
  </si>
  <si>
    <t>นำเสนอการใช้ SVM ในการตรวจจับการบุกรุก (Anomaly based) บน Android โดยใช้ชุดข้อมูล NSL-KDD</t>
  </si>
  <si>
    <t>วิเคราะห์การรั่วไหลของข้อมูล (Data Leakage) จาก WhatsApp database บน Android โดยใช้เครื่องมือ forensic</t>
  </si>
  <si>
    <t>ผลการทดลองระบุว่า SVM มีความแม่นยำประมาณ 91% สำหรับ Normal traffic และ 87% สำหรับ DOS</t>
  </si>
  <si>
    <t>บทความใช้ชุดข้อมูล Network IDS มาตรฐาน (NSL-KDD) มาประเมินบริบท Android smartphone ซึ่งอาจเกิด Domain mismatch และไม่ได้ระบุวิธีแบ่ง Train/Test ที่ป้องกัน Bias</t>
  </si>
  <si>
    <t>ขาดการเปรียบเทียบกับวิธีอื่น ขาดรายละเอียดการตั้งค่า Hyperparameters และการแบ่งข้อมูล</t>
  </si>
  <si>
    <t>นำเสนอ PPATF ที่รวม Adversarial Training แบบ Differential Privacy (DP-SGD) ร่วมกับ Data Smoothing (FS, RS) เพื่อป้องกันทั้ง Privacy Leakage และ Evasion Attacks</t>
  </si>
  <si>
    <t>การใช้ Feature Squeezing (FS) ช่วยลดพื้นที่การโจมตี (Attack Surface) ของ Adversarial perturbations แต่เพิ่ม False Negatives ในข้อมูลคลีน</t>
  </si>
  <si>
    <t>การ Ensemble ระหว่าง DP-SGD Shadow Model กับ Randomized Smoothing (RS) ให้ความทนทานสูงสุดต่อการโจมตีแบบ Closed-box (ZOO, HSJ) บนชุดข้อมูล MQTTset และ UNSW-NB15</t>
  </si>
  <si>
    <t>การทดลองใช้ Random Split บนชุดข้อมูลที่มีลำดับเวลา (Network Flows) อาจทำให้ประสิทธิภาพสูงเกินจริง และไม่มีการทดสอบกับ Malware ที่มีความซับซ้อนสูง (Polymorphic)</t>
  </si>
  <si>
    <t>ขาดการประเมินแบบ Temporal Split และขาดการทดสอบกับ Large-scale distributed scenarios</t>
  </si>
  <si>
    <t>Insider threat research lacks maturity in common vernacular and operational validity.</t>
  </si>
  <si>
    <t>Approaches are categorized into technical, social, and socio-technical; no single approach is sufficient.</t>
  </si>
  <si>
    <t>Data leakage is characterized into obtaining access, downloading data, and sharing data.</t>
  </si>
  <si>
    <t>สถาบันการเงินที่ศึกษาอยู่ในระดับความพร้อมแบบ 'Managed' (Level 4) ตาม NIST framework</t>
  </si>
  <si>
    <t>การโจมตีประเภท Information Leakage มักเกิดจาก Phishing และ Malware โดยบริษัทส่วนใหญ่ยังขาดเครื่องมือตรวจจับแบบเรียลไทม์</t>
  </si>
  <si>
    <t>การนำโมเดล Maturity (M2 HCS) มาใช้ร่วมกับ NIST control ช่วยลดความเสี่ยงด้านความปลอดภัยไซเบอร์</t>
  </si>
  <si>
    <t>การประเมินผลใช้วิธี Questionnaire กับผู้เชี่ยวชาญ 7 คน และตัวแทนบริษัท 2 แห่ง ไม่ใช่การทดลองทางเทคนิคหรือ Machine Learning</t>
  </si>
  <si>
    <t>ไม่มีการทดลองเชิงปริมาณด้วยชุดข้อมูลจริง (Technical Experiment) เป็นเพียงการประเมินเชิงคุณภาพ (Qualitative Assessment)</t>
  </si>
  <si>
    <t>ระบุภัยคุกคามหลักใน LLM ผ่านองค์ประกอบต่างๆ เช่น 'Mimic an LLM' ใน Interface, 'Data Poisoning' ใน Database, และ 'Prompt Injection' ใน Model</t>
  </si>
  <si>
    <t>การใช้ STRIDE และ LINDDUN ช่วยจำแนกความเสี่ยงด้านความปลอดภัย (เช่น Spoofing, Tampering) และความเป็นส่วนตัว (เช่น Linkability, Identifiability) ได้อย่างเป็นระบบ</t>
  </si>
  <si>
    <t>การโจมตีแบบ 'Indirect Prompt Injection' และ 'Malicious Package Disclosure' เป็นภัยคุกคามที่สำคัญที่เกิดขึ้นจากการที่ LLM เชื่อมต่อกับข้อมูลภายนอกหรือ Plugins</t>
  </si>
  <si>
    <t>บทความไม่มีการทดลอง (Experiments) หรือการวัดผล (Metrics) เพื่อยืนยันประสิทธิภาพของการป้องกัน หรือระดับความรุนแรงของภัยคุกคามในเชิงปริมาณ</t>
  </si>
  <si>
    <t>Framework multimodal (Retina + Palm Vein) ที่ใช้ Feature-level fusion ร่วมกับ Homomorphic Encryption (CKKS) สามารถทำ EER ได้ต่ำถึง 0.048% ซึ่งดีกว่า Unimodal baselines.</t>
  </si>
  <si>
    <t>ระบบสามารถป้องกัน quantum-enabled attacks ด้วยการใช้ parameter ที่รองรับ 128-bit post-quantum security โดยยังคงประสิทธิภาพ runtime ที่ยอมรับได้ (0.0167s per authentication ไม่รวม key gen).</t>
  </si>
  <si>
    <t>การใช้ Feature-level fusion ช่วยเพิ่มความแม่นยำและความปลอดภัย โดยการรวมข้อมูลก่อนการเข้ารหัส (Encryption).</t>
  </si>
  <si>
    <t>ผู้เขียนสร้างชุดข้อมูลสังเคราะห์ (Synthetic multimodal identities) จากสองแหล่งข้อมูลที่ไม่มี subject ทับซ้อนกัน เพื่อป้องกัน 'spurious cross-modality correlations'.</t>
  </si>
  <si>
    <t>ไม่เกี่ยวข้องกับ Graph-based APT Detection (Paper เป็นเรื่อง Biometrics).</t>
  </si>
  <si>
    <t>ระบบ AI ที่ใช้ LLM ร่วมกับ Knowledge Graph สามารถช่วยตัดสินใจด้านความปลอดภัย (Security Decision-Making) ในการออกแบบ ICS ให้สอดคล้องกับมาตรฐาน IEC 62443-3-3</t>
  </si>
  <si>
    <t>Knowledge Graph ช่วยเพิ่มความโปร่งใส (Transparency) และความสามารถในการอธิบาย (Explainability) ให้กับผลลัพธ์ของ LLM ซึ่งสอดคล้องกับข้อกำหนด Transparency ของ EU AI Act</t>
  </si>
  <si>
    <t>การประเมินความเสี่ยงตาม EU AI Act พบว่าระบบนี้จัดอยู่ในกลุ่ม High Risk ซึ่งต้องมีการจัดการความเสี่ยง มนุษย์กำกับดูแล และระบบข้อมูลที่มีคุณภาพ</t>
  </si>
  <si>
    <t>การวัดผลเน้นที่ความคล้ายคลึงของข้อความ (Text similarity metrics) เทียบกับคำตอบผู้เชี่ยวชาญ ไม่มีการวัดผลเชิงสถิติขนาดใหญ่หรือทดสอบกับสถานการณ์โจมตีจริง (Attack scenarios)</t>
  </si>
  <si>
    <t>ขาดการทดสอบประสิทธิภาพเชิงปริมาณในสถานการณ์ที่หลากหลาย (Robustness testing) และรายละเอียดของชุดคำถามที่ใช้ทดสอบ</t>
  </si>
  <si>
    <t>นำเสนอเฟรมเวิร์ก BCTD-ICS ที่ใช้ Blockchain และ Zero-Knowledge Proofs (ZKPs) เพื่อตรวจสอบความถูกต้องของซอร์สโค้ดในระบบ ICS โดยไม่ต้องเปิดเผยโค้ดต้นฉบับ</t>
  </si>
  <si>
    <t>ใช้อัลกอริทึม DBSCAN ในการจัดกลุ่มและสุ่มตัวอย่าง (Intelligent Sampling) บล็อกฟังก์ชันของซอร์สโค้ดเพื่อลดขนาด Proof ได้ถึง 26% และลดเวลาสร้าง Proof</t>
  </si>
  <si>
    <t>ระบบสามารถสร้าง Proof สำหรับข้อมูลขนาดหลายล้านไบต์ได้ในระดับมิลลิวินาที และมีความทนทานต่อการปลอมแปลง Identity และ Backdoor attacks</t>
  </si>
  <si>
    <t>การประเมินเน้นที่ประสิทธิภาพเชิงระบบ (Time/Size) มากกว่าความแม่นยำในการตรวจจับภัยคุกคาม จึงไม่มีประเด็นเรื่อง Evaluation Bias ในบริบทของ ML</t>
  </si>
  <si>
    <t>ขาดการเปรียบเทียบกับวิธีการตรวจจับด้วย ML อื่นๆ ในแง่ของ Detection Rate เนื่องจากเป้าหมายคือ Integrity/Privacy ไม่ใช่ Anomaly Detection</t>
  </si>
  <si>
    <t>นำเสนอ Risk Assessment Model (RAM) สำหรับ Smart Homes โดยใช้แนวคิด Negative to Positive Approach เพื่อคำนวณระดับความเสี่ยง (Risk Level: RL)</t>
  </si>
  <si>
    <t>โมเดลคำนวณ RL จากสมการที่พิจารณา Time period, Value created, Risk reduction, และ Cost (เช่น RL = T x (V x A))</t>
  </si>
  <si>
    <t>การสาธิตในสถานการณ์ IoT Device ส่งข้อมูลไปยัง Malware Server แสดงให้เห็นว่า RAM สามารถกำหนดค่า RL ที่นำไปสู่การตัดสินใจ Block หรือ Allow ได้ตามเงื่อนไขความเสี่ยง</t>
  </si>
  <si>
    <t>การประเมินผลเป็นแบบ Qualitative Demonstration บน Use Case เดียว โดยมีการสมมติค่าตัวเลข (Assumptions) ทั้งหมด ไม่มีการทดสอบกับข้อมูล Attack จริงจำนวนมาก</t>
  </si>
  <si>
    <t>ขาดการวัดประสิทธิภาพความแม่นยำ (Accuracy, FPR) ของการประเมินความเสี่ยง และขาดการเปรียบเทียบกับวิธี Baseline อื่นๆ</t>
  </si>
  <si>
    <t>การใช้ White-box profile (Histogram) ให้ผลลัพธ์ FPR ต่ำกว่า Black-box approaches (เช่น Naïve Bayes) อย่างมีนัยสำคัญ</t>
  </si>
  <si>
    <t>Feature Aggregation (Joint-histograms) ช่วยเพิ่ม Detection Rate (DR) ในการตรวจจับ Complex attacks โดยไม่เพิ่ม FPR มากนัก</t>
  </si>
  <si>
    <t>Transaction Flow Profiling (Logic Transaction Groups) สามารถตรวจจับการโจมตีที่กระจายตัวผ่านหลาย transactions หรือช่วงเวลา (Time-spanned) ได้</t>
  </si>
  <si>
    <t>Attack set ถูกสร้างขึ้นโดย Security administrator หรือการจำลอง (Simulation) ซึ่งอาจทำให้ง่ายต่อการตรวจจับมากกว่าการโจมตีจริง (Selection Bias)</t>
  </si>
  <si>
    <t>การทดสอบกับ Real-world attack traces ที่ไม่ได้มาจากการจำลอง และการทดสอบความทนทานต่อ Adversarial evasion</t>
  </si>
  <si>
    <t>นำเสนอการใช้ Network Analytics (Social Network Analysis) เพื่อระบุตัวนักศึกษาที่มีอิทธิพล (Influential students) ในระบบการเรียนออนไลน์</t>
  </si>
  <si>
    <t>พัฒนาแดชบอร์ดต้นแบบ (Prototype) ชื่อ 'H2' เพื่อแสดงผลกราฟความสัมพันธ์และค่า Centrality metrics</t>
  </si>
  <si>
    <t>เสนอแนวคิดการใช้ 'Champions' (นักศึกษาที่มีอิทธิพล) ในการเผยแพร่ความรู้ด้านความปลอดภัยไซเบอร์ไปยังเพื่อนร่วมเครือข่าย</t>
  </si>
  <si>
    <t>งานวิจัยนี้เป็นข้อเสนอโครงการ (Proposal/Work-in-progress) และ Action Research จึงยังไม่มีผลการทดลองเชิงปริมาณด้านประสิทธิภาพการตรวจจับภัยคุกคาม</t>
  </si>
  <si>
    <t>ขาดการทดลองวัดผลความสำเร็จเชิงตัวเลข (Quantitative evaluation) เนื่องจากเป็นระยะเริ่มต้นของโครงการวิจัยระดับปริญญาเอก</t>
  </si>
  <si>
    <t>นำเสนอ IP-Tag ซึ่งเป็น framework ตรวจจับ Trojan ระดับ runtime โดยใช้ secure bus topology แยกต่างหากเพื่อส่งผ่าน tag ข้อมูล</t>
  </si>
  <si>
    <t>ผลการทดลองบน RISC-V SoC แสดงให้เห็นว่าสามารถป้องกันการเข้าถึงที่ผิดกฎหมาย (illegal access) และการรั่วไหลของข้อมูล (sensitive data leakage) จาก malicious IPs</t>
  </si>
  <si>
    <t>Hardware overhead อยู่ที่ 7.9% LUTs และ 7.8% Flip-Flops โดยมี Performance overhead เพียง 2.2%</t>
  </si>
  <si>
    <t>เนื่องจากไม่ใช่ ML paper จึงขาดการประเมินด้าน detection rate ในเชิงสถิติ หรือ false positive rate บน large-scale dataset</t>
  </si>
  <si>
    <t>Hybrid Deep Learning models (SCNN-BiLSTM, Deep Q-Learning) achieve high accuracy (~96-98%) in Healthcare IoT anomaly detection.</t>
  </si>
  <si>
    <t>Federated Learning with Differential Privacy provides strong privacy guarantees but introduces communication latency.</t>
  </si>
  <si>
    <t>Blockchain integration ensures data integrity and eliminates single points of failure but increases resource consumption.</t>
  </si>
  <si>
    <t>The survey does not critically analyze the evaluation splits (temporal vs random) of the surveyed papers.</t>
  </si>
  <si>
    <t>การจัดการสินทรัพย์ ICT (IT Asset Management) เป็นพื้นฐานสำคัญในการป้องกันการโจมตีแบบ Targeted Attacks โดยเฉพาะการบังคับใช้ Security Patches</t>
  </si>
  <si>
    <t>เครื่องมือ DTK (Desktop Keeper) ใช้การวิเคราะห์ Log (Log Analysis) แบบ Tabulation เพื่อระบุแนวโน้มความเสี่ยง (Risk Propensity) แต่ไม่ใช่การใช้ AI/ML</t>
  </si>
  <si>
    <t>การป้องกัน Data Leakage ต้องอาศัยการควบคุมอุปกรณ์ (Device Control) ควบคู่กับการบันทึกประวัติการใช้งาน (Operation Logging)</t>
  </si>
  <si>
    <t>บทความนี้เป็น Product Description ไม่มีการทดลองเชิงประจักษ์ (Empirical Evaluation) หรือการวัดผลโมเดล จึงไม่สามารถประเมิน Bias ในบริบทของ ML ได้</t>
  </si>
  <si>
    <t>ขาดการทดลองกับ Dataset มาตรฐาน, ขาดการวัดผล Detection Rate หรือ False Positive, และไม่มีการเปรียบเทียบกับ Baseline อื่นๆ</t>
  </si>
  <si>
    <t>พบว่า 12.89% ของแอปพลิเคชัน 213 ตัวมีการรั่วไหลของข้อมูลส่วนตัว โดย IMEI เป็นข้อมูลที่รั่วไหลบ่อยที่สุด</t>
  </si>
  <si>
    <t>แอปพลิเคชันในหมวด Entertainment มีอัตราการรั่วไหลสูงถึง 40%</t>
  </si>
  <si>
    <t>มัลแวร์ใช้วิธีการตรวจสอบสภาพแวดล้อม (Sandbox fingerprinting) เช่น การตรวจสอบ sensor หรือ emulator artifacts เพื่อหลบเลี่ยงการตรวจจับ (Evasion techniques)</t>
  </si>
  <si>
    <t>การวิเคราะห์อาจเกิด False Negatives เนื่องจากมัลแวร์สามารถตรวจจับสภาพแวดล้อมจำลอง (Emulator) และหยุดทำงานที่เป็นอันตรายได้</t>
  </si>
  <si>
    <t>ขาดการวิเคราะห์ปลายทางของข้อมูลที่รั่วไหล (Destination of leaks) และการทดสอบกับชุดข้อมูลขนาดใหญ่กว่านี้</t>
  </si>
  <si>
    <t>โมเดล Stacked SVM-RF ร่วมกับการเข้ารหัส AES-GCM ให้ความแม่นยำสูงกว่าวิธี PDPChain, CPS และ PPQC ในการตรวจจับภัยคุกคาม</t>
  </si>
  <si>
    <t>AES-GCM มีประสิทธิภาพในการรักษาความปลอดภัยของข้อมูล (Confidentiality &amp; Integrity) โดยมีเวลาการเข้ารหัสและถอดรหัสต่ำกว่าวิธีเปรียบเทียบ</t>
  </si>
  <si>
    <t>การใช้ Merkle Tree ช่วยยืนยันความถูกต้องของข้อมูล (Data Integrity) ใน Blockchain โดยไม่ส่งผลกระทบต่อประสิทธิภาพ</t>
  </si>
  <si>
    <t>การแบ่งข้อมูลแบบ 70:30 ในชุดข้อมูล Network Traffic (UNSW-NB15) โดยไม่ระบุถึงการจัดการเรื่องเวลา (Chronological split) อาจนำไปสู่ Data Leakage เนื่องจากความสัมพันธ์ระหว่าง Packet ใน Flow เดียวกัน</t>
  </si>
  <si>
    <t>ขาดการวิเคราะห์ด้าน Graph-based APT detection ที่แท้จริง (งานนี้ใช้ Merkle Tree เพื่อ storage integrity ไม่ใช่เพื่อการเรียนรู้พฤติกรรม)</t>
  </si>
  <si>
    <t>DLP systems are essential for preventing unauthorized data exfiltration at rest, in motion, and in use.</t>
  </si>
  <si>
    <t>Comparison of commercial DLP vendors (Symantec vs others) shows variation in network monitoring, endpoint protection, and deployment methodology.</t>
  </si>
  <si>
    <t>Challenges in DLP implementation include lack of skilled workforce, integration difficulties (e.g., ICAP errors), and high resource consumption (RAM/Disk) by agents.</t>
  </si>
  <si>
    <t>Not Applicable (No ML experiment conducted).</t>
  </si>
  <si>
    <t>No empirical evaluation of detection algorithms; the paper focuses on feature comparison and deployment challenges.</t>
  </si>
  <si>
    <t>Framework BCFL (Blockchain-Enabled Federated Learning) สามารถทำนายโรคปอด 15 โรคด้วยความแม่นยำ 92.86% บนชุดข้อมูล NIH Chest X-Ray</t>
  </si>
  <si>
    <t>ระบบมีความทนทานต่อการโจมตีทางไซเบอร์ (Double Spending, Transaction Malleability, Endpoint Compromise) ด้วยค่า Resilience metrics ใกล้เคียง 87%</t>
  </si>
  <si>
    <t>การรวม Blockchain ช่วยเพิ่มความโปร่งใส (Transparency) และความน่าเชื่อถือ (Trust) ในกระบวนการ Federated Learning โดยมี Latency ประมาณ 43 ms</t>
  </si>
  <si>
    <t>การประเมินเน้นที่ Medical Imaging classification และการโจมตีต่อ Blockchain infrastructure ไม่ใช่การตรวจจับ APT ใน Network/System logs</t>
  </si>
  <si>
    <t>ขาดการประเมินในบริบทของ Graph-based anomaly detection สำหรับความปลอดภัยไซเบอร์โดยตรง</t>
  </si>
  <si>
    <t>51% of participants used personal information to create passwords, and 31.7% used public Wi-Fi.</t>
  </si>
  <si>
    <t>21.7% of participants had been victims of cybercrimes, but only 29.2% reported the crime to authorities.</t>
  </si>
  <si>
    <t>There is a significant lack of awareness regarding phishing attacks (32.5% had no idea about them).</t>
  </si>
  <si>
    <t>Not applicable to ML evaluation; bias noted in survey demographics (over 50% from west region).</t>
  </si>
  <si>
    <t>N/A (Not an ML/Graph paper).</t>
  </si>
  <si>
    <t>Random Forest ให้ความแม่นยำสูงสุด (99.9%) ในการจำแนกการโจมตี IoT เมื่อเทียบกับ ANN (98.9%) และอัลกอริทึมอื่นๆ</t>
  </si>
  <si>
    <t>ชุดข้อมูล BoTNeTIoT-L01 ช่วยลดความซ้ำซ้อนของฟีเจอร์เมื่อเทียบกับ N-BaIoT รุ่นเก่า ส่งผลให้การฝึกโมเดลเร็วขึ้น</t>
  </si>
  <si>
    <t>การใช้ PCA ช่วยลดมิติข้อมูลและ Noise ซึ่งช่วยปรับปรุงประสิทธิภาพการคำนวณ</t>
  </si>
  <si>
    <t>ผู้เขียนอ้างว่าการทำ Normalization ช่วยป้องกัน Data Leakage แต่ไม่ได้อธิบายกลไกการแบ่ง Train/Test ที่ชัดเจนเพื่อยืนยันเรื่องนี้</t>
  </si>
  <si>
    <t>ขาดการประเมินแบบ Temporal Split และการทดสอบกับ Unknown Attacks (Zero-day scenarios)</t>
  </si>
  <si>
    <t>โมเดล TM-A-DPM มีค่า Information Loss ต่ำกว่าวิธี ACAPPSN และ FBNT ประมาณ 16.4% ใน dataset ต่างๆ</t>
  </si>
  <si>
    <t>เวลาในการประมวลผล (Execution Time) ของ TM-A-DPM น้อยกว่าวิธีเปรียบเทียบเมื่อค่า k (privacy degree) เพิ่มขึ้น</t>
  </si>
  <si>
    <t>การรวมกันระหว่าง Trust Management และ Data Protection ช่วยรักษาความเป็นส่วนตัวพร้อมกับระบุความน่าเชื่อถือในเครือข่ายสังคมออนไลน์</t>
  </si>
  <si>
    <t>การทดลองมุ่งเน้นไปที่ประสิทธิภาพของ Privacy preservation mechanism (Information Loss) มากกว่าประสิทธิภาพของ Detection (Precision/Recall) ทำให้ไม่สามารถประเมินความสามารถในการตรวจจับภัยคุกคามจริงได้</t>
  </si>
  <si>
    <t>ขาดการรายงาน Confusion Matrix, F1-Score, หรือ Accuracy สำหรับการตรวจจับ Sybil/Malware และไม่มีรายละเอียดเรื่อง Training/Testing split</t>
  </si>
  <si>
    <t>Sequential RECORD design method showed a 3.75x area overhead compared to the baseline DES design.</t>
  </si>
  <si>
    <t>Power overhead increased by 4.5x overall (3.1x leakage, 4.5x dynamic).</t>
  </si>
  <si>
    <t>Performance impact was minimal, with only a 3% decrease in timing slack.</t>
  </si>
  <si>
    <t>นำเสนอชุดข้อมูล Hardware Trojans (HT) ระดับ RTL จำนวน 28 ตัว สำหรับโปรเซสเซอร์แบบ Pipeline (mor1kx) เพื่อแก้ไขปัญหาการขาดแคลน benchmark ที่มีความซับซ้อนสมจริง</t>
  </si>
  <si>
    <t>ผลการสังเคราะห์วงจร (Synthesis results) แสดงให้เห็นว่า HT ที่ใส่เข้าไปส่งผลกระทบต่อพื้นที่ (Area) และพลังงาน (Power) น้อยมาก (น้อยกว่า 0.01% หรือ 10^-4) ทำให้ยากต่อการตรวจจับด้วย Side-channel analysis</t>
  </si>
  <si>
    <t>การใส่ HT ในระดับ RTL สามารถหลบเลี่ยงการตรวจสอบด้วย UCI (Unused Circuit Identification) ได้ โดยการออกแบบ Trigger ที่ซับซ้อนและการฝัง Payload ในส่วนที่มีการใช้งานปกติ</t>
  </si>
  <si>
    <t>ผู้เขียนวิจารณ์ว่า Benchmarks ที่มีอยู่เดิม (เช่น บน Trust-Hub) มักใช้โปรเซสเซอร์รุ่นเก่า (8051) ซึ่งไม่สะท้อนความซับซ้อนของอุปกรณ์ฝังตัวสมัยใหม่ ทำให้การตรวจสอบวิธีการตรวจจับ (Detection methods) อาจไม่มีประสิทธิภาพในโลกความเป็นจริง</t>
  </si>
  <si>
    <t>Paper นี้เป็นการสร้าง Dataset จึงไม่มีการประเมิน ML Model หรือ Detection Rate แต่เน้นการวิเคราะห์ Overhead ทางฮาร์ดแวร์</t>
  </si>
  <si>
    <t>การเพิ่มเครดิตความน่าเชื่อถือ (Credibility benefits) และการลดต้นทุนการกำกับดูแล ช่วยส่งเสริมพฤติกรรมที่ดีของทุกฝ่ายในระบบนิเวศ Security Crowdsourcing</t>
  </si>
  <si>
    <t>กลไกการกำกับดูแลแบบร่วมมือ (Collaborative governance) ระหว่างรัฐบาลและแพลตฟอร์มช่วยยับยั้งการซื้อขายช่องโหว่ที่ผิดกฎหมายของนักวิจัยความปลอดภัยได้</t>
  </si>
  <si>
    <t>ระบบนิเวศสามารถเข้าสู่สภาวะเสถียรในอุดมคติ (Ideal stable state) ได้ภายใต้เงื่อนไขพารามิเตอร์ที่เหมาะสม (เช่น ค่าปรับและรางวัลที่สมเหตุสมผล)</t>
  </si>
  <si>
    <t>ไม่สามารถประเมินได้ในบริบทของ ML เนื่องจากเป็นการจำลองสถานการณ์ทางคณิตศาสตร์ (Simulation) ไม่ใช่การทดลองกับ Real-world traffic dataset</t>
  </si>
  <si>
    <t>ขาดการทดสอบกับข้อมูลพฤติกรรมจริงของผู้ใช้งาน (Real-world user behavior data) นอกเหนือจากการใช้ค่าพารามิเตอร์อ้างอิงจากรายงานสถิติ</t>
  </si>
  <si>
    <t>วิธีการสร้าง Fingerprint แบบ compressed hashset และใช้ set difference (Summary Report) สามารถลดปริมาณข้อมูลที่ต้องตรวจสอบและระบุข้อมูลที่รั่วไหลได้แม่นยำกว่าการตรวจสอบ raw traffic ทั้งหมด</t>
  </si>
  <si>
    <t>Levenshtein Distance ให้ความแม่นยำ (Match rate) สูงกว่า TF-IDF ในการเปรียบเทียบข้อมูลที่รั่วไหลกับฐานข้อมูลสำคัญ (98.69% vs 87.99%)</t>
  </si>
  <si>
    <t>การเปรียบเทียบ Fingerprint สามารถทำได้ในเวลาที่เหมาะสมแม้กับฐานข้อมูลขนาดใหญ่</t>
  </si>
  <si>
    <t>การทดลองใช้ชุดข้อมูลสังเคราะห์ (DAPT 2020) ซึ่งอาจไม่สะท้อนความซับซ้อนของ traffic ในโลกจริงได้ทั้งหมด แต่มีการแบ่งเฟสเวลาชัดเจน</t>
  </si>
  <si>
    <t>ขาดการทดสอบกับ Encrypted Traffic และ Real-world APT traffic</t>
  </si>
  <si>
    <t>การวิเคราะห์ Keystroke dynamics ผ่าน encrypted traffic (SSH) สามารถระบุตัวตนผู้ใช้ได้ด้วยความแม่นยำสูงถึง 93.75% ในกลุ่มทดลองขนาดเล็ก</t>
  </si>
  <si>
    <t>การใช้ Cluster Verification ช่วยเพิ่มความแม่นยำในการระบุตัวตนได้อย่างมีนัยสำคัญ (จาก 87.5% เป็น 93.75%)</t>
  </si>
  <si>
    <t>วิธีการจัดกลุ่ม (Clustering) Traffic แบบอัตโนมัติยังไม่สมบูรณ์ โดยเฉพาะเมื่อผู้ใช้พิมพ์เร็วหรือใช้ปุ่มพิเศษ</t>
  </si>
  <si>
    <t>การทดลองทำในสภาวะควบคุมที่มีผู้ใช้เพียง 4 คน และเซสชันจำนวนน้อย ไม่มีการกล่าวถึงการแบ่งข้อมูลเพื่อป้องกัน Overfitting</t>
  </si>
  <si>
    <t>ขาดการเปรียบเทียบกับ Baseline อื่นๆ, ขาดการทดสอบในสเกลใหญ่, และไม่มีการระบุถึงการจัดการ Dataset artifacts</t>
  </si>
  <si>
    <t>คลาวด์คอมพิวติ้งทำให้การควบคุมข้อมูลทำได้ยากขึ้น เนื่องจากข้อมูลถูกจัดการโดยบุคคลที่สามและมีการแชร์ทรัพยากรร่วมกัน</t>
  </si>
  <si>
    <t>การโจมตีหลักในระบบคลาวด์ ได้แก่ Data Breach, DDoS, Malicious Insider และ Insecure APIs ซึ่งเกิดจากช่องโหว่ในการยืนยันตัวตนและการกำหนดค่าที่ผิดพลาด</t>
  </si>
  <si>
    <t>ผู้ใช้งาน (Users) เป็นจุดอ่อนสำคัญในระบบความปลอดภัย เนื่องจากรหัสผ่านที่คาดเดาง่ายหรือความผิดพลาดในการใช้งาน</t>
  </si>
  <si>
    <t>ไม่มีการทดลองเชิงปริมาณ จึงไม่สามารถประเมิน Bias ในการวัดผลโมเดลได้</t>
  </si>
  <si>
    <t>ขาดการนำเสนอโมเดลตรวจจับ, ชุดข้อมูลที่ใช้ทดสอบ และผลลัพธ์เชิงตัวเลข (หัวข้อ 'Experimental Results' เป็นเพียงตารางสรุปประเภทการโจมตี)</t>
  </si>
  <si>
    <t>เครื่องมือ Synaptic สามารถแปลงนโยบายความปลอดภัยจากภาษา Pyretic เป็นโมเดลทางคณิตศาสตร์ (SMT/Automata) เพื่อตรวจสอบความถูกต้องได้</t>
  </si>
  <si>
    <t>การตรวจสอบด้วย Model Checking (nuXmv) มีประสิทธิภาพดีกว่า SMT solving (CVC4/veriT) ในแง่ของการใช้หน่วยความจำเมื่อตรวจสอบ chain ที่มีความซับซ้อนและขนาดใหญ่</t>
  </si>
  <si>
    <t>เวลาในการตอบสนอง (Response time) เพิ่มขึ้นเป็นเส้นตรงตามจำนวนสถานะของ Control Automaton และจำนวน Property ที่ต้องตรวจสอบ</t>
  </si>
  <si>
    <t>การทดลองใช้เพียงข้อมูลสังเคราะห์ (Synthetic chains) ที่สร้างขึ้นเอง ไม่มีการใช้ข้อมูล Traffic จริงหรือ Dataset มาตรฐาน</t>
  </si>
  <si>
    <t>ขาดการทดสอบกับ Real-world topologies หรือ Real attack scenarios</t>
  </si>
  <si>
    <t>นำเสนอแนวทาง CWE-IFT ซึ่งใช้ Information Flow Tracking (IFT) เพื่อวัดความครอบคลุมด้านความปลอดภัย (Security Coverage) โดยอิงจากรายการจุดอ่อนทั่วไป (CWEs)</t>
  </si>
  <si>
    <t>นำเสนอเฟรมเวิร์ก SoFI สำหรับประเมินความเปราะบางต่อการโจมตีแบบ Fault Injection ในระดับ Pre-silicon โดยใช้การจำลองความผิดพลาด (Fault Simulation) บน netlist</t>
  </si>
  <si>
    <t>เสนอมาตรฐาน SA-EDI สำหรับการแลกเปลี่ยนข้อมูลความปลอดภัย (Security Assurance) ระหว่างผู้ผลิต IP และผู้นำไปใช้งาน (Integrator) เพื่อลดความเสี่ยง</t>
  </si>
  <si>
    <t>The paper focuses on methodology and standardization for hardware CAD tools, lacking empirical ML-based evaluation or datasets relevant to APT graph learning.</t>
  </si>
  <si>
    <t>อัลกอริทึม SGD3QN (Stochastic Games + Dueling Double DQN) สามารถหาจุดสมดุล Nash equilibrium สำหรับกลยุทธ์ป้องกันมัลแวร์ใน IoT ได้ดีกว่า DQN และ DDQN แบบดั้งเดิม</t>
  </si>
  <si>
    <t>ขนาดของ Batch Size มีผลต่อความเร็วในการเรียนรู้และความเสถียร โดย Batch Size 32 ให้ผลลัพธ์ที่ดีที่สุดเมื่อเทียบกับ 16 และ 48 ในการทดลองนี้</t>
  </si>
  <si>
    <t>ขนาดของ Replay Memory (Buffer) มีผลสำคัญ โดยขนาดที่เล็กเกินไปทำให้ข้อมูลประสบการณ์หายไปเร็ว (overridden) ส่วนขนาดใหญ่เกินไปอาจขัดขวางการปรับปรุงกลยุทธ์ ขนาด 1e+4 ให้ผลดีที่สุด</t>
  </si>
  <si>
    <t>การประเมินผลทำใน Environment จำลอง (idsgame) โดยวัดผลจากการลู่เข้าของ Reward ใน Episode ท้ายๆ ไม่มีการทดสอบกับข้อมูล Real-world traffic หรือการโจมตีจริงนอกเหนือจากที่กำหนดในเกม</t>
  </si>
  <si>
    <t>ขาดการประเมินความสามารถในการตรวจจับ Unknown attacks (Zero-day) ในสภาพแวดล้อมจริง และไม่ได้วิเคราะห์ Graph-based features ของเครือข่าย IoT อย่างชัดเจน (ใช้ FNN)</t>
  </si>
  <si>
    <t>นำเสนออัลกอริทึม AdaOB (Adaptive Online Bagging) ที่ใช้กลยุทธ์การสุ่มตัวอย่างแบบปรับเปลี่ยนได้ (Adaptive Sampling) โดยคำนึงถึงสัดส่วนคลาสและประสิทธิภาพการจำแนก</t>
  </si>
  <si>
    <t>ใช้กลไกการอัปเดต Ensemble แบบคู่ (Self-updating และ Batch updating) เพื่อจัดการกับ Concept Drift และใช้ SMOTE สำหรับ Background Ensemble</t>
  </si>
  <si>
    <t>การทดลองแสดงให้เห็นว่า AdaOB มีประสิทธิภาพดีกว่าอัลกอริทึมเปรียบเทียบ (เช่น ARF, ROSE) ในด้าน Recall และ G-mean บนข้อมูลที่มีความไม่สมดุลสูงและมีการเปลี่ยน Concept Drift</t>
  </si>
  <si>
    <t>การประเมินผลทำบนข้อมูลแบบ Tabular Stream ไม่ใช่ Graph ดังนั้นข้อกังวลเรื่อง Node/Edge Leakage จึงไม่ถูกกล่าวถึง</t>
  </si>
  <si>
    <t>ขาดการทดลองกับข้อมูล Network Intrusion จริงที่เป็น Graph-based หรือข้อมูลที่มีความสัมพันธ์ซับซ้อนระหว่าง Entity</t>
  </si>
  <si>
    <t>อัลกอริทึม Golden Jackal Optimization (GJO) ช่วยปรับปรุง Feature Selection และ Parameter Tuning ของตัวจำแนก ทำให้มีความแม่นยำสูงขึ้น</t>
  </si>
  <si>
    <t>โมเดลที่เสนอ (GJO-based) มีค่า False Positive Rate (FPR) ต่ำกว่า ClamAV, Suricata และ XGBoost อย่างมีนัยสำคัญ (ประมาณ 0.2 เทียบกับ 0.3-0.5)</t>
  </si>
  <si>
    <t>การจำลองด้วย SUMO แสดงให้เห็นว่าโมเดลสามารถรองรับ Workload ที่หลากหลายและปรับขนาดได้</t>
  </si>
  <si>
    <t>การใช้ 10-fold CV บนชุดข้อมูลจราจรเครือข่ายโดยไม่คำนึงถึงลำดับเวลา อาจทำให้ผลลัพธ์ (Metrics) ดูดีเกินจริงเนื่องจากข้อมูลในอนาคตปนเปื้อนในชุดฝึก</t>
  </si>
  <si>
    <t>ขาดการแบ่งข้อมูลแบบ Temporal split หรือ Campaign-aware split และไม่มีการวิเคราะห์ผลกระทบของ Data Leakage (ในเชิงการทดลอง) อย่างชัดเจน</t>
  </si>
  <si>
    <t>NoiseHopper เป็นช่องทางลับ (Covert Channel) ที่ใช้ PWM-controlled EM emission พร้อม Frequency Hopping เพื่อหลบเลี่ยงการตรวจจับทางสเปกตรัม</t>
  </si>
  <si>
    <t>สามารถส่งข้อมูลได้ระยะไกลประมาณ 5.5 เมตร ทะลุกำแพงหนา 15 ซม. ด้วยอัตราการส่งข้อมูลสูงสุด 100 kbps บนอุปกรณ์ ATmega328P</t>
  </si>
  <si>
    <t>การใช้ Frequency Hopping ทำให้สัญญาณดูเหมือน Noise หรือ Spurious peaks ในสเปกตรัม RF ปกติ ลดโอกาสการถูกตรวจจับเมื่อเทียบกับวิธีเดิม</t>
  </si>
  <si>
    <t>งานวิจัยในปัจจุบันยังขาดฉันทามติ (Consensus) เกี่ยวกับคำจำกัดความของ 'sensitive data' ในบริบททางเทคนิคอย่าง Android</t>
  </si>
  <si>
    <t>นำเสนอคำจำกัดความแบบ Multi-layered: Always-sensitive, Combination-sensitive, Context-sensitive, General-purpose และ Access data</t>
  </si>
  <si>
    <t>การพึ่งพา Android Permission Model เพียงอย่างเดียวไม่เพียงพอต่อการระบุ Sensitive Data เนื่องจาก API บางตัวที่คืนค่า Sensitive Data ไม่ต้องการ Permission</t>
  </si>
  <si>
    <t>การใช้ Batch learning แบบดั้งเดิมและการแบ่งข้อมูลแบบสุ่ม (Hold-out) ทำให้เกิด Data Leakage จากข้อมูลในอนาคตและไม่รองรับ Concept Drift</t>
  </si>
  <si>
    <t>อัลกอริทึม RDCAL ที่ใช้ Class Rectification Strategy (CRS) และ Balanced Window Strategy (BWS) ช่วยปรับปรุงประสิทธิภาพการทำนาย Exploitability ในสถานการณ์ที่มีความไม่สมดุลของข้อมูลแบบพลวัต</t>
  </si>
  <si>
    <t>Concept Drift ในบริบทของ Vulnerability ไม่ใช่แค่ Feature drift แต่รวมถึง Label drift (ช่องโหว่ที่ไม่เคยถูก Exploit อาจถูก Exploit ในภายหลัง)</t>
  </si>
  <si>
    <t>ผู้เขียนระบุชัดเจนว่างานวิจัยก่อนหน้ามี Evaluation Bias สูงเนื่องจากการสมมติว่าการกระจายตัวของข้อมูลคงที่ (Static distribution) และใช้การแบ่ง Train/Test แบบสุ่ม</t>
  </si>
  <si>
    <t>ไม่ได้มีการทดสอบกับข้อมูล Graph-structured โดยตรง (ใช้ Text/Tabular features) จึงไม่มีประเด็นเรื่อง Graph topology leakage</t>
  </si>
  <si>
    <t>Online political participation มีความสัมพันธ์เชิงบวกกับพฤติกรรมการปกป้องความเป็นส่วนตัว (Privacy protection behaviors)</t>
  </si>
  <si>
    <t>Internet efficacy เป็นตัวแปรคั่นกลาง (Mediator) ที่สำคัญในความสัมพันธ์นี้ทั้งในประเทศที่มี Cybersecurity สูงและต่ำ</t>
  </si>
  <si>
    <t>Perceived privacy risk เป็นตัวแปรคั่นกลางเฉพาะในประเทศที่มีระดับ Cybersecurity ต่ำเท่านั้น</t>
  </si>
  <si>
    <t>บทความนี้ไม่มีการทดลองทางเทคนิคด้านความปลอดภัยไซเบอร์ (Technical Experiment) หรือการตรวจจับภัยคุกคามด้วยกราฟ</t>
  </si>
  <si>
    <t>นำเสนอโมเดล CIDD-ADODNN ที่รวม ADASYN (แก้ Imbalance), ADWIN (จับ Drift), และ DNN (จำแนก) เข้าด้วยกัน</t>
  </si>
  <si>
    <t>ADASYN ช่วยเพิ่มประสิทธิภาพการจำแนกข้อมูล Minority class โดยการสร้างข้อมูลสังเคราะห์ตามระดับความยากในการเรียนรู้</t>
  </si>
  <si>
    <t>การปรับ Hyperparameter ด้วย Adadelta (ADO) ช่วยให้ DNN มีความแม่นยำสูงกว่าการใช้ Optimizer ทั่วไป</t>
  </si>
  <si>
    <t>งานวิจัยนี้ทดสอบ Concept Drift แต่กลับใช้ 10-fold Cross Validation ซึ่งปกติจะสุ่มข้อมูล ทำให้ข้อมูลในอนาคตปนกับอดีต (Temporal Leakage) ขัดแย้งกับธรรมชาติของโจทย์ Streaming Data</t>
  </si>
  <si>
    <t>ขาดการประเมินแบบ Prequential หรือ Time-based Hold-out ที่เหมาะสมกับข้อมูล Streaming และไม่มีการระบุชัดเจนว่าทำ Oversampling ภายใน Fold หรือทำกับทั้ง Dataset ก่อนแบ่ง</t>
  </si>
  <si>
    <t>FEXGBIDS มีความแม่นยำในการตรวจจับ (97.26%) ใกล้เคียงกับ XGBoost แบบรวมศูนย์ (97.34%) และดีกว่าวิธีการ Paillier แบบดั้งเดิม</t>
  </si>
  <si>
    <t>การใช้ BatchCrypt และ DDSketch ช่วยลดเวลาในการสร้าง Decision Tree ได้อย่างมีนัยสำคัญ (ปรับปรุงประสิทธิภาพ 65% เมื่อเทียบกับ Paillier Training)</t>
  </si>
  <si>
    <t>การใช้ลายเซ็น BLS มีค่าใช้จ่ายในการตรวจสอบที่ยอมรับได้ (ต่ำกว่า 15 วินาทีสำหรับ 32 participants) และช่วยป้องกันการโจมตีแบบ Spoofing ในกระบวนการ Federated Learning</t>
  </si>
  <si>
    <t>การทดลองใช้ชุดข้อมูล Car Hacking โดยแบ่งเป็น Training และ Testing set ตามจำนวนที่ระบุ แต่ไม่ได้ระบุวิธีการแบ่ง (เช่น ตามเวลา หรือ สุ่ม) ซึ่งอาจทำให้เกิด Temporal Leakage ได้หากเป็นการสุ่ม</t>
  </si>
  <si>
    <t>ขาดการวิเคราะห์ผลกระทบของ Zero-day attacks หรือ Unseen attacks และไม่มีการตรวจสอบเรื่อง Data Leakage ระหว่าง Train/Test ในบริบทของข้อมูลอนุกรมเวลา</t>
  </si>
  <si>
    <t>eddLeak ปรับปรุงความแม่นยำในการตรวจจับการรั่วไหลของข้อมูล (Data Leakage) โดยการเพิ่มเงื่อนไขการตรวจสอบ Permission และ Protection Level เข้าไปในการวิเคราะห์ ICC (Inter-Component Communication)</t>
  </si>
  <si>
    <t>เครื่องมือเดิม (DidFail) เกิด False Positives ในกรณีที่แอปพลิเคชันมีการป้องกันคอมโพเนนต์ด้วย Custom Permission แต่ eddLeak สามารถระบุได้ถูกต้องว่าไม่มีการรั่วไหลเกิดขึ้นเนื่องจากสิทธิ์ไม่ผ่าน</t>
  </si>
  <si>
    <t>ผลการทดสอบบนชุดข้อมูล DroidBench และชุดทดสอบที่สร้างขึ้นเอง (Scenario-based) แสดงให้เห็นว่า eddLeak ลด False Positives ได้ดีกว่า DidFail ในกรณีที่มีการกำหนดสิทธิ์ซับซ้อน</t>
  </si>
  <si>
    <t>การประเมินผลทำบนชุดทดสอบขนาดเล็กมาก (3-5 scenarios) ที่สร้างขึ้นเพื่อทดสอบเงื่อนไขเฉพาะ (Permission logic) จึงอาจไม่สะท้อนความซับซ้อนของแอปพลิเคชันจริง</t>
  </si>
  <si>
    <t>ขาดการทดสอบกับ Large-scale dataset หรือแอปพลิเคชันจริงจาก Google Play Store เพื่อวัด Performance และ False Negative ในวงกว้าง</t>
  </si>
  <si>
    <t>Traditional analysis techniques (static/dynamic) are failing to meet mobile security challenges due to complexity and high costs.</t>
  </si>
  <si>
    <t>AI models improve detection but suffer from limitations in immutability, scalability, and centralization (single point of failure).</t>
  </si>
  <si>
    <t>Blockchain integration offers data immutability, traceability, and decentralized consensus to enhance the integrity of AI-based security analysis.</t>
  </si>
  <si>
    <t>The review identifies a need for 'strong evaluation mechanisms' in crowdsourced/blockchain-based detection to prevent manipulation, but does not discuss statistical evaluation bias (e.g., data leakage) in the underlying AI models.</t>
  </si>
  <si>
    <t>The review does not provide detailed extraction of the experimental setups (splits, datasets) of the reviewed papers, focusing instead on architectural features.</t>
  </si>
  <si>
    <t>งานวิจัยนำเสนอระบบแนะนำงาน (Recommendation System) โดยใช้ Data Mining ร่วมกับมาตรการความปลอดภัยเครือข่ายพื้นฐาน (Encryption, Access Control)</t>
  </si>
  <si>
    <t>การทดสอบเปรียบเทียบอัลกอริทึมของผู้เขียนกับวิธีดั้งเดิม โดยวัดผลด้านเวลาประมวลผลและการบีบอัดข้อมูล พบว่ามีประสิทธิภาพดีกว่าเมื่อข้อมูลมีขนาดใหญ่</t>
  </si>
  <si>
    <t>การวิเคราะห์ความพึงพอใจและตำแหน่งงานพบว่าปัจจัยด้านครอบครัวและถิ่นที่อยู่มีผลต่อการเลือกงานของนักศึกษา</t>
  </si>
  <si>
    <t>การทดสอบใช้วิธีเลือกตัวอย่างแบบเจาะจง (Selected 6 users) และใช้ข้อมูลแบบ 'uniform interval data' ซึ่งอาจไม่เป็นตัวแทนที่ดีของประชากรจริง</t>
  </si>
  <si>
    <t>ขาดการประเมินด้านความปลอดภัยทางไซเบอร์ในเชิงตรวจจับการโจมตี (Attack Detection) ที่เป็นรูปธรรม งานเน้นเพียงประสิทธิภาพของระบบแนะนำ</t>
  </si>
  <si>
    <t>อัลกอริทึมที่นำเสนอ (TS) สามารถลดจำนวน security constraint violations ได้ 0.35% เมื่อเทียบกับวิธี Cluster-based ในกรณี CCR=0.5</t>
  </si>
  <si>
    <t>วิธีการนี้ช่วยลดจำนวน cores ที่ต้องใช้ลงได้ 19.18% เมื่อเทียบกับวิธี baseline</t>
  </si>
  <si>
    <t>การทำ Task Clustering ช่วยลด Schedule Length แต่เพิ่มความเสี่ยงด้านความปลอดภัย (violation of security constraints)</t>
  </si>
  <si>
    <t>งานวิจัยนี้เป็นการแก้ปัญหา Optimization (Task Scheduling) ไม่ใช่งาน Machine Learning สำหรับตรวจจับ APT จึงไม่มีประเด็นเรื่อง Data Leakage หรือ Train/Test Split ในบริบทของ ML</t>
  </si>
  <si>
    <t>ขาดการทดสอบกับ Real-world Hardware Trojan scenarios จริง ๆ เป็นเพียงการจำลองผ่าน Task Graphs</t>
  </si>
  <si>
    <t>อัลกอริทึมการเข้ารหัสที่แข็งแกร่งขึ้น (เช่น AES เทียบกับ DES) และโหมดที่ซับซ้อนขึ้น (CBC เทียบกับ ECB) ช่วยลด Data Leakage (ความสามารถในการจำแนกประเภทข้อความ) ได้อย่างมีนัยสำคัญ</t>
  </si>
  <si>
    <t>แม้จะใช้การเข้ารหัสแบบ CBC (Cipher Block Chaining) และ Key size ขนาดใหญ่ แต่ F1 Score ของการจำแนกประเภทก็ยังไม่เป็นศูนย์ (ประมาณ 25-27% บน AG News) แสดงว่ายังมีการรั่วไหลของ Pattern บางอย่าง</t>
  </si>
  <si>
    <t>ตัวจำแนกประเภท Linear SVM และ Logistic Regression ให้ผลลัพธ์ F1 Score สูงที่สุดในการจำแนกข้อความที่เข้ารหัสด้วย ECB mode</t>
  </si>
  <si>
    <t>การทดลองใช้ Random Split บนชุดข้อมูลข่าวและทวีต ซึ่งอาจมี Correlation ของข้อมูลในเชิงเวลา แต่ไม่ได้ถูกควบคุมในการแบ่งข้อมูล</t>
  </si>
  <si>
    <t>ขาดการวิเคราะห์ผลกระทบของ Time-based split และการตรวจสอบ Data Leakage ในระดับ Experimental setup (เช่น ข้อมูลซ้ำระหว่าง Train/Test)</t>
  </si>
  <si>
    <t>Hardware Trojans can exploit WLUD and NBL circuits in SRAM to cause read/write failures and information leakage.</t>
  </si>
  <si>
    <t>The proposed 'Cache-Out' Trojan evades standard post-manufacturing tests and has negligible area/power overhead (&lt;0.0001% of memory).</t>
  </si>
  <si>
    <t>Proposed countermeasures include L1 address obfuscation, read/write verification, and scrambling ECC bits.</t>
  </si>
  <si>
    <t>Not Applicable (Hardware Simulation Study)</t>
  </si>
  <si>
    <t>Not Applicable for Graph-based APT detection criteria.</t>
  </si>
  <si>
    <t>นำเสนอ Framework ความปลอดภัยไซเบอร์สำหรับธุรกิจเดินเรือโดยใช้ Deep Learning (Informer model) เพื่อตรวจจับการโจมตีเครือข่าย</t>
  </si>
  <si>
    <t>โมเดล Informer ซึ่งใช้กลไก Masked Multi-Head Attention สามารถจับฟีเจอร์ของการโจมตีระยะยาว (Long-term attacks) ได้ดีกว่า</t>
  </si>
  <si>
    <t>ผลการทดลองแสดงค่า Precision และ Recall สูงถึงประมาณ 99% สำหรับการโจมตีส่วนใหญ่ (Benign, DDoS, Hulk, PortScan)</t>
  </si>
  <si>
    <t>การทดลองทำบนสภาพแวดล้อมจำลองที่สร้างขึ้นเอง (Self-generated simulation) และจำนวนตัวอย่างของการโจมตีบางประเภท (Slowhttptest, slowloris) มีน้อยมากเมื่อเทียบกับประเภทอื่น</t>
  </si>
  <si>
    <t>ขาดการเปรียบเทียบกับ Baseline อื่นๆ อย่างชัดเจน และขาดรายละเอียดเรื่องการแบ่งข้อมูลเพื่อป้องกัน Time-based leakage</t>
  </si>
  <si>
    <t>Data Leakage Prevention (DLP) สามารถแบ่งได้เป็น Content-based (fingerprinting, regex, statistical) และ Context-based (metadata, behavior)</t>
  </si>
  <si>
    <t>เทคนิค Context analysis ถูกเสนอว่าเป็นทิศทางในอนาคตเพื่อลด False positives แต่ยังยากที่จะระบุ Semantic ของข้อมูลที่เปลี่ยนแปลงไป (Data modification)</t>
  </si>
  <si>
    <t>การวิเคราะห์พฤติกรรมมนุษย์ (Social and behaviour analysis) โดยใช้กราฟ (DAGs, Social Networks) เริ่มถูกนำมาใช้เพื่อตรวจจับ Insider Threats และ Anomalies</t>
  </si>
  <si>
    <t>บทความระบุว่างานวิจัยที่ถูกรีวิวบางส่วนมีการประเมินแบบ Subjective (เช่น ให้ผู้ใช้เลือกอีเมลที่รั่วไหลเอง) และใช้ Dataset ที่จำกัด (Enron)</t>
  </si>
  <si>
    <t>ขาดการกล่าวถึงมาตรฐานการแบ่งข้อมูล (Split Strategy) หรือ Sampling Strategy ที่ชัดเจนในงานที่ถูกรีวิว</t>
  </si>
  <si>
    <t>ความเสี่ยงหลักของ Conversational AI ได้แก่ การโจมตี NLP model, data breaches, และการละเมิดความเป็นส่วนตัว (Privacy violations)</t>
  </si>
  <si>
    <t>มาตรการบรรเทาความเสี่ยง (Mitigation strategies) รวมถึงการใช้การเข้ารหัส (Encryption), การยืนยันตัวตน (Authentication), และการตรวจสอบพฤติกรรมผู้ใช้ (User behavior monitoring)</t>
  </si>
  <si>
    <t>การตรวจจับภัยคุกคาม (Threat detection) สามารถใช้ Machine Learning เพื่อวิเคราะห์พฤติกรรมที่ผิดปกติ (Anomaly detection) และ Signature-based detection</t>
  </si>
  <si>
    <t>ไม่มีการทดลองหรือการประเมินผลแบบจำลองในบทความนี้</t>
  </si>
  <si>
    <t>ขาดการทดลองกับชุดข้อมูลจริง การอภิปรายเรื่อง Graph-based detection และรายละเอียดการแบ่งข้อมูล (Data Splitting)</t>
  </si>
  <si>
    <t>Malware ที่พัฒนาขึ้นสามารถดักจับรูปภาพและส่งไปยัง Dropbox ของผู้โจมตีได้สำเร็จโดยไม่แจ้งเตือนผู้ใช้</t>
  </si>
  <si>
    <t>เครื่องมือ XRY Forensic Toolkit สามารถดึงข้อมูลแอปพลิเคชันได้ แต่ไม่สามารถระบุได้ว่าเป็น Malware และไม่พบข้อมูลบัญชี Dropbox ของผู้โจมตีในการทำ Physical extraction</t>
  </si>
  <si>
    <t>การลบรูปภาพออกจากอุปกรณ์ (Camera) ไม่มีผลต่อรูปภาพที่ถูกส่งขึ้น Cloud ไปแล้ว ซึ่งยังคงค้างอยู่ในบัญชี Dropbox ของผู้โจมตี</t>
  </si>
  <si>
    <t>ขาดการทดสอบกับระบบตรวจจับ Malware (Antivirus) อื่นๆ หรือการทดสอบในวงกว้าง (ใช้เพียงอุปกรณ์เดียวและสถานการณ์จำลองเดียว)</t>
  </si>
  <si>
    <t>โมเดลที่นำเสนอ (CSDI + XGBoost) ให้ค่า Accuracy และ Recall สูงกว่าโมเดลพื้นฐาน (Standard XGBoost, Ensemble, SVM) อย่างมีนัยสำคัญบนชุดข้อมูล Credit Card และ Twitter Spam</t>
  </si>
  <si>
    <t>โมเดลมีความทนทานต่อ Concept Drift โดยสามารถรักษาค่า F-measure ให้คงที่ตลอดระยะเวลา 5 วันของการทดสอบ ในขณะที่โมเดลเปรียบเทียบ (MDDT+XGB) มีประสิทธิภาพลดลงเมื่อเวลาผ่านไป</t>
  </si>
  <si>
    <t>การใช้ Two-layer cross-validation ช่วยในการคัดเลือกฟีเจอร์ที่เหมาะสมสำหรับข้อมูลที่มีความไม่สมดุล (Class Imbalance)</t>
  </si>
  <si>
    <t>การทดสอบใช้ Cross-validation เพื่อปรับจูนพารามิเตอร์ แต่ในการวัดผล Drift ใช้การจำลองแบบ Streaming ตามเวลา (Days) ซึ่งถือว่าเหมาะสมกับโจทย์</t>
  </si>
  <si>
    <t>ไม่มีการระบุถึงการจัดการ Entity overlap ระหว่าง train/test sets อย่างชัดเจน (เช่น ผู้ใช้คนเดิมใน Twitter ปรากฏทั้งสองชุดหรือไม่)</t>
  </si>
  <si>
    <t>การโจมตีด้วยมัลแวร์ส่งผลให้เกิดการรั่วไหลของข้อมูล โดยระยะเวลาการรั่วไหลขึ้นอยู่กับจำนวนเครื่องที่ถูกโจมตี (เช่น 4 เครื่องใช้เวลา 70 วินาที, 10 เครื่องใช้เวลา 150 วินาที)</t>
  </si>
  <si>
    <t>อัลกอริทึม Trust Score ที่เสนอ (ใช้ SPD, EL, ND) สามารถช่วยระบุอุปกรณ์ที่ถูกโจมตีและแยกแยะออกจากอุปกรณ์ปกติได้ในสภาพแวดล้อมจำลอง</t>
  </si>
  <si>
    <t>การใช้โปรโตคอล Authentication แบบใหม่ร่วมกับ Secure Element (W76S) ช่วยลดความเสี่ยง แต่การโจมตี DoS ยังคงส่งผลกระทบต่อระบบได้</t>
  </si>
  <si>
    <t>การประเมินผลทำผ่านการจำลองสถานการณ์ (Simulation) บนซอฟต์แวร์ AnyLogic โดยไม่มีการเปรียบเทียบกับวิธีอื่น (Baselines) หรือใช้ Dataset มาตรฐาน ทำให้ยากต่อการวัดประสิทธิภาพที่แท้จริง</t>
  </si>
  <si>
    <t>ขาดการใช้ Real-world dataset, ขาดการเปรียบเทียบกับ State-of-the-art methods อื่นๆ, และไม่มีรายละเอียดเกี่ยวกับ False Positive/Negative rates ของอัลกอริทึม Trust Score</t>
  </si>
  <si>
    <t>ระบบ IIDS ที่นำเสนอใช้ CGAN สร้างข้อมูลสังเคราะห์เพื่อแก้ปัญหาข้อมูลไม่สมดุล และใช้ LightGBM ในการจำแนกการโจมตี</t>
  </si>
  <si>
    <t>โมเดลทำความแม่นยำ (Accuracy) ได้ 87.32% และ AUC 0.9478 บนชุดข้อมูล RT-IoT2022</t>
  </si>
  <si>
    <t>การลบฟีเจอร์ระบุตัวตน (IP, Timestamp) และข้อมูลซ้ำซ้อน (Duplicates) เป็นขั้นตอนสำคัญในการเตรียมข้อมูลเพื่อลด Bias</t>
  </si>
  <si>
    <t>การใช้ Random Split บนข้อมูล IoT Network Traffic อาจทำให้ข้อมูลจาก Flow เดียวกันกระจายอยู่ในทั้ง Train และ Test set</t>
  </si>
  <si>
    <t>ขาดการเปรียบเทียบกับ Baseline อย่างละเอียดในตารางผลลัพธ์ และไม่มีการประเมินแบบ Time-aware</t>
  </si>
  <si>
    <t>FREDY สามารถป้องกัน Membership Inference Attacks ได้โดยลดประสิทธิภาพการโจมตีลงเหลือระดับการเดาสุ่ม (Random guess) เมื่อใช้ค่า noise parameter (epsilon) ที่เหมาะสม (0.2)</t>
  </si>
  <si>
    <t>การใช้ Federated Learning ร่วมกับ Differential Privacy (PATE) ทำให้เกิด Knowledge Transfer จาก private data ไปยัง public student model ได้โดยสูญเสีย Accuracy เล็กน้อย (~4-6%)</t>
  </si>
  <si>
    <t>การเพิ่ม Noise ช่วยป้องกันความเป็นส่วนตัวแต่แลกมาด้วยเวลาในการเทรนที่นานขึ้น (Computational overhead) และความแม่นยำที่ลดลงหาก Noise มากเกินไป</t>
  </si>
  <si>
    <t>การทดลองทำบนชุดข้อมูล Image (CIFAR-10, MNIST) ซึ่งเป็น i.i.d. ไม่สะท้อนความซับซ้อนของ APT หรือ Security Graph ที่มีความสัมพันธ์ของ Entitiy และเวลา</t>
  </si>
  <si>
    <t>ขาดการทดสอบกับชุดข้อมูลด้านความปลอดภัยจริงๆ (เช่น Malware หรือ Network Intrusion) และไม่มีการวิเคราะห์ Graph structure</t>
  </si>
  <si>
    <t>โมเดล FL-MGAN มีประสิทธิภาพสูงกว่า Transformer และ MG (แบบ Standalone) บนชุดข้อมูล CIC-IoT-2023 (F1 Score 0.9600)</t>
  </si>
  <si>
    <t>การใช้ Data Augmentation ด้วย MGAN ช่วยเพิ่ม F1 Score จาก 0.7296 (ไม่ใช้) เป็น 0.9599 (ใช้)</t>
  </si>
  <si>
    <t>Federated Learning ช่วยรักษาความเป็นส่วนตัวของข้อมูลโดยให้ Client เทรนและเก็บข้อมูลไว้ที่เครื่องตัวเอง</t>
  </si>
  <si>
    <t>ไม่มีการกล่าวถึงการแบ่งข้อมูลตามเวลา (Chronological Split) หรือการป้องกันข้อมูลซ้ำซ้อน (Decontamination) ระหว่าง Train/Test ซึ่งเป็นประเด็นสำคัญในงานวิจัย IDS</t>
  </si>
  <si>
    <t>ขาดรายละเอียดเรื่อง Split Ratios, Validation Set, และการทดสอบข้ามเวลา (Temporal Consistency)</t>
  </si>
  <si>
    <t>ระบุภัยคุกคามหลัก 14 ประเภทใน Transactive Energy Markets (TEMs) เช่น Market attacks, FDI, SPOF, และ Energy usage data leakage</t>
  </si>
  <si>
    <t>พบว่าการป้องกัน Privacy มักขัดแย้งกับความต้องการ Traceability และ Dispute resolution ในตลาดพลังงาน</t>
  </si>
  <si>
    <t>งานวิจัยส่วนใหญ่อยู่ในขั้นตอน Proof-of-concept และขาดการนำไปใช้จริง (Real-world deployment) ทำให้ขาดข้อมูลเชิงประจักษ์เกี่ยวกับความเป็นไปได้ของการโจมตี</t>
  </si>
  <si>
    <t>Keyboard LEDs (Caps-Lock, Num-Lock, Scroll-Lock) สามารถใช้ส่งข้อมูลจากเครื่อง Air-gapped ได้สูงถึง 3000 bit/sec หากใช้ light sensor.</t>
  </si>
  <si>
    <t>หากใช้กล้อง Smartphone เป็นตัวรับสัญญาณ ความเร็วในการส่งข้อมูลจะอยู่ที่ประมาณ 120 bit/sec หรือมากกว่า</t>
  </si>
  <si>
    <t>การโจมตีนี้ไม่ต้องมีการดัดแปลง Hardware หรือ Firmware ของคีย์บอร์ด ใช้เพียง Malware ระดับ User space หรือ Kernel</t>
  </si>
  <si>
    <t>บทความนี้เป็นการทดลองเชิงฟิสิกส์ (Physical Channel) ไม่ใช่การประเมิน Model ตรวจจับ (Detection) จึงไม่มี Bias ด้าน Data Leakage ในบริบทของ ML</t>
  </si>
  <si>
    <t>ขาดการทดสอบในสภาพแวดล้อมที่มีการใช้งานจริง (User interaction) อย่างหนักหน่วง หรือการทดสอบระบบตรวจจับ (Detection system)</t>
  </si>
  <si>
    <t>การใช้ System Call Activity Graph สามารถแสดงเส้นทางการรั่วไหลของข้อมูล (Data Leakage) จากแหล่งข้อมูล (Source) ไปยังเครือข่าย (Sink) ได้ชัดเจนกว่า API-based approach</t>
  </si>
  <si>
    <t>เครื่องมือสามารถตรวจจับการรั่วไหลของข้อมูลในแอปพลิเคชันทดสอบทั้ง 5 ตัว (Home-brewed และ Malware จริง) ผ่านการตรวจสอบ IP ปลายทาง</t>
  </si>
  <si>
    <t>การแสดงผลแบบกราฟช่วยลดความซับซ้อนของข้อมูล (Cognition-friendly) และช่วยทลายมุมมองแบบ Black-box ของแอปพลิเคชันมือถือ</t>
  </si>
  <si>
    <t>การประเมินผลทำในลักษณะ Case Study กับแอปพลิเคชันจำนวนน้อย (N=5) และไม่มีการกล่าวถึง False Positives กับแอปพลิเคชันปกติ</t>
  </si>
  <si>
    <t>ขาดการวัดผลเชิงปริมาณ (Precision/Recall), ขาด Dataset ขนาดใหญ่, และไม่มีการทดสอบกับ Benign Apps</t>
  </si>
  <si>
    <t>IoT and ICS environments require passive monitoring due to critical infrastructure implications where active scanning is discouraged.</t>
  </si>
  <si>
    <t>Raspberry Pi with Python provides a low-cost (&lt;$50) and flexible solution for creating a passive IoT/ICS sensor.</t>
  </si>
  <si>
    <t>Effective monitoring requires capturing standard protocols (Ethernet, ARP, IP, TCP, UDP, ICMP) to baseline behavior.</t>
  </si>
  <si>
    <t>Not Applicable (No experimental evaluation presented in the provided text).</t>
  </si>
  <si>
    <t>Missing rigorous experimental design, dataset splitting, or graph-based modeling performance metrics.</t>
  </si>
  <si>
    <t>RF-FedAvg ให้ความแม่นยำสูงกว่า DNN-FedAvg ในบริบทที่มี Client น้อย (2-5 nodes) และใช้ทรัพยากรน้อยกว่า</t>
  </si>
  <si>
    <t>การใช้เทคนิค SMOTE เพื่อแก้ปัญหาข้อมูลไม่สมดุล (Imbalance) ให้ผลลัพธ์ดีกว่า RUS (Random Under Sampling) อย่างมีนัยสำคัญ</t>
  </si>
  <si>
    <t>การรวมโมเดลแบบ Weighted Ensemble Aggregation ช่วยให้ Global Model มีความทนทานต่อ Non-IID data มากกว่าการเฉลี่ยธรรมดา</t>
  </si>
  <si>
    <t>การทดลองใช้ Random Split 80-20 บนข้อมูล UNSW-NB15 และ WSN-DS โดยไม่ได้กล่าวถึงการแยกตามเวลา (Chronological Split) ซึ่งอาจทำให้ผลลัพธ์ดูดีเกินจริงเนื่องจากความคล้ายคลึงของ Packet ที่ต่อเนื่องกัน</t>
  </si>
  <si>
    <t>ขาดการประเมินแบบ Temporal Split และการทดสอบกับ Unknown Attacks ในเฟสทดสอบ</t>
  </si>
  <si>
    <t>วิธีการ EGGV สามารถกู้คืนข้อมูลภาพได้ครบทั้ง Batch (100% coverage) ซึ่งต่างจากวิธีเดิม (Fishing, SEER) ที่กู้ได้เพียงภาพเดียว</t>
  </si>
  <si>
    <t>การวิเคราะห์เชิงทฤษฎีเปรียบเทียบ Gradient Leakage Attacks (AGLAs) ว่าคล้ายกับการโจมตีแบบ Backdoor ที่บิดเบือน Gradient Space</t>
  </si>
  <si>
    <t>EGGV มีความแนบเนียนสูง (High Stealthiness) โดยค่า D-SNR ใกล้เคียงกับโมเดลปกติ ทำให้ยากต่อการตรวจจับ</t>
  </si>
  <si>
    <t>งานวิจัยระบุว่าวิธีโจมตีแบบ Passive เดิมพึ่งพาการ Initialize โมเดลที่ไม่สมจริง (Unfavorable position) ทำให้ผลลัพธ์ในการทดลองจริงไม่ดีเท่าที่ควร</t>
  </si>
  <si>
    <t>งานวิจัยก่อนหน้าไม่ได้ทดสอบผลกระทบของ Distributional Shift ระหว่างข้อมูล Auxiliary และ Target อย่างเพียงพอ</t>
  </si>
  <si>
    <t>MeeMo ใช้ฮาร์ดแวร์ MTM (Mobile Trusted Module) เพื่อตรวจสอบความถูกต้อง (integrity) ของระบบและแอปพลิเคชัน โดยสามารถตรวจจับมัลแวร์ได้จากการเปรียบเทียบค่า integrity</t>
  </si>
  <si>
    <t>ระบบสามารถตรวจจับ system-level attacks และมัลแวร์ใหม่ที่ไม่มี signature ได้ เนื่องจากใช้วิธี integrity measurement แทน signature-based detection</t>
  </si>
  <si>
    <t>การทดสอบแสดงให้เห็นว่าเมื่อมีการเปลี่ยนแปลงค่า integrity อย่างผิดกฎหมาย ระบบจะแจ้งเตือนไปยัง MDM server ทันที</t>
  </si>
  <si>
    <t>การประเมินผลเป็นแบบ Functional testing (ทำได้/ไม่ได้) บน Prototype ไม่มีการวัดผลเชิงสถิติ (Accuracy/Recall) หรือใช้ Dataset มาตรฐาน</t>
  </si>
  <si>
    <t>ขาดการระบุ Dataset ที่ชัดเจน, ไม่มี Metrics เชิงปริมาณ, และไม่มีการเปรียบเทียบกับวิธีอื่นในเชิงสถิติ</t>
  </si>
  <si>
    <t>การทำ Feature Selection และ Normalization บนข้อมูลทั้งหมดก่อนแบ่ง Train/Test (Data Leakage) ทำให้ค่าความแม่นยำสูงเกินจริง (Overestimation) ถึงระดับ 99% ในเกือบทุกโมเดล</t>
  </si>
  <si>
    <t>เมื่อทำการแบ่งข้อมูลก่อน Feature Selection (Experiment 2) ประสิทธิภาพของโมเดลลดลงอย่างมีนัยสำคัญ โดยเฉพาะ RNN และ GRU ที่ Accuracy ลดลงเหลือประมาณ 74-77%</t>
  </si>
  <si>
    <t>โมเดล XGBM, MLP และ DNN มีความทนทานต่อผลกระทบของ Data Leakage มากกว่า เมื่อเทียบกับ DT, ET, RNN และ GRU ที่มีความผันผวนสูง</t>
  </si>
  <si>
    <t>การรั่วไหลของข้อมูล (Data Leakage) ส่งผลให้เกิดอคติในการวัดผลอย่างรุนแรง โดยเฉพาะในโมเดล Deep Learning (RNN/GRU) ที่จดจำ Pattern จาก Test set ได้ง่าย</t>
  </si>
  <si>
    <t>ขาดการประเมินแบบ Temporal Split หรือ Time-aware evaluation ทั้งที่ข้อมูล IoT มีลักษณะเป็น Time-series และขาดการวิเคราะห์ Statistical Significance ของผลลัพธ์</t>
  </si>
  <si>
    <t>ระบบ PBS/APBS สามารถระบุไฟล์ที่มีความสำคัญ (Critical Files) จากแพ็กเก็ตได้โดยไม่ต้องประกอบแพ็กเก็ตใหม่ (Reassembly) แม้โปรโตคอลจะไม่เป็นที่รู้จัก</t>
  </si>
  <si>
    <t>การใช้ Bloom Filter และ Inverted Index ช่วยลดการใช้ทรัพยากรและรองรับ Scalability ได้ดีกว่าการเปรียบเทียบแบบ Pairwise</t>
  </si>
  <si>
    <t>APBS ลด False Positives และ False Negatives ได้เกือบเป็นศูนย์ในการทดลอง โดยใช้กลยุทธ์ Threshold สองระดับ</t>
  </si>
  <si>
    <t>การประเมินแยกกรณี Identical, Similar (Variants/Versions), และ Different ชัดเจน ทำให้เห็นประสิทธิภาพในกรณีที่ไฟล์มีการเปลี่ยนแปลงเล็กน้อย</t>
  </si>
  <si>
    <t>ไม่มีการเปรียบเทียบกับวิธี Graph-based หรือ Deep Learning อื่นๆ เนื่องจากเน้นวิธี Non-ML (Indexing/Hashing)</t>
  </si>
  <si>
    <t>นำเสนอ HarTBleed ซึ่งเป็น Hardware Trojan ที่ใช้ตัวเก็บประจุ (capacitor-based) ฝังใน CPU เพื่อโจมตีและขโมยข้อมูลผ่าน TLB</t>
  </si>
  <si>
    <t>จากการจำลองวงจร Trojan trigger สามารถหลบเลี่ยงการตรวจสอบหลังการผลิต (post-silicon testing) ได้ภายใต้ความแปรปรวนของกระบวนการผลิตและอุณหภูมิ</t>
  </si>
  <si>
    <t>การโจมตีสามารถขโมยข้อมูลจากกระบวนการอื่น (Kernel, Shared memory) ได้สำเร็จในการจำลองด้วย GEM5</t>
  </si>
  <si>
    <t>Not Applicable (Not an ML paper)</t>
  </si>
  <si>
    <t>การบูรณาการหัวข้อ Cybersecurity เข้ากับหลักสูตรการฝึกอบรมครูวิทยาการคอมพิวเตอร์ช่วยพัฒนาสมรรถนะทางวิชาชีพ การคิดเชิงวิพากษ์ และทักษะด้านจริยธรรม</t>
  </si>
  <si>
    <t>วิธีการสอนที่เน้นการปฏิบัติ (Practice-oriented) เช่น การใช้ห้องปฏิบัติการเสมือน (Virtual Labs) และกรณีศึกษา (Case Studies) มีประสิทธิภาพสูงในการเตรียมความพร้อมสำหรับภัยคุกคามจริง</t>
  </si>
  <si>
    <t>อุปสรรคสำคัญคือการขาดแคลนหลักสูตรเฉพาะทาง (Specialised courses) และความจำเป็นในการปรับปรุงหลักสูตรให้ทันต่อภัยคุกคามที่เปลี่ยนแปลงอย่างรวดเร็ว</t>
  </si>
  <si>
    <t>นำเสนอโจทย์การแข่งขัน ICCAD 2025 สำหรับการตรวจจับ Hardware Trojan ในระดับ Gate-Level Netlist โดยไม่ต้องใช้ Golden Reference</t>
  </si>
  <si>
    <t>ชุด Benchmark ประกอบด้วยวงจรที่มี Trojan 20 วงจร (10 types) และวงจร Trojan-free 10 วงจร โดยอ้างอิงจาก Trust-Hub</t>
  </si>
  <si>
    <t>การประเมินผลใช้ค่า F1 Score สำหรับการระบุตำแหน่ง Gate ที่เป็น Trojan และใช้ความถูกต้อง (Correctness) ในการจำแนกประเภท Netlist</t>
  </si>
  <si>
    <t>เอกสารเป็น Problem Description ไม่ใช่ Experimental Paper จึงไม่มี Bias ในเชิงการทดลอง แต่มีการกำหนดกฎเกณฑ์การประเมินที่ชัดเจน</t>
  </si>
  <si>
    <t>ไม่มีผลการทดลอง Baseline เนื่องจากเป็นการประกาศโจทย์แข่งขัน</t>
  </si>
  <si>
    <t>Click rate ของแคมเปญ Phishing อยู่ที่ 69.4% และ Data submission rate อยู่ที่ 49.0%</t>
  </si>
  <si>
    <t>เวลาเฉลี่ยในการตอบสนอง (Response time) ของเป้าหมายคือ 20 นาที (เร็วสุด 25 วินาที, ช้าสุด 203 นาที)</t>
  </si>
  <si>
    <t>แม้ทีม IT จะตอบสนองภายใน 15 นาทีหลังอีเมลฉบับแรก แต่ความเสียหายอาจเกิดขึ้นแล้วเนื่องจากผู้ใช้คลิกเร็วมาก</t>
  </si>
  <si>
    <t>นำเสนอกรอบการทำงานสำหรับการบริหารความเสี่ยงภัยคุกคามไซเบอร์ (Cyber Threats Risk Management Capability) ที่เน้นการบูรณาการระหว่างบุคลากร กระบวนการ และเทคโนโลยี</t>
  </si>
  <si>
    <t>ระบุว่าโมเดลความปลอดภัยแบบดั้งเดิมล้าสมัยและองค์กรต้องเปลี่ยนจากการตั้งรับ (Reactive) เป็นเชิงรุก (Proactive) โดยใช้ Cyber Intelligence</t>
  </si>
  <si>
    <t>การจัดการความเสี่ยงต้องรวมถึงการติดตามเหตุการณ์ (Monitoring) และการกำหนดตัวชี้วัดประสิทธิภาพ (KPIs) ที่ชัดเจน</t>
  </si>
  <si>
    <t>ไม่มีการทดลอง จึงไม่พบ Bias ในการประเมินผลเชิงปริมาณ</t>
  </si>
  <si>
    <t>ไม่มีการทดสอบโมเดลกับชุดข้อมูลจริง หรือการเปรียบเทียบประสิทธิภาพกับวิธีอื่น</t>
  </si>
  <si>
    <t>ระบุความท้าทายด้านความปลอดภัย 8 ประการของ RPA/IA โดยประเด็นที่มีการกล่าวถึงมากที่สุดคือ Logging, Auditing และ Access Control</t>
  </si>
  <si>
    <t>เสนอแนะว่าเทคโนโลยี Blockchain (BC) มีศักยภาพในการแก้ไขปัญหาเรื่อง Logging และ Auditing เพื่อป้องกัน Data leakage และ Digital fraud</t>
  </si>
  <si>
    <t>พบว่างานวิจัยด้าน RPA security ส่วนใหญ่เน้นด้านการจัดการ (Managerial) และยังขาดงานวิจัยในเชิงเทคนิค (Technical perspective)</t>
  </si>
  <si>
    <t>ระบบ Ensemble KNN ที่นำเสนอสามารถตรวจจับการโจมตีหายาก (R2L และ U2R) ได้แม่นยำสูง (Detection rate สูงถึง 96.65% และ 100% ตามลำดับ)</t>
  </si>
  <si>
    <t>การแบ่งข้อมูล Training ออกเป็นกลุ่มย่อยตามคลาส (Divide-and-conquer) ช่วยลดผลกระทบจาก Majority Class ที่มีจำนวนมากกว่า</t>
  </si>
  <si>
    <t>การใช้ Auxiliary KNN ช่วยกระจายข้อมูล (Redistributor) ก่อนส่งเข้า Master KNN ช่วยเพิ่มประสิทธิภาพในการจำแนก</t>
  </si>
  <si>
    <t>การทดลองใช้ชุดข้อมูล NSL-KDD ซึ่งเป็นข้อมูลเก่าและมักมีปัญหาเรื่อง Artificial patterns โดยไม่มีการทดสอบกับ Real-time traffic หรือ Temporal scenarios</t>
  </si>
  <si>
    <t>ขาดการวิเคราะห์เรื่อง Explainability เชิงลึก และไม่มีการทดสอบความทนทานต่อ Adversarial Attacks หรือ Concept Drift</t>
  </si>
  <si>
    <t>การใช้ Time-series features ร่วมกับ Domain features ผ่าน LSTM-AE สามารถตรวจจับ DNS Data Leakage ได้ดีกว่าวิธี Machine Learning ทั่วไป</t>
  </si>
  <si>
    <t>LSTM-AE มีประสิทธิภาพในการแยกแยะ malicious domains ที่มีการรั่วไหลของข้อมูลแบบ low throughput ได้ดี</t>
  </si>
  <si>
    <t>การใช้ Reconstruction Error (MSE) เป็นเกณฑ์ในการตัดสินใจ (Thresholding) สามารถแยก traffic ปกติและผิดปกติออกจากกันได้</t>
  </si>
  <si>
    <t>การทดลองใช้ข้อมูล Malicious ที่สร้างขึ้นเอง (Generated) ผสมกับข้อมูล Benign (Alexa) ซึ่งอาจง่ายกว่าความเป็นจริง และคำว่า 'Data Leakage' ในบทความหมายถึงประเภทการโจมตี ไม่ใช่ปัญหาทาง ML Evaluation</t>
  </si>
  <si>
    <t>ขาดการระบุวิธีการแบ่งข้อมูล (Train/Test Split) ที่ชัดเจน และไม่ได้เปรียบเทียบกับ Graph-based methods</t>
  </si>
  <si>
    <t>DocGuard สามารถหยุดการแพร่กระจายของไฟล์ที่รั่วไหลได้เกือบ 100% ในระยะเริ่มต้นโดยใช้ signatures ของ malware ปลอม</t>
  </si>
  <si>
    <t>ในการจำลองบนเครือข่ายสังคม (Facebook, Epinions, Slashdot) การใช้ DocGuard ช่วยลดจำนวน nodes ที่เข้าถึงไฟล์ที่รั่วไหลได้อย่างมีนัยสำคัญ เมื่อเทียบกับไม่มีการป้องกัน</t>
  </si>
  <si>
    <t>ประสิทธิภาพในการหยุดการแพร่กระจายขึ้นอยู่กับความหนาแน่นของกราฟ (Density) และสัดส่วนของเครื่องที่มี AV ติดตั้งอยู่ (parameter x)</t>
  </si>
  <si>
    <t>งานวิจัยนี้เป็นการจำลองการแพร่กระจาย (Epidemic simulation) ไม่ใช่การเรียนรู้ด้วยเครื่อง (Machine Learning) จึงไม่มีประเด็นเรื่อง Data Leakage ในบริบทของ Training/Testing set</t>
  </si>
  <si>
    <t>ขาดการทดสอบกับสถานการณ์ APT ที่ซับซ้อนจริง หรือการทดสอบผลกระทบต่อ False Positives ในสภาพแวดล้อมจริงนอกเหนือจากการจำลอง</t>
  </si>
  <si>
    <t>นำเสนอ DAT detectors ที่แปลงข้อมูลการสื่อสารเป็น feature vectors ทางสถิติ (descriptive analytics) เพื่อตรวจจับ covert channels</t>
  </si>
  <si>
    <t>ใช้เทคนิค statistical multimodality และ autocorrelation เพื่อแยกแยะพฤติกรรมผิดปกติใน TCP/IP headers</t>
  </si>
  <si>
    <t>การทดลองใช้ dataset ผสมระหว่าง LBNL/ICSI (ปกติ) และ covert channels ที่สร้างจำลองขึ้นเอง พบว่าสามารถตรวจจับได้โดยไม่มี False Negatives ในชุดทดสอบ</t>
  </si>
  <si>
    <t>การประเมินผลทำบนชุดข้อมูลที่สร้างขึ้นโดยการฉีด (inject) ทราฟฟิกโจมตีสังเคราะห์เข้าไปในทราฟฟิกปกติ ซึ่งอาจสร้าง artifacts ที่ทำให้จำแนกได้ง่ายเกินจริง และไม่มีการระบุถึงการแบ่งข้อมูล Train/Test ที่ชัดเจนสำหรับส่วน pattern matching</t>
  </si>
  <si>
    <t>ขาดการเปรียบเทียบกับ Baseline อื่นๆ อย่างชัดเจน และไม่มีการประเมินแบบ Temporal split เพื่อดูความคงทนต่อ concept drift</t>
  </si>
  <si>
    <t>Random Under-sampling ร่วมกับ Decision Tree (DT) ให้ค่า ROC-AUC สูงสุดที่ 94%</t>
  </si>
  <si>
    <t>Random Over-sampling และ Hybrid Sampling ช่วยปรับปรุงประสิทธิภาพของ KNN จาก ROC-AUC 62% เป็น 87%</t>
  </si>
  <si>
    <t>การจัดการปัญหา Imbalanced Dataset ผ่าน Resampling ช่วยเพิ่ม Detection Rate ของ Minority Class (Malicious) ได้อย่างมีนัยสำคัญเมื่อเทียบกับ Baseline</t>
  </si>
  <si>
    <t>การแบ่งข้อมูลแบบ Random Split 70/30 บนข้อมูล CMU CERT ซึ่งเป็น Time-series และ User-centric อาจทำให้เกิด Data Leakage (นำข้อมูลอนาคตมาทำนายอดีต หรือข้อมูล User เดียวกันปนทั้ง Train/Test) ส่งผลให้ค่า Metrics สูงเกินจริง</t>
  </si>
  <si>
    <t>ขาดการแบ่งข้อมูลแบบ Temporal Split หรือ Split by User เพื่อจำลองสถานการณ์จริง (Real-world scenario) และไม่มีการตรวจสอบ Data Leakage ที่เกิดจากการสุ่มแบ่ง instance</t>
  </si>
  <si>
    <t>นำเสนอเฟรมเวิร์ก SVF-NDN โดยใช้ CSP และ PAT model checker เพื่อตรวจสอบความปลอดภัยของ NDN access control พบช่องโหว่เรื่องการปลอมแปลงคีย์ (Key faking) และข้อมูลรั่วไหลในโปรโตคอลเดิม</t>
  </si>
  <si>
    <t>เสนอวิธีปรับปรุงสองวิธี (Digital Signatures และ Digital Certificates) และยืนยันผ่านการตรวจสอบ (Formal Verification) ว่าสามารถป้องกัน Data Leakage และ Key Authentication ได้</t>
  </si>
  <si>
    <t>วิธี Innovative method ที่เสนอใหม่ (ไม่พึ่งพา Access Control Manager) สามารถป้องกัน Data Leakage ได้ แต่ประสิทธิภาพอาจลดลงในเครือข่ายขนาดใหญ่</t>
  </si>
  <si>
    <t>ไม่สามารถประเมินได้เนื่องจากเป็นการตรวจสอบแบบ Formal Method ไม่ใช่การทดลองด้วยข้อมูล (Data-driven experiment)</t>
  </si>
  <si>
    <t>ขาดการทดสอบกับข้อมูลการโจมตีจริง (Real-world datasets) เนื่องจากเป็นการจำลองโมเดลทางคณิตศาสตร์</t>
  </si>
  <si>
    <t>Framework ที่นำเสนอประกอบด้วย 4 โมดูล (Sensing, Generation, Monitoring, Countermeasure) สามารถจัดการ Honeytokens หลากหลายประเภท (Files, User Accounts, Network Ports, DB-entries)</t>
  </si>
  <si>
    <t>ความน่าจะเป็นในการตรวจจับ Port Scanning (Equation 1) ขึ้นอยู่กับจำนวน Honeyports ที่ตั้งค่าไว้เทียบกับจำนวนพอร์ตทั้งหมดที่ผู้โจมตีสแกน</t>
  </si>
  <si>
    <t>เทคนิค Deception เช่น Honeytokens ช่วยเพิ่ม Layer ความปลอดภัยและสามารถระบุ Perimeter Breaches ที่ Firewalls หรือ Access Control อาจพลาดไป</t>
  </si>
  <si>
    <t>การประเมินผลทำโดยใช้สมการทางคณิตศาสตร์ (Equation 1) และการทดลองในสภาพแวดล้อมจำลอง (Virtual Environment) ไม่มีการใช้ Real-world dataset หรือ Attack traces จริง</t>
  </si>
  <si>
    <t>ขาดการทดลองกับ Real-world Traffic, ขาดการเปรียบเทียบกับ Baseline อื่นๆ ในเชิงปริมาณ, และไม่มีการประเมิน False Positive rate ในสภาพแวดล้อมจริง</t>
  </si>
  <si>
    <t>เสนอโมเดล CNN1D สำหรับการตรวจจับการบุกรุกแบบ Multiclass ในเครือข่าย SDN-IoT โดยใช้ข้อมูล Flow features</t>
  </si>
  <si>
    <t>การใช้ Normalization ร่วมกับ CNN ช่วยเพิ่มประสิทธิภาพการตรวจจับในคลาสที่มีจำนวนน้อย (Minority classes) อย่างมีนัยสำคัญ</t>
  </si>
  <si>
    <t>โมเดลทำผลงานได้ดีใน dataset ใหม่ที่ไม่เคยเห็นมาก่อน (IoT-SDN IDS และ SDN Intrusion Detection) แต่อาจมีประสิทธิภาพลดลงในคลาสที่ซับซ้อนและหายาก</t>
  </si>
  <si>
    <t>ผู้วิจัยเคลมว่า 'no data leakage' แต่ใช้วิธี Stratified splitting ซึ่งเป็นการสุ่มแบ่งข้อมูลแบบ record-based ไม่ใช่ temporal-based ซึ่งในบริบทของ Network flows มักนำไปสู่การรั่วไหลของข้อมูล</t>
  </si>
  <si>
    <t>ขาดการประเมินแบบ Temporal split และขาดการวิเคราะห์ False Positive ในเชิงลึกสำหรับ Real-time scenario</t>
  </si>
  <si>
    <t>การรวมกันของ AI และ Blockchain สามารถเพิ่มความปลอดภัยของข้อมูล (Data Security) และความเป็นส่วนตัว (Privacy) โดย Blockchain ให้ความมั่นคงของข้อมูลและ AI ช่วยในการตรวจสอบและวิเคราะห์</t>
  </si>
  <si>
    <t>AI สามารถช่วยเพิ่มประสิทธิภาพการทำงานของ Blockchain (เช่น การลด Latency หรือเพิ่มประสิทธิภาพ Consensus) และ Blockchain ช่วยให้ AI มีข้อมูลที่น่าเชื่อถือในการเรียนรู้</t>
  </si>
  <si>
    <t>มีการกล่าวถึงแนวทางแก้ไขปัญหาความปลอดภัยอัจฉริยะ (Intelligent Security) เช่น Darktrace หรือ Crowdstrike แต่เป็นเพียงการยกตัวอย่างผลิตภัณฑ์ ไม่ใช่การนำเสนอโมเดลใหม่ทางวิชาการ</t>
  </si>
  <si>
    <t>บทความขาดส่วนการทดลอง (Methodology/Experimental Results) ทั้งหมด ไม่มีชุดข้อมูล หรือการวัดผลเชิงปริมาณ</t>
  </si>
  <si>
    <t>TF-IDF ร่วมกับ SVD สามารถจำแนกหมวดหมู่เอกสารด้าน Information Security ได้อย่างมีประสิทธิภาพ (Accuracy สูงถึง 100% ในกรณี Known Data)</t>
  </si>
  <si>
    <t>Cosine similarity ให้ผลลัพธ์ Precision และ Recall ที่ดีกว่า Taxicab distance ในเกือบทุกสถานการณ์</t>
  </si>
  <si>
    <t>โมเดลยังคงสามารถจำแนกเอกสารที่ถูกดัดแปลง (Text Spinning) ได้ถูกต้องประมาณ 60% โดยใช้ Cosine similarity</t>
  </si>
  <si>
    <t>การทดลองใน Scenario 1 ใช้ข้อมูลชุดเดียวกันทั้งในการสร้าง Model (Centroids) และการทดสอบ ซึ่งทำให้ผลลัพธ์สูงเกินจริง</t>
  </si>
  <si>
    <t>ขาดการเปรียบเทียบกับวิธีการ Machine Learning อื่นๆ เช่น SVM หรือ LDA ในผลลัพธ์หลัก (ระบุไว้ใน Future Work) และไม่มีการใช้ Standard Benchmark Dataset</t>
  </si>
  <si>
    <t>Cloud technology เพิ่มความเสี่ยงด้านความปลอดภัยเนื่องจากการเข้าถึงข้อมูลจากระยะไกลและการจัดการโดยบุคคลที่สาม</t>
  </si>
  <si>
    <t>การโจมตีหลักใน Cloud ได้แก่ DDoS, Malicious Insider, และ Insecure APIs (อ้างอิงจากตารางสรุป ไม่ใช่ผลการทดลอง)</t>
  </si>
  <si>
    <t>การรักษาความปลอดภัยใน Cloud ต้องการมาตรการที่ซับซ้อนกว่าระบบแบบดั้งเดิมเนื่องจากขาดการควบคุมโดยตรงของผู้ใช้</t>
  </si>
  <si>
    <t>ไม่สามารถประเมิน Bias ได้เนื่องจากไม่มีการทดลองเชิงประจักษ์ (Empirical Evaluation)</t>
  </si>
  <si>
    <t>ขาดการทดลองโดยสิ้นเชิง ไม่มี Dataset, Methodology ทางเทคนิค, หรือผลลัพธ์เชิงตัวเลข</t>
  </si>
  <si>
    <t>นักศึกษาส่วนใหญ่ (80%) ตระหนักถึงแนวทางปฏิบัติด้านความปลอดภัย แต่ยังขาดความรู้เชิงลึกเกี่ยวกับความเสี่ยงและ IMEI</t>
  </si>
  <si>
    <t>ความเสี่ยงหลักที่พบคือ Data leakage (46.67% ในชาย, 34.61% ในหญิง) และการเชื่อมต่อ Public Wi-Fi โดยไม่ระวัง</t>
  </si>
  <si>
    <t>นักศึกษาจำนวนมากเก็บข้อมูลสำคัญ (รหัส ATM, รหัสอีเมล) ไว้ในสมาร์ทโฟน ซึ่งเพิ่มความเสี่ยงหากอุปกรณ์สูญหาย</t>
  </si>
  <si>
    <t>Not Applicable (Non-ML paper)</t>
  </si>
  <si>
    <t>นำเสนอเทคนิคการตรวจจับ Hardware Trojan (HT) โดยใช้ VGG-Net architecture กับสัญญาณ power และ EM side-channel</t>
  </si>
  <si>
    <t>ใช้เทคนิค folding แปลงข้อมูล 1D side-channel signals ขนาด 2500 เป็นภาพ 2D ขนาด 50x50 เพื่อป้อนเข้า CNN</t>
  </si>
  <si>
    <t>โมเดลทำความแม่นยำเฉลี่ย 91.2% บนชุดข้อมูล AES benchmark โดยได้ 100% ใน AES-T700 และ AES-T800</t>
  </si>
  <si>
    <t>การประเมินผลใช้ 10-fold cross-validation บนข้อมูล side-channel ซึ่งเป็น time-series หากไม่มีการแบ่งกลุ่มตามลำดับเวลาหรือ entity (chip instances) อาจเกิด data leakage ได้ง่าย แต่เปเปอร์ไม่ได้อภิปรายประเด็นนี้</t>
  </si>
  <si>
    <t>ขาดการวิเคราะห์เรื่อง Data Leakage และไม่มีการเปรียบเทียบในลักษณะ Temporal Split หรือการข้าม Device (inter-chip validation)</t>
  </si>
  <si>
    <t>Healthcare APIs face critical vulnerabilities including complex authentication issues, data leakage risks, and injection attacks.</t>
  </si>
  <si>
    <t>Current security practices often lack proper documentation and tracking protocols, impeding response to breaches.</t>
  </si>
  <si>
    <t>Behavioral analysis using API call-grams is relevant for detecting malware in healthcare but may exhibit high false alarm rates.</t>
  </si>
  <si>
    <t>แบบจำลอง Streaming (Interleaved) ให้ผลลัพธ์ดีกว่า Batch ensembles เมื่อเผชิญกับ Concept Drift โดยไม่ต้องฝึกซ้ำทั้งหมด</t>
  </si>
  <si>
    <t>ความแม่นยำในการตรวจจับมัลแวร์ลดลงตามเวลา (ประมาณ 10% ใน 12 สัปดาห์) หากไม่มีการอัปเดตโมเดล เนื่องจากการเปลี่ยนแปลงของข้อมูล (Drift)</t>
  </si>
  <si>
    <t>ตัวบ่งชี้ PE Header CheckSum เป็นฟีเจอร์ที่แข็งแกร่งที่สุด แต่มีความเสี่ยงสูงต่อการถูกหลอก (Adversarial evasion)</t>
  </si>
  <si>
    <t>ผู้เขียนชี้ให้เห็นว่าการใช้ Class Averaged Accuracy สำคัญมากในสถานการณ์ที่มีความไม่สมดุลของข้อมูลสูง (Imbalance) แทนที่จะใช้ Standard Accuracy เพียงอย่างเดียว</t>
  </si>
  <si>
    <t>การขาดการทดสอบกับข้อมูลสาธารณะ (Public Benchmark) ทำให้เปรียบเทียบกับงานวิจัยอื่นยาก</t>
  </si>
  <si>
    <t>โมเดล CMLP (Crossover-Based MLP) มีความแม่นยำสูงกว่า baselines (DL-based CSI, Blockchain-based DL, Mask-RCNN) ในการตรวจจับ adversarial attacks บนข้อมูลสุขภาพ</t>
  </si>
  <si>
    <t>การใช้กลไก Crossover ช่วยเพิ่มความสามารถในการอธิบาย (interpretability) และความเสถียรของโมเดลเมื่อเทียบกับ MLP ปกติ</t>
  </si>
  <si>
    <t>ผลการทดลองแสดงให้เห็นว่าเมื่อจำนวนอุปกรณ์ตรวจวัด (sensors) ลดลง อัตราความสำเร็จของการโจมตีแบบ untargeted จะลดลง</t>
  </si>
  <si>
    <t>การประเมินผลใช้การสุ่มแบ่งข้อมูล (80-20 และ k-fold) บนข้อมูลสัญญาณชีพ (Vital Signs) ซึ่งอาจเกิด data leakage ระหว่าง train/test ได้หากตัวอย่างจากช่วงเวลาใกล้เคียงกันหรือผู้ป่วยคนเดียวกันกระจายไปทั้งสองชุด</t>
  </si>
  <si>
    <t>ขาดการวิเคราะห์ผลกระทบของ Temporal Leakage และไม่มีการประเมินในบริบทของ Graph-based detection (เนื่องจากไม่ใช่เป้าหมายของงานวิจัยนี้)</t>
  </si>
  <si>
    <t>Identified 6 authorization-data leakage flaws in 6 popular IoT clouds (ThingsBoard, Kaa, JetLinks, etc.), exposing users to falsified data, privacy breaches, and DoS.</t>
  </si>
  <si>
    <t>SecHARE (the proposed tool) effectively mitigates these flaws by using a 'shadow authorization-data' mapping scheme without disrupting service.</t>
  </si>
  <si>
    <t>Performance evaluation shows negligible overhead: average startup delay of 400ms and minimal CPU/Memory increase (&lt;0.2%).</t>
  </si>
  <si>
    <t>The evaluation focuses on performance and functional security verification (case studies). It does not involve large-scale detection accuracy or ML metrics.</t>
  </si>
  <si>
    <t>Method achieves 90.5% accuracy in classifying 360 documents into 6 security categories using N-gram frequency and taxicap geometry.</t>
  </si>
  <si>
    <t>Removing common words (stop words) and updating category profiles dynamically with test data improves classification accuracy from 78.8% to 90.5%.</t>
  </si>
  <si>
    <t>Shared N-grams between related topics (e.g., VPN and Firewall) reduce precision; 'Encryption' category had the lowest accuracy (75%) due to overlap with other topics.</t>
  </si>
  <si>
    <t>The dynamic update of profiles using successful classifications during the test phase implies the model changes during evaluation, which is a non-standard evaluation protocol that may inflate results depending on document order.</t>
  </si>
  <si>
    <t>Comparison with state-of-the-art supervised learning methods on the same data; analysis of the order effect in dynamic profiling.</t>
  </si>
  <si>
    <t>บทความนำเสนอภาพรวมของมาตรการความปลอดภัยในฐานข้อมูล เช่น Authentication, Access Control (DAC, MAC, RBAC, ABAC), Encryption และ Auditing</t>
  </si>
  <si>
    <t>มีการกล่าวถึงภัยคุกคาม APT (Advanced Persistent Threats) ในบริบทของฐานข้อมูล แต่เป็นการอธิบายเชิงทฤษฎี ไม่ใช่วิธีตรวจจับด้วย Graph</t>
  </si>
  <si>
    <t>เทคโนโลยีใหม่ที่ถูกแนะนำเพื่อเสริมความปลอดภัย ได้แก่ Cloud Computing, AI/ML, Blockchain และ IoT</t>
  </si>
  <si>
    <t>การใช AI ใน e-Administration ต้องมีการกำกับดูแลโดยมนุษย์ (Human Oversight) เพื่อลดความเสี่ยงด้านความผิดพลาดและอคติ</t>
  </si>
  <si>
    <t>ความมั่นคงปลอดภัยทางไซเบอร์ (Cybersecurity) เป็นปัจจัยสำคัญในการสร้างความเชื่อมั่นในการใช้ AI ภาครัฐ โดยเฉพาะการป้องกัน Data Leakage และการโจมตีระบบ</t>
  </si>
  <si>
    <t>กฎหมายและนโยบาย (เช่น AI Act) เน้นย้ำเรื่องความโปร่งใสและการป้องกันการเลือกปฏิบัติ (Bias) ที่เกิดจากชุดข้อมูลที่ไม่ครอบคลุม</t>
  </si>
  <si>
    <t>บทความกล่าวถึง Bias ในเชิงสังคมและกฎหมาย (เช่น ชุดข้อมูลฝึกสอนที่ไม่เป็นตัวแทนของประชากรจริง) แต่ไม่ได้ทำการทดลองทางเทคนิค</t>
  </si>
  <si>
    <t>ไม่มีการทดลองทางเทคนิค การวัดผลโมเดล หรือการใช้ Graph-based methods</t>
  </si>
  <si>
    <t>PPT-GNN ทำงานได้ดีกว่า E-ResGAT และ E-GraphSAGE เฉลี่ย 10.38% ในค่า Multi-class F1 Macro ภายใต้เงื่อนไขการทดสอบที่สมจริงกว่า (Temporal split)</t>
  </si>
  <si>
    <t>การทำ Pretraining แบบ Self-supervised (Link Prediction) ช่วยลดความต้องการข้อมูลที่มี Label และเพิ่มประสิทธิภาพในการทำ Few-shot learning อย่างมีนัยสำคัญ</t>
  </si>
  <si>
    <t>Out-of-context pretraining (ใช้ข้อมูลจาก Network อื่น) ให้ผลลัพธ์ใกล้เคียงกับ In-context pretraining แสดงถึงความสามารถในการ Generalize ของโมเดล</t>
  </si>
  <si>
    <t>งานวิจัยนี้วิจารณ์งานก่อนหน้าที่ใช้ Random Sampling บน Static Graph ว่าเป็นการประเมินที่ Overestimate และไม่สมจริง เพราะข้อมูลการโจมตีที่ประสานกันอาจกระจายไปอยู่ทั้ง Train และ Test</t>
  </si>
  <si>
    <t>ไม่ได้ระบุรายละเอียดของการสุ่ม Negative Samples ว่ามีความยากง่าย (Hard negatives) เพียงใด</t>
  </si>
  <si>
    <t>โมเดล GAT 4 ชั้นที่ใช้ Adversarial Training สามารถตรวจจับ Hardware Trojan ข้ามดีไซน์ (Cross-design) ได้แม่นยำถึง 98.21% Accuracy และ 98.1% F1-score</t>
  </si>
  <si>
    <t>การใช้ฟีเจอร์ผสมผสานระหว่าง Static (โครงสร้างกราฟ) และ Dynamic (Switching activity จาก VCD traces) ช่วยให้แยกแยะ Trojan ได้ดีขึ้นแม้โครงสร้างจะคล้ายคลึงกับวงจรปกติ</t>
  </si>
  <si>
    <t>Adversarial Training (FGSM) ช่วยเพิ่มความทนทานของโมเดลต่อการรบกวนสัญญาณและลดอัตรา False Negative</t>
  </si>
  <si>
    <t>การทดสอบทำในรูปแบบ Cross-design (เช่น เทรนบน AES-T1000 เทสต์บน AES-T1600) ซึ่งเป็นการควบคุม Bias ที่ดีกว่าการสุ่ม Split ภายในวงจรเดียวกัน</t>
  </si>
  <si>
    <t>ขาดรายละเอียดเกี่ยวกับ Sampling strategy ในระหว่างการเทรนกราฟขนาดใหญ่ (นอกเหนือจากการระบุว่าใช้ FGSM สร้างตัวอย่าง)</t>
  </si>
  <si>
    <t>Machine Learning (KNN, Random Forest) และ Deep Learning (CNN, LSTM) แสดงผล accuracy สูง (มักเกิน 95-99%) ในการตรวจจับ Anomaly บน IoT datasets มาตรฐาน</t>
  </si>
  <si>
    <t>Deep Learning models เช่น Hybrid CNN-LSTM และ Autoencoders มีประสิทธิภาพสูงในการลด False Positives และจัดการข้อมูลที่มีมิติสูง (High dimensionality)</t>
  </si>
  <si>
    <t>ข้อจำกัดหลักของ DL คือความต้องการข้อมูลและพลังประมวลผลสูง (Processing power) ซึ่งท้าทายสำหรับอุปกรณ์ IoT ที่มีทรัพยากรจำกัด</t>
  </si>
  <si>
    <t>บทความวิจารณ์ (Review) นี้รายงานค่า Accuracy ที่สูงมาก (99%+) จาก paper ที่ถูกคัดเลือกมา โดยไม่ได้วิเคราะห์ถึง Data Leakage หรือความสมจริงของการแบ่งข้อมูล (Split)</t>
  </si>
  <si>
    <t>ขาดการวิเคราะห์เรื่อง Explainability เชิงลึกในบริบทของ Graph และไม่มีการกล่าวถึง Graph-based detection methods แม้จะอยู่ในบริบท Network Intrusion</t>
  </si>
  <si>
    <t>ระบบควบคุมเครือข่ายแบบ Whitelist บน Android Kernel Driver สามารถป้องกันแอปพลิเคชันที่ไม่อยู่ในรายการไม่ให้เข้าถึงอินเทอร์เน็ตได้สำเร็จ 100%</t>
  </si>
  <si>
    <t>การทำงานของระบบมีความเสถียร โดยเพิ่มเวลาในการเริ่มแอปพลิเคชัน (startup time) สูงสุด 33.1% และต่ำสุด 3.6% ขึ้นอยู่กับแอปพลิเคชัน</t>
  </si>
  <si>
    <t>ประสิทธิภาพของระบบโดยรวม (System performance) ลดลงเพียง 1.28% เมื่อเทียบกับระบบ Android ปกติ (วัดโดย Ludashi benchmark)</t>
  </si>
  <si>
    <t>การทดสอบทำบนอุปกรณ์เดียว (Samsung Galaxy S10) และใช้แอปพลิเคชันทดสอบเพียง 10 รายการ ซึ่งอาจไม่ครอบคลุมพฤติกรรมมัลแวร์ที่ซับซ้อนในวงกว้าง</t>
  </si>
  <si>
    <t>ขาดการทดสอบกับมัลแวร์จริงจำนวนมาก (Large-scale malware dataset) และไม่มีการเปรียบเทียบกับโซลูชันความปลอดภัยอื่นๆ ในเชิงปริมาณ</t>
  </si>
  <si>
    <t>Autoencoder ให้ความสมดุลที่ดีที่สุดระหว่าง TNR และ TPR ในการตรวจจับ data leakage ขนาดต่างๆ</t>
  </si>
  <si>
    <t>Isolation Forest (IF) ให้ค่า TNR สูงที่สุด (99.7%) แต่ความสามารถในการตรวจจับพฤติกรรมผิดปกติโดยรวมต่ำกว่า Autoencoder เล็กน้อย</t>
  </si>
  <si>
    <t>การโจมตีแบบส่งข้อมูลขนาดเล็ก (Small-size transmissions) ตรวจจับได้ยากที่สุดเมื่อความถี่ต่ำ (ทุกๆ 20 วินาทีขึ้นไป)</t>
  </si>
  <si>
    <t>การแบ่งชุดข้อมูล Benign เป็น 70/20/10 ไม่ระบุว่าใช้ Chronological split หรือไม่ ซึ่งเสี่ยงต่อ Temporal Leakage</t>
  </si>
  <si>
    <t>ขาดการวิเคราะห์ผลกระทบของ Temporal Dependency ในการแบ่งข้อมูล และการทดสอบกับ Malware ตระกูลอื่นๆ นอกเหนือจาก 'The Tick'</t>
  </si>
  <si>
    <t>ระบบที่นำเสนอ (System 2) มีอัตราการระบุความเสี่ยง (Risk identification rate) เฉลี่ยสูงกว่า 80% สำหรับภัยคุกคามประเภทต่างๆ</t>
  </si>
  <si>
    <t>อัลกอริทึม ECC ช่วยลดเวลาในการเข้ารหัสและถอดรหัสข้อมูลเมื่อเทียบกับระบบดั้งเดิม โดย System 2 ใช้เวลาน้อยกว่าอย่างมีนัยสำคัญ</t>
  </si>
  <si>
    <t>ความพึงพอใจของผู้ใช้งาน (User Satisfaction) ต่อระบบใหม่สูงกว่าระบบเดิม โดยผู้ใช้ 42% รู้สึกพึงพอใจมาก</t>
  </si>
  <si>
    <t>การประเมินผลขาดรายละเอียดทางเทคนิคเกี่ยวกับชุดข้อมูลที่ใช้ทดสอบ Intrusion Detection (เช่น Ground Truth มาจากไหน) และไม่มีการกล่าวถึงการแบ่งข้อมูลเพื่อป้องกัน Overfitting</t>
  </si>
  <si>
    <t>ขาดรายละเอียด Dataset, Sampling strategy, และ Split methodology สำหรับโมเดล Machine Learning (ถ้ามี) ทำให้ไม่สามารถประเมินความถูกต้องของ Risk identification rate ได้</t>
  </si>
  <si>
    <t>เครื่องมือ QFlow สามารถตรวจจับช่องโหว่ (Leakage) ในฮาร์ดแวร์ได้แม่นยำกว่า QIF-Verilog โดยเฉพาะในกรณีที่มีการวนลูปของข้อมูล</t>
  </si>
  <si>
    <t>การใช้สมการ QModel ช่วยลด False Negatives และยอมให้เกิด False Positives แทน ซึ่งเหมาะสมกว่าสำหรับการตรวจสอบความปลอดภัย</t>
  </si>
  <si>
    <t>การวิเคราะห์ Benchmark พบว่าแม้ระบบจะมีการป้องกัน แต่หากข้อมูลลับ (Secret) ไม่ปลอดภัย ผู้โจมตีก็ยังสามารถเดาค่าได้ (Prior Bayes Vulnerability = 1 bit)</t>
  </si>
  <si>
    <t>การประเมินผลใช้วิธีเปรียบเทียบค่า Leakage ที่คำนวณได้กับ Threshold ที่ได้จากการทดสอบกับวงจรขนาดเล็ก (Reduced AES) ซึ่งอาจมีความเอนเอียง (Bias) หากวงจรทดสอบจริงมีความซับซ้อนที่แตกต่างกันมาก</t>
  </si>
  <si>
    <t>ขาดการประเมินด้วย dataset ขนาดใหญ่หรือหลากหลายกว่า Trust-Hub และไม่มีการเปรียบเทียบกับวิธี Learning-based สมัยใหม่</t>
  </si>
  <si>
    <t>นำเสนอฟีเจอร์ทางสถิติ (Statistical Flow Features) สำหรับโปรโตคอล MQTT, DNS และ HTTP เพื่อใช้ในการตรวจจับ Botnet ในเครือข่าย IoT</t>
  </si>
  <si>
    <t>เทคนิค Ensemble (AdaBoost) ที่รวม Decision Tree, Naive Bayes และ ANN ให้ผลลัพธ์ (Detection Rate สูงกว่า, FPR ต่ำกว่า) ดีกว่าการใช้ Classifier เดี่ยวๆ และดีกว่าเทคนิคอื่นในสถานะศิลปะ (SVM, BN, Markov Chain)</t>
  </si>
  <si>
    <t>การวิเคราะห์ด้วย Correntropy และ Correlation Coefficient ช่วยคัดเลือกฟีเจอร์ที่มีความสัมพันธ์กับพฤติกรรมโจมตีและลดความซ้ำซ้อนของข้อมูล</t>
  </si>
  <si>
    <t>การใช้ 10-fold cross-validation บนข้อมูล Network Traffic อาจนำไปสู่การประเมินผลที่สูงเกินจริง (Overoptimistic) เนื่องจากไม่ได้คำนึงถึงความสัมพันธ์ทางเวลา (Temporal correlation) ของข้อมูล</t>
  </si>
  <si>
    <t>ขาดการประเมินแบบ Temporal Split หรือการทดสอบกับ Unseen scenarios ที่เกิดขึ้นหลังจากช่วงเวลาที่ Train อย่างชัดเจน</t>
  </si>
  <si>
    <t>นำเสนอระบบ PERiMETER ที่ใช้เทคนิค Pseudonymization ร่วมกับ Metadata Encryption เพื่อป้องกันการรั่วไหลข้อมูลจากผู้ดูแลระบบ (Internal Attackers)</t>
  </si>
  <si>
    <t>ใช้โครงสร้างข้อมูลแบบ XML และ B+-tree ในการจัดเก็บ Metadata เพื่อให้สามารถค้นหาข้อมูลได้โดยไม่ต้องถอดรหัสเนื้อหาทั้งหมด</t>
  </si>
  <si>
    <t>ผลการทดสอบประสิทธิภาพ (Performance) พบว่าการใช้ Indexing และ Fragmentation ช่วยลดเวลาในการค้นหา (Query execution time) ได้อย่างมีนัยสำคัญ</t>
  </si>
  <si>
    <t>การประเมินผลทำโดยใช้ข้อมูลสมมติ (Fictional patient data) และเน้นวัดความเร็วในการประมวลผล ไม่มีการประเมินความแม่นยำในการระบุภัยคุกคาม</t>
  </si>
  <si>
    <t>ขาดการทดลองกับ Real-world attack scenarios หรือ Dataset ขนาดใหญ่ที่มีความซับซ้อนของการโจมตีจริง</t>
  </si>
  <si>
    <t>นำเสนอโมเดล WO-XGB (Weight-Optimized Extreme Gradient Boosting) ที่ใช้กลไกการปรับน้ำหนักแบบไดนามิกเพื่อจัดการกับ Concept Drift (CD) และ Class Imbalance (CI)</t>
  </si>
  <si>
    <t>WO-XGB ให้ผลลัพธ์ Accuracy สูงถึง 99.98% บนชุดข้อมูล Edge-IIoTset และ 99.81% บน CICIoT2023 ซึ่งสูงกว่า baseline อื่นๆ เช่น SA-DCNN และ CNN+LSTM</t>
  </si>
  <si>
    <t>การใช้ K-fold cross-validation ร่วมกับการปรับน้ำหนักช่วยลด Bias ต่อ majority class และเพิ่มประสิทธิภาพในการตรวจจับ rare attacks</t>
  </si>
  <si>
    <t>แม้บทความจะเน้นเรื่องการจัดการ Concept Drift (การเปลี่ยนแปลงข้อมูลตามเวลา) แต่วิธีการประเมินผลกลับใช้ 'randomly partitioned into N disjoint subsets' (k-fold CV) ซึ่งอาจทำให้เกิด Temporal Leakage โดยการนำข้อมูลในอนาคตมาใช้ฝึกสอนโมเดลสำหรับทำนายอดีตใน fold ต่างๆ</t>
  </si>
  <si>
    <t>ขาดการประเมินแบบ Chronological Split หรือ Walk-forward validation ที่แท้จริง เพื่อพิสูจน์ความสามารถในการรับมือ Concept Drift ในสถานการณ์จริง</t>
  </si>
  <si>
    <t>นำเสนอ P3IDF-EC framework ที่ใช้ PCA ร่วมกับเทคนิค Stacking Ensemble (NB, LR, AB เป็น base และ LR เป็น meta-classifier) เพื่อตรวจจับการบุกรุกและรักษาความเป็นส่วนตัว</t>
  </si>
  <si>
    <t>โมเดลบรรลุความแม่นยำ 99.84% และ FPR 0.13% บนชุดข้อมูล UNSW-NB 15 ซึ่งสูงกว่าโมเดลพื้นฐานอื่นๆ ที่นำมาเปรียบเทียบ</t>
  </si>
  <si>
    <t>การลดมิติข้อมูล (Dimensionality Reduction) ด้วย PCA ช่วยรักษาความเป็นส่วนตัว (Privacy Index 97%) และลดเวลาในการประมวลผล</t>
  </si>
  <si>
    <t>การทดลองใช้วิธี 'train-test-split' แบบสุ่มจาก library sklearn โดยรวมไฟล์ CSV ทั้งหมดเข้าด้วยกันก่อนแบ่ง ซึ่งอาจทำให้เกิด Temporal Leakage ในข้อมูลจราจรเครือข่าย</t>
  </si>
  <si>
    <t>ขาดการประเมินแบบ Temporal Split และไม่มีการวิเคราะห์ผลกระทบของ Data Leakage ระหว่าง Train/Test set</t>
  </si>
  <si>
    <t>โมเดล Deep Learning (3 layers) สามารถจำแนก Insider Threat บนข้อมูลสังเคราะห์ได้ความแม่นยำ 99.5%</t>
  </si>
  <si>
    <t>เสนอแนวคิด Cyber Value at Risk (CVaR) โดยใช้ Logistic Regression ประเมินความเสี่ยงจากผลลัพธ์ของ Deep Learning</t>
  </si>
  <si>
    <t>Confusion Matrix แสดง False Positives (16 records) และ True Positives (67 records) บนข้อมูลทดสอบ</t>
  </si>
  <si>
    <t>การใช้ข้อมูลสังเคราะห์ที่สร้างจากกฎตายตัว (เช่น เวลา login) มาเทรนและเทสต์โมเดล ทำให้โมเดลเรียนรู้กฎผู้สร้างมากกว่าพฤติกรรมจริง (Tautological evaluation)</t>
  </si>
  <si>
    <t>ขาดการประเมินด้วยข้อมูลจริง (Real-world dataset) และขาดการเปรียบเทียบกับ Baseline อื่นๆ</t>
  </si>
  <si>
    <t>การพัฒนา Ontology สำหรับ RPA (OntoSecRPA) ช่วยให้สามารถระบุสินทรัพย์ (Assets), ภัยคุกคาม (Threats), และมาตรการป้องกัน (Countermeasures) ได้อย่างเป็นระบบ</t>
  </si>
  <si>
    <t>ผลการตรวจสอบเชิงโครงสร้าง (Formal Verification) ด้วย HermiT reasoner และการคำนวณ Metrics (เช่น ความลึก ความกว้างของกราฟ) พบว่า Ontology มีความถูกต้องและไม่มี Critical Errors (เช่น Cycles)</t>
  </si>
  <si>
    <t>การทดลองใช้กับกรณีสมมติ (Experimental Verification) ในแผนกการเงิน แสดงให้เห็นว่า Ontology สามารถใช้เป็น Checklist และ Knowledge Base ในการคำนวณค่าความเสี่ยง (Risk Value) ได้</t>
  </si>
  <si>
    <t>การประเมินผลเน้นไปที่คุณภาพของ Ontology (Ontology Engineering metrics) และการใช้งานในสถานการณ์จำลอง (Proof of Concept) ไม่มีการประเมินประสิทธิภาพการตรวจจับ (Detection Rate) เชิงปริมาณด้วยข้อมูลจริง</t>
  </si>
  <si>
    <t>ขาดการทดสอบกับข้อมูลการโจมตีจริง (Real-world attack data) และไม่มีการเปรียบเทียบกับวิธีการประเมินความเสี่ยงแบบอื่นในเชิงประสิทธิภาพ</t>
  </si>
  <si>
    <t>นำเสนอ BiConGRUNet (CNN + Bi-GRU) ร่วมกับ Kepler Optimization (KePO) เพื่อการคัดเลือกฟีเจอร์สำหรับการตรวจจับการบุกรุก</t>
  </si>
  <si>
    <t>ผลการทดลองบนชุดข้อมูล CICIDS-17 แสดงความแม่นยำสูงสุด 99.9% และ F1-score 99.4% เมื่อใช้ KePO</t>
  </si>
  <si>
    <t>โมเดลสามารถตรวจจับการโจมตีประเภท Blackhole, Grayhole, TDMA และ Flooding ได้อย่างมีประสิทธิภาพในบริบท WSN</t>
  </si>
  <si>
    <t>ไม่มีการระบุถึงการจัดการ Time-dependency ในขั้นตอน Split data (ใช้ Cross-validation ทั่วไป) ซึ่งเสี่ยงต่อการเกิด Look-ahead bias</t>
  </si>
  <si>
    <t>ขาดการวิเคราะห์ในเชิง Graph-based (ไม่ได้สร้าง Graph) และขาดการทดสอบกับสถานการณ์ที่มี Concept drift อย่างชัดเจน</t>
  </si>
  <si>
    <t>นำเสนอโมเดล AD-FG ที่ใช้ Federated Learning ร่วมกับ Graph Neural Network โดยแยกส่วนการเรียนรู้โครงสร้าง (Structure) และคุณลักษณะ (Feature) เพื่อรักษาความเป็นส่วนตัว</t>
  </si>
  <si>
    <t>มีการใช้ Cross-Domain Knowledge จากข้อมูลสาธารณะ (เช่น IMDB-BINARY) มาช่วยปรับปรุง Global Model ในฝั่ง Server</t>
  </si>
  <si>
    <t>ผลการทดลองบนชุดข้อมูล CIC-IDS 2017 แสดงให้เห็นว่า AD-FG มีประสิทธิภาพสูงกว่าวิธี Federated Learning พื้นฐาน (FedAvg, FedProx) และวิธี GNN อื่นๆ</t>
  </si>
  <si>
    <t>การแบ่งชุดข้อมูลใช้วิธีสุ่ม (randomly selected) จากกราฟที่สร้างขึ้นตามลำดับเวลา ซึ่งขัดแย้งกับธรรมชาติของข้อมูลจราจรเครือข่ายที่เป็นอนุกรมเวลา อาจทำให้เกิด bias</t>
  </si>
  <si>
    <t>ขาดการประเมินแบบ Temporal split และไม่มีการกล่าวถึงการป้องกัน Data leakage ระหว่าง Train/Test ในบริบทของ Network flows</t>
  </si>
  <si>
    <t>นำเสนอ Triple Layer Secure Wireless Framework (TLSWF) ที่ประกอบด้วย Encryption, Authentication และ Secure Data Transmission</t>
  </si>
  <si>
    <t>เปรียบเทียบ Zero Trust Architecture (ZTA) กับ Layered Security โดยพบว่า ZTA มีค่า Security Effectiveness Index (SEI) สูงกว่า (0.922 vs 0.853) บนสมมติฐานตัวเลขที่กำหนด</t>
  </si>
  <si>
    <t>ระบุว่าช่องโหว่ Legacy protocols และ Unpatched applications สร้างความเสี่ยงสูงที่สุดในระบบไร้สายทางการเงิน</t>
  </si>
  <si>
    <t>การประเมินผลทำโดยใช้สูตรคณิตศาสตร์กับตัวเลขสมมติ (Weighted sum) ไม่ได้เกิดจากการทดลองกับข้อมูลจริง</t>
  </si>
  <si>
    <t>ขาดการทดลองเชิงประจักษ์ (Empirical Experiment) กับชุดข้อมูล Network Traffic จริง หรือ Graph-based datasets</t>
  </si>
  <si>
    <t>โมเดล EAV (Entity-Attribute-Value) มีความเสี่ยงต่อข้อมูลรั่วไหล (Data Leakage) มากกว่าโมเดล Relational และ Dynamic Tables เมื่อถูกโจมตีด้วย SQL Injection</t>
  </si>
  <si>
    <t>ในการโจมตีแบบ SQL Injection โมเดล EAV อาจเปิดเผยชื่อของ Attribute (Schema) ออกมาเนื่องจากโครงสร้างที่เก็บชื่อ Attribute ไว้เป็นข้อมูลในตาราง</t>
  </si>
  <si>
    <t>การรักษาความปลอดภัยในโมเดล EAV ซับซ้อนกว่า เนื่องจากไม่สามารถใช้ Database Constraints มาตรฐานได้ง่าย ต้องใช้ Application-level logic หรือ Triggers</t>
  </si>
  <si>
    <t>การทดลองใช้เพียงชุดข้อมูลตัวอย่าง (Sample Set) ขนาดเล็กและสังเคราะห์ขึ้นเอง ไม่มีการวัดผลเชิงปริมาณทางสถิติ</t>
  </si>
  <si>
    <t>ขาดการทดลองกับข้อมูลจริงขนาดใหญ่ (Real-world datasets) และไม่มีการเปรียบเทียบประสิทธิภาพในการตรวจจับการโจมตีแบบอัตโนมัติ (Automated Detection)</t>
  </si>
  <si>
    <t>เสนอโมเดล Hierarchical Secure Virtualization Model (HSVM) ที่ใช้ Primary VM, VM-Shadow และ Virtualization Basement เพื่อแยกและจัดการภัยคุกคามในระดับ Virtualization</t>
  </si>
  <si>
    <t>HSVM ออกแบบมาเพื่อป้องกันการโจมตีเช่น DDoS และ Data Leakage โดยการสร้าง Shadow Copy ของ VM เมื่อตรวจพบความผิดปกติ และใช้ Firewall ในการกักกัน</t>
  </si>
  <si>
    <t>การนำ IDS ไปฝังในระดับ Hypervisor (VMM) ช่วยเพิ่ม visibility ในการตรวจสอบ internal network traffic ที่ Host-based IDS หรือ Network IDS ปกติอาจมองไม่เห็น</t>
  </si>
  <si>
    <t>ไม่มีการทดลอง (No experiments conducted)</t>
  </si>
  <si>
    <t>ขาดการประเมินประสิทธิภาพด้วยชุดข้อมูลจริง หรือการจำลองสถานการณ์ (Simulation results) ในบทความนี้</t>
  </si>
  <si>
    <t>ระบบเข้ารหัสภาพทางการแพทย์ที่นำเสนอสามารถบรรลุค่า NPCR ประมาณ 99.61% และ UACI 33.46% ซึ่งใกล้เคียงกับค่าอุดมคติ แสดงถึงความทนทานต่อ differential attacks</t>
  </si>
  <si>
    <t>ผลการจำลองแสดงให้เห็นว่าระบบสามารถกู้คืนภาพได้แม้เผชิญกับการโจมตีด้วยสัญญาณรบกวน (Noise attacks) และการบดบังข้อมูล (Occlusion attacks)</t>
  </si>
  <si>
    <t>การวิเคราะห์ Histogram และ Correlation coefficient แสดงให้เห็นว่าภาพที่เข้ารหัสมีการกระจายตัวสม่ำเสมอและมีความสัมพันธ์ระหว่างพิกเซลต่ำมาก ป้องกัน statistical attacks ได้ดี</t>
  </si>
  <si>
    <t>การประเมินผลใช้ภาพตัวอย่าง 5 ภาพในการทดสอบประสิทธิภาพ (Simulation tests) ไม่มีการระบุถึงการสุ่มตัวอย่างขนาดใหญ่หรือการแบ่งชุดข้อมูลแบบ Train/Test เนื่องจากไม่ใช่โมเดล Machine Learning</t>
  </si>
  <si>
    <t>ขาดการทดสอบกับ dataset ขนาดใหญ่ในเชิงปริมาณ (Scale) และการประเมินในสภาพแวดล้อม Real-time implementation จริงในระบบโรงพยาบาล</t>
  </si>
  <si>
    <t>การใช้ kd-tree และ Approximated k-Nearest Neighbors (ANN) สามารถลดเวลาในการคำนวณ LOF ได้อย่างมาก (ลดลงประมาณ 402% ถึง 988% ในการทดลอง)</t>
  </si>
  <si>
    <t>ความแม่นยำของการตรวจจับ Outlier แบบประมาณค่า (Approximation) ใกล้เคียงกับแบบ Exact มาก (ROC curve แนบชิดกับเส้นอุดมคติเมื่อเทียบกับ Exact LOF)</t>
  </si>
  <si>
    <t>การตรวจสอบข้อมูล Outlier ที่ตรวจพบจริง พบว่าเป็นพฤติกรรมผิดปกติ เช่น Excessive Duration Time หรือการเข้าถึงตารางที่ไม่เคยเข้าถึงมาก่อน</t>
  </si>
  <si>
    <t>การประเมินประสิทธิภาพการตรวจจับใช้วิธี 'Hypothetical outliers' โดยสมมติให้ top-k records จาก Exact LOF เป็น Ground Truth เพื่อวัดผลของ ANN-LOF ไม่ได้วัดผลจาก Label การโจมตีจริงตั้งแต่ต้น</t>
  </si>
  <si>
    <t>ขาดการประเมินกับชุดข้อมูลที่มี Ground Truth ของการโจมตี (Labeled Attack Dataset) และขาดการทดลองแบบข้ามช่วงเวลา (Longitudinal/Temporal evaluation)</t>
  </si>
  <si>
    <t>การปรับน้ำหนักความไว (sensitivity weights) แบบไดนามิกด้วย Naïve Bayes ช่วยลด False Positives เมื่อพฤติกรรมผู้ใช้เปลี่ยนไป เมื่อเทียบกับ Static M-Score</t>
  </si>
  <si>
    <t>MLMS-approach มีความแม่นยำ (Accuracy) สูงกว่า Static M-Score หลังจากมีการอัปเดตโมเดลครั้งแรก</t>
  </si>
  <si>
    <t>การเทรนนิ่งโมเดลทำได้รวดเร็ว เหมาะกับสภาพแวดล้อมที่มีการเปลี่ยนแปลงตลอดเวลา</t>
  </si>
  <si>
    <t>การทดลองใช้ชุดข้อมูลสังเคราะห์ (synthetic queries) บนฐานข้อมูลตัวอย่าง และใช้วิธีสุ่มเลือก query มาเทรนและเทสต์ ซึ่งอาจไม่สะท้อนความซับซ้อนของ insider threat จริง</t>
  </si>
  <si>
    <t>ขาดการประเมินด้วยข้อมูลการโจมตีจริง (Real-world attacks), ขาดการเปรียบเทียบกับวิธี Graph-based, และไม่มี Metrics อื่นนอกจาก Accuracy ในกราฟผลลัพธ์</t>
  </si>
  <si>
    <t>นำเสนอ PriFed-IDS ที่ใช้ Federated Learning ร่วมกับ Reinforcement Learning (Q-learning) เพื่อคัดเลือก client และรวมโมเดลสำหรับการตรวจจับการบุกรุกใน IoMT</t>
  </si>
  <si>
    <t>ผลการทดลองบนชุดข้อมูล ToN-IoT แสดงความแม่นยำ 99.42% และ Detection Rate 99.37% ซึ่งสูงกว่า baseline models ที่นำมาเปรียบเทียบ</t>
  </si>
  <si>
    <t>การใช้ RL ช่วยลด overhead ในการสื่อสารได้เฉลี่ย 59% และลดความหน่วงในการเทรนได้ 18% เมื่อเทียบกับ FL ปกติ</t>
  </si>
  <si>
    <t>การแบ่งข้อมูลแบบสุ่ม (random stratified split) บนข้อมูลจราจรเครือข่ายที่มีความต่อเนื่องทางเวลา อาจทำให้เกิด Data Leakage (time-travel) ส่งผลให้ประสิทธิภาพดูสูงเกินจริง</t>
  </si>
  <si>
    <t>ขาดการประเมินแบบ Temporal Split และไม่มีการวิเคราะห์ผลกระทบของ Data Leakage ระหว่าง Train/Test set ในบริบทของ Network Flows</t>
  </si>
  <si>
    <t>วิธีการ FPI (Fast Packet Inspection) สามารถตรวจสอบแพ็กเก็ตได้เร็วกว่า DPI (Deep Packet Inspection) ประมาณ 14.4 เท่า ที่ความครอบคลุมการตรวจสอบ 20% และ 5.3 เท่า ที่ความครอบคลุม 100%</t>
  </si>
  <si>
    <t>FPI ช่วยรักษาความเป็นส่วนตัวแบบ End-to-End Encryption (E2EE) ได้ โดยไม่ต้องถอดรหัสข้อมูล payload ที่จุดตรวจสอบ (Middlebox) แต่ใช้การเปรียบเทียบ Hash values ในส่วนขยาย Header แทน</t>
  </si>
  <si>
    <t>ประสิทธิภาพด้านเวลา (Latency) ของ FPI ดีกว่า DPI อย่างมีนัยสำคัญเมื่อขนาด Payload เพิ่มขึ้น</t>
  </si>
  <si>
    <t>การทดลองใช้ข้อมูลแบบสุ่ม (Random String) แทนที่จะเป็น Traffic จริงหรือ Malware dataset จริง ทำให้ไม่สามารถวัดประสิทธิภาพด้าน Detection Accuracy หรือ False Positive ในสถานการณ์จริงได้</t>
  </si>
  <si>
    <t>ขาดการประเมินความแม่นยำในการตรวจจับ (Detection Rate, Precision, Recall) บนชุดข้อมูล Malware จริง และไม่มีการเปรียบเทียบกับเทคนิค Graph-based</t>
  </si>
  <si>
    <t>Server-side evaluation ใน Federated Learning ให้ผลลวง (misleading) เนื่องจากปัญหาข้อมูลแบบ non-IID ที่ไคลเอนต์แต่ละรายมีการกระจายตัวของข้อมูลต่างกัน</t>
  </si>
  <si>
    <t>Client-side evaluation สะท้อนประสิทธิภาพจริงของโมเดลได้แม่นยำกว่า โดยเฉพาะเมื่อมีการกระจายตัวของคลาสที่ต่างกัน</t>
  </si>
  <si>
    <t>Federated Learning ให้ผลลัพธ์ใกล้เคียงกับ Centralized Learning แต่ช่วยรักษาความเป็นส่วนตัวของข้อมูลได้ดีกว่า</t>
  </si>
  <si>
    <t>ผู้เขียนชี้ให้เห็นว่าการประเมินผลที่ Server เพียงอย่างเดียว (Server-side evaluation) ไม่สามารถสะท้อนประสิทธิภาพที่แท้จริงที่ปลายทาง (Edge devices) ได้</t>
  </si>
  <si>
    <t>ขาดการประเมินแบบ Temporal split เพื่อป้องกัน Future data leakage และขาดการทดสอบความทนทานต่อ Unknown attacks ในชุดทดสอบ</t>
  </si>
  <si>
    <t>การใช้ระบบอัตโนมัติ (SSC) ช่วยลดเวลาตอบสนองต่อภัยคุกคามเบื้องต้น (Initial response time) ได้ถึง 97% เมื่อเทียบกับกระบวนการเดิม</t>
  </si>
  <si>
    <t>ระบบช่วยลดเวลาในการจัดการเหตุการณ์ (Incident response time) ลง 60% และลดความเสี่ยงข้อมูลรั่วไหล</t>
  </si>
  <si>
    <t>การใช้ Scenario-based automation ช่วยลดจำนวนบุคลากรที่ต้องใช้ในการดูแลระบบลงเหลือหนึ่งในสาม</t>
  </si>
  <si>
    <t>ไม่มีการทดลองเชิงปริมาณเกี่ยวกับความแม่นยำในการตรวจจับ (Detection Performance) เนื่องจากเน้นที่การตอบสนอง (Response) หลังได้รับ Alert</t>
  </si>
  <si>
    <t>ขาดรายละเอียดเกี่ยวกับ Dataset, Data Splits, และ Metrics ทาง Machine Learning สำหรับส่วนตรวจจับ</t>
  </si>
  <si>
    <t>Personalized Federated Transfer Learning (FTL) ช่วยปรับปรุงประสิทธิภาพการตรวจจับในสภาพแวดล้อมที่มีข้อมูลแบบ Non-IID และมีความแตกต่างทางสถิติสูง</t>
  </si>
  <si>
    <t>โมเดลสามารถตรวจจับ Zero-day attacks ได้ดี (95-99% accuracy) โดยการ fine-tune ด้วยข้อมูล benign และ attack types อื่นๆ</t>
  </si>
  <si>
    <t>การใช้ Transfer Learning ช่วยให้ Client ที่มีข้อมูลน้อย หรือ Client ใหม่ (Unseen client) สามารถเริ่มต้นโมเดลที่มีประสิทธิภาพสูงได้รวดเร็ว</t>
  </si>
  <si>
    <t>การแบ่งข้อมูล Train/Test ใช้วิธีสุ่ม (80/20) ซึ่งเสี่ยงต่อ Data Leakage ในบริบทของ Network Intrusion Detection แต่มีการทดลอง Zero-day ที่แยก Class ออกไปอย่างชัดเจนซึ่งช่วยลด Bias ในส่วนนั้น</t>
  </si>
  <si>
    <t>ขาดการประเมินแบบ Temporal split และขาดการวิเคราะห์ผลกระทบของ Packet-level correlation ในการแบ่งข้อมูล</t>
  </si>
  <si>
    <t>โมเดล LSTM ให้ประสิทธิภาพสูงสุด (Accuracy 99%, F1 99%) เมื่อเทียบกับ Decision Tree (94%) และ Naive Bayes (93%) ในการตรวจจับ Wormhole attack</t>
  </si>
  <si>
    <t>LSTM มีอัตรา True Positive Rate (TPR) สูงที่สุดที่ 80% (average) และมีความสามารถในการเรียนรู้ลำดับข้อมูลระยะยาว (long-term dependencies)</t>
  </si>
  <si>
    <t>การโจมตีแบบ Wormhole ส่งผลกระทบต่อ routing protocol (AODV และ TCP) และสามารถตรวจจับได้ผ่าน feature ที่สกัดจาก network traffic</t>
  </si>
  <si>
    <t>ไม่มีการระบุถึงการจัดการ Temporal Leakage แม้ว่าจะใช้ LSTM ซึ่งเป็นโมเดลสำหรับข้อมูลอนุกรมเวลา การแบ่งข้อมูล (Data Splitting) ดูเหมือนจะเป็นการสุ่มแบ่ง (90:10) ซึ่งอาจทำให้ข้อมูลในอนาคตปนเปื้อนในชุดฝึกสอน</t>
  </si>
  <si>
    <t>ขาดการตรวจสอบความถูกต้องด้วย Temporal Split ที่ชัดเจน และไม่ได้ทดสอบกับ Network Topology ที่หลากหลายหรือเปลี่ยนแปลง (Node Mobility) อย่างเพียงพอ</t>
  </si>
  <si>
    <t>Random Forest ให้ความแม่นยำสูงสุด (99.3%) สำหรับการตรวจจับมัลแวร์ PoS เมื่อเทียบกับ AdaBoost และ GradientBoost</t>
  </si>
  <si>
    <t>การจำแนกประเภทมัลแวร์ (Malware Classification) ด้วย CNN บน dataset 'malimg' ได้ความแม่นยำ 95%</t>
  </si>
  <si>
    <t>โซลูชัน DLP ที่ใช้ Machine Learning สำหรับวิเคราะห์ข้อความและภาพได้ความแม่นยำ 84.6%</t>
  </si>
  <si>
    <t>การแบ่งข้อมูลแบบ 70/30 ไม่มีการระบุถึงการจัดการลำดับเวลาของมัลแวร์ ซึ่งเป็นปัจจัยสำคัญในงาน Security</t>
  </si>
  <si>
    <t>ขาดการประเมินด้วยข้อมูลแบบ Temporal split และไม่มีการใช้ Graph-based approach ตามหัวข้อ SLR นี้ (เป็นการใช้ Feature-based และ Image-based CNN)</t>
  </si>
  <si>
    <t>การใช้ One-Hot Encoding ให้ผลลัพธ์ Precision ดีกว่า Label Encoding ในบางอัลกอริทึม โดยเฉพาะเมื่อใช้ร่วมกับ Scaling</t>
  </si>
  <si>
    <t>การใช้เทคนิค SMOTE แก้ปัญหา Class Imbalance ช่วยเพิ่มค่า AUC-ROC อย่างมีนัยสำคัญ โดยเฉพาะใน Decision Tree และ Random Forest (เพิ่มเป็น 0.99-1.0)</t>
  </si>
  <si>
    <t>Decision Tree และ Random Forest ให้ประสิทธิภาพสูงสุดในการตรวจจับเมื่อใช้ร่วมกับ SMOTE</t>
  </si>
  <si>
    <t>การแบ่งข้อมูลแบบ 80/20 (Random Split) บนข้อมูล CERT อาจทำให้ Model เรียนรู้อนาคตหรือจดจำพฤติกรรม User คนเดิมที่มีอยู่ในทั้ง Train และ Test set</t>
  </si>
  <si>
    <t>ขาดการประเมินแบบ Temporal Split หรือการทดสอบกับ Unseen Users เพื่อวัด Generalization ที่แท้จริง</t>
  </si>
  <si>
    <t>TaintART เพิ่ม overhead น้อยกว่า 15% สำหรับ CPU-bound microbenchmark และมี overhead ต่ำมากสำหรับแอปทั่วไป</t>
  </si>
  <si>
    <t>ประสิทธิภาพดีกว่าสภาพแวดล้อม Dalvik แบบเดิมถึง 99.7% สำหรับ Java runtime benchmark เนื่องจากการใช้ AOT compilation</t>
  </si>
  <si>
    <t>สามารถวิเคราะห์แอปยอดนิยมบน Android 6.0 และตรวจจับการรั่วไหลของข้อมูล (IMEI, location, sensor data) ได้โดยไม่มีปัญหา compatibility</t>
  </si>
  <si>
    <t>ขาดการประเมินความถูกต้อง (Precision/Recall) ของการตรวจจับในลักษณะ Ground truth dataset เนื่องจากเน้นที่ Performance ของระบบ</t>
  </si>
  <si>
    <t>AdaBoost classifier can detect network intrusion with an accuracy of 95% (95.3226%).</t>
  </si>
  <si>
    <t>SVM classifier achieved an overall accuracy of 92.5827%.</t>
  </si>
  <si>
    <t>Random Forest achieved an accuracy of 93.2291% and Bagging achieved 94.5827%.</t>
  </si>
  <si>
    <t>การประเมินผลใช้ชุดข้อมูล UNSW-NB15 ตามการแบ่งมาตรฐาน (Training/Test set) โดยไม่มีการวิเคราะห์เรื่อง Data Leakage หรือการกระจายตัวของข้อมูลตามเวลา</t>
  </si>
  <si>
    <t>ขาดการวิเคราะห์เชิงลึกเกี่ยวกับ False Positives ในแต่ละประเภทการโจมตีที่ซับซ้อน และไม่มีการทดสอบความทนทานต่อเวลา (Temporal robustness)</t>
  </si>
  <si>
    <t>เสนอวิธี Post-Installation App Detection โดยเน้นตรวจจับ Fake Apps และ Man-in-the-Disk (MitD) attacks บน Android</t>
  </si>
  <si>
    <t>ใช้อัลกอริทึมตรวจสอบ Attributes ของ Certificate และ Permission เพื่อแยกแยะแอพปลอม</t>
  </si>
  <si>
    <t>ผลการทดลองบนชุดข้อมูล DREBIN และชุดข้อมูลที่รวบรวมเอง (300 safe/300 unsafe) อ้างว่าได้ค่า TPR 97% และ Accuracy 97.32%</t>
  </si>
  <si>
    <t>การทดลองใช้ชุดข้อมูลจำนวนน้อยและสมดุล (Balanced 300:300) ซึ่งอาจไม่สะท้อนความเป็นจริง (Real-world distribution) และไม่มีรายละเอียดการแบ่งข้อมูลเพื่อป้องกัน Overfitting</t>
  </si>
  <si>
    <t>ขาดรายละเอียดเรื่อง Training/Testing split, ไม่มีการทดสอบแบบ Temporal (Time-aware evaluation), และงานวิจัยนี้ไม่ได้ใช้วิธีการ Graph-based ตามหัวข้อ SLR</t>
  </si>
  <si>
    <t>เสนอโมเดล CNN ที่ใช้ EfficientNetV2B0, Fused-MBConv และ SE-Attention เพื่อการจำแนกภาพที่ถูกดัดแปลง</t>
  </si>
  <si>
    <t>ผลการทดลองบน datasets 4 ชุด แสดงค่า AUC สูงถึง 1.0000 และ F1-score สูงถึง 0.9997 (บนชุด Defacto)</t>
  </si>
  <si>
    <t>การใช้ Focal Loss และ RandomOverSampler ช่วยจัดการปัญหา Class Imbalance ในชุดข้อมูลได้อย่างมีประสิทธิภาพ</t>
  </si>
  <si>
    <t>การแบ่งข้อมูลแบบ 80:20 โดยไม่ระบุ Test Set แยกชัดเจน อาจทำให้ผลลัพธ์มีความเอนเอียง (Bias) จากการจูนโมเดลบน Validation set</t>
  </si>
  <si>
    <t>ขาดการวิเคราะห์เรื่อง Data Leakage ระหว่าง Train/Val set ในกรณีที่ภาพ Authentic และ Tampered มาจากแหล่งเดียวกัน</t>
  </si>
  <si>
    <t>ระบบ Retrospective Analysis สามารถตรวจจับ Port Scanning ได้โดยการวิเคราะห์แพ็กเก็ต TCP RST ที่ตอบกลับมาจาก Firewall</t>
  </si>
  <si>
    <t>ระบบสามารถตรวจจับ Worm Virus ที่ IDS ทั่วไปมองไม่เห็น โดยการวิเคราะห์พฤติกรรมการส่งแพ็กเก็ต SYN จำนวนมากไปยัง IP สุ่ม</t>
  </si>
  <si>
    <t>การวิเคราะห์ย้อนหลังช่วยให้เห็นบริบทของเหตุการณ์ (Context) ได้ดีกว่าการตรวจจับแบบ Signature-based ทั่วไป</t>
  </si>
  <si>
    <t>การประเมินผลทำโดยการจำลองการโจมตี 2 รูปแบบแล้วดูผลลัพธ์การแจ้งเตือน ไม่มีการคำนวณ Detection Rate หรือ False Positive Rate อย่างเป็นระบบ</t>
  </si>
  <si>
    <t>ขาดการเปรียบเทียบเชิงปริมาณ (Quantitative comparison) และไม่มีการใช้ชุดข้อมูลมาตรฐาน (Benchmark dataset)</t>
  </si>
  <si>
    <t>การเติม Gaussian Noise (Differential Privacy) ที่ 5% และการใช้ Homomorphic Encryption ลดความแม่นยำลงเพียงเล็กน้อย (0.1% ถึง 0.3%) เมื่อเทียบกับ Baseline</t>
  </si>
  <si>
    <t>PE-FedAvg ทำความแม่นยำได้ 98.61% บนชุดข้อมูล Drebin และ 99.3% บนชุดข้อมูล Malgenome</t>
  </si>
  <si>
    <t>Homomorphic Encryption เพิ่มเวลาในการเทรนอย่างมาก (ประมาณ 68-210 เท่า) แต่เวลาในการทำนาย (Prediction) ยังคงรวดเร็ว (น้อยกว่า 1 วินาที)</t>
  </si>
  <si>
    <t>การทดลองใช้ Cross-validation แบบสุ่ม ซึ่งอาจทำให้เกิด Look-ahead bias ในข้อมูล Malware ที่มีความสัมพันธ์กับเวลา</t>
  </si>
  <si>
    <t>ขาดการทดสอบแบบ Temporal Split และการวิเคราะห์ผลกระทบต่อ Family ที่เกิดขึ้นใหม่ (Zero-day) อย่างชัดเจนในการทดลอง</t>
  </si>
  <si>
    <t>การใช้ Zero Trust ร่วมกับ RFF ช่วยป้องกัน Rogue AP และการรั่วไหลของรหัสผ่านได้ดีกว่าวิธีดั้งเดิม</t>
  </si>
  <si>
    <t>Deep Learning (CNN) ให้ความแม่นยำสูงกว่า (99.10%) เมื่อเทียบกับ Hybrid feature engineering (95.10%) แต่ใช้เวลาเทรนนานกว่า</t>
  </si>
  <si>
    <t>วิธีที่นำเสนอมีความทนทานต่อสัญญาณรบกวน (SNR) และการชนกันของข้อมูล (Collision) ในเครือข่าย ZigBee</t>
  </si>
  <si>
    <t>การทดลองเน้นที่ Accuracy ของการระบุอุปกรณ์ (Device Identification) ในสภาพแวดล้อมจำลอง (Lab setup) ไม่มีการทดสอบกับข้อมูล APT หรือ Graph-based attacks ตามหัวข้อ SLR</t>
  </si>
  <si>
    <t>ขาดการทดสอบในสภาพแวดล้อมจริงที่มีการเปลี่ยนแปลงตามเวลา (Long-term temporal evaluation) และไม่มีการวิเคราะห์ Explainability ของโมเดล CNN</t>
  </si>
  <si>
    <t>การใช้โปรโตคอล HTTP โดยไม่มีการเข้ารหัสในการสื่อสารระหว่าง Client และ Server ของแอปพลิเคชันเพลงยอดนิยม ทำให้เสี่ยงต่อการถูกดักจับข้อมูล (Eavesdropping) และแก้ไขข้อมูล (Tampering)</t>
  </si>
  <si>
    <t>ผู้โจมตีสามารถข้ามกลไกการชำระเงิน (Payment Mechanism) โดยการดักจับและแก้ไข JSON response จาก Server เพื่อดาวน์โหลดเพลง VIP ได้ฟรี</t>
  </si>
  <si>
    <t>ผู้โจมตีสามารถทำ Network Spoofing เพื่อปลอมแปลง Server Response ในกระบวนการอัปเดตแอป หลอกให้ผู้ใช้ติดตั้ง Malware ลงในเครื่องได้</t>
  </si>
  <si>
    <t>ไม่สามารถประเมินได้ เนื่องจากงานวิจัยนี้ไม่ได้ใช้วิธีการประเมินผลเชิงปริมาณ (Quantitative Evaluation) แต่ใช้การสาธิตความสำเร็จของการโจมตี (Proof-of-Concept)</t>
  </si>
  <si>
    <t>ขาดการประเมินประสิทธิภาพของมาตรการป้องกัน (Countermeasures) ที่เสนอแนะ (เช่น HTTPS, Encryption) ในเชิงปริมาณ</t>
  </si>
  <si>
    <t>ในสถานการณ์ IID ทั้ง FedAvg และ FedProx ทำได้ดีใกล้เคียงกัน (Accuracy ~98.75%)</t>
  </si>
  <si>
    <t>ในสถานการณ์ Non-IID (Label Skew), FedProx ที่มีค่า regularization parameter (µ=1.0) ให้ผลลัพธ์ที่เสถียรและแม่นยำกว่า FedAvg (98.44% vs &lt;91%)</t>
  </si>
  <si>
    <t>การปรับค่า µ ใน FedProx มีผลต่อสมดุลระหว่าง convergence และ local adaptability; µ สูงเกินไป (2.0) อาจลดความแม่นยำลงเล็กน้อย</t>
  </si>
  <si>
    <t>การสุ่มตัวอย่าง 10% แบบ simple random sampling อาจทำลาย temporal structure ของการโจมตี ทำให้ผลลัพธ์ดูดีกว่าความเป็นจริงเมื่อนำไปใช้จริง</t>
  </si>
  <si>
    <t>ขาดการประเมินแบบ Temporal Split และขาดการทดสอบกับ Client จำนวนมาก (ใช้เพียง 2 Clients ในการจำลอง)</t>
  </si>
  <si>
    <t>Android devices remain vulnerable to data leakage (file stealing) and spambot creation despite security updates.</t>
  </si>
  <si>
    <t>Malicious applications can bypass app store checks and exfiltrate personal data (images, contact lists) to remote servers.</t>
  </si>
  <si>
    <t>Mobile devices can be recruited into spambot networks via malicious apps, sending spam to all contacts.</t>
  </si>
  <si>
    <t>Not applicable (Paper performs penetration testing demonstrations, not ML model evaluation).</t>
  </si>
  <si>
    <t>No statistical evaluation or detection model performance metrics were presented; the study is purely demonstrative.</t>
  </si>
  <si>
    <t>นำเสนอกรอบการทำงาน (Framework) สำหรับการยืนยันตัวตนบน Cloud โดยใช้ DNA cryptography ซึ่งสร้างคู่รหัสจากลำดับพันธุกรรมสังเคราะห์</t>
  </si>
  <si>
    <t>ใช้เทคนิค Polymerase Chain Reaction (PCR) และ fluorescence tagging ในการตรวจสอบความถูกต้องของ DNA key เพื่อป้องกันการเข้าถึงข้อมูลโดยไม่ได้รับอนุญาต</t>
  </si>
  <si>
    <t>การทดสอบเบื้องต้น (Prototype demonstration) อ้างว่าสามารถทำการตรวจสอบความถูกต้องได้ภายในเวลาน้อยกว่า 5 นาที</t>
  </si>
  <si>
    <t>บทความไม่มีการทดลองเชิงปริมาณที่ใช้ Dataset มาตรฐาน หรือการแบ่ง Train/Test sets แบบงานวิจัย AI/ML ทั่วไป เป็นเพียงการนำเสนอ System Design และ Theoretical Analysis</t>
  </si>
  <si>
    <t>ขาดการเปรียบเทียบเชิงปริมาณกับวิธีการอื่นในด้าน Detection Rate หรือ False Positive และไม่มีการใช้ข้อมูลจราจรเครือข่ายจริง</t>
  </si>
  <si>
    <t>นำเสนอโมเดล OTPAF สำหรับกำหนด Security Requirements (SR) ของ SaaS ในภาครัฐมาเลเซีย โดยอิงตาม Common Criteria (CC)</t>
  </si>
  <si>
    <t>ระบุองค์ประกอบความปลอดภัย 5 ด้าน: Objectives, Threats, Policy, Assumption, Functionality และสร้างความสัมพันธ์ (Relational Statement)</t>
  </si>
  <si>
    <t>Mapping ระหว่าง CSA Cloud Top Threats กับ Security Objectives พบว่า Malware Attack และ Data Theft เป็นภัยคุกคามหลัก</t>
  </si>
  <si>
    <t>ไม่มีการประเมินผลเชิงทดลอง (No experimental evaluation) งานวิจัยนี้เป็นการพัฒนา Conceptual Model เท่านั้น</t>
  </si>
  <si>
    <t>ขาดการทดลองกับข้อมูลจริง (Real-world datasets) และไม่มีการวัดผลประสิทธิภาพการตรวจจับ (Detection performance)</t>
  </si>
  <si>
    <t>พบ PACS server และ Cloud buckets จำนวนมากในอิตาลีที่กำหนดค่าผิดพลาด ทำให้ข้อมูลทางการแพทย์ของผู้ป่วยรั่วไหลสู่สาธารณะ</t>
  </si>
  <si>
    <t>สามารถระบุตำแหน่งอุปกรณ์การแพทย์ (MDs) ที่มีช่องโหว่ในโรงพยาบาลได้โดยการเชื่อมโยงข้อมูลการจัดซื้อจัดจ้างสาธารณะ (ANAC) กับฐานข้อมูล CVE</t>
  </si>
  <si>
    <t>พบการฝัง Hardcoded credentials ในแอปพลิเคชันมือถือทางการแพทย์และไลบรารี native code รวมถึงพบช่องโหว่ Stored XSS ในระบบเวชระเบียนอิเล็กทรอนิกส์ (EHR)</t>
  </si>
  <si>
    <t>LLM ช่วยเพิ่มประสิทธิภาพการตรวจจับ Vulnerability (+0.11 F1) และ Intrusion (+0.10 F1) เมื่อเทียบกับ Baseline เดิม</t>
  </si>
  <si>
    <t>ปัญหา Data Leakage และการแบ่งข้อมูล (Partitioning) ที่ไม่ชัดเจนเป็นความเสี่ยงหลักที่พบในงานวิจัยเชิงทดลองส่วนใหญ่ (34% ได้คะแนน Low Risk)</t>
  </si>
  <si>
    <t>การใช้ Temporal Split (แยกข้อมูลตามเวลา &gt;= 6 เดือน) หรือ Entity-level grouping จำเป็นอย่างยิ่งเพื่อป้องกันการรั่วไหลของข้อมูลในการประเมินผล</t>
  </si>
  <si>
    <t>งานวิจัยจำนวนมากยังขาดการรายงาน Class balance และ Variance estimates รวมถึงมีความเสี่ยงเรื่อง Baseline parity</t>
  </si>
  <si>
    <t>ขาดมาตรฐานการวัดผล Latency–Accuracy trade-offs ในสภาพแวดล้อมการใช้งานจริง (Production workloads)</t>
  </si>
  <si>
    <t>โมเดล ASTRID-Net บรรลุความแม่นยำ 99.97% บนชุดข้อมูล Edge-IIoTset ซึ่งสูงกว่า baseline ทั่วไปอย่างมาก</t>
  </si>
  <si>
    <t>การใช้ Triple Attention (Spatial, Temporal, Channel) ช่วยให้โมเดลโฟกัสที่ฟีเจอร์สำคัญและลดผลกระทบจากข้อมูลที่ไม่เกี่ยวข้อง</t>
  </si>
  <si>
    <t>โมเดลแปลงเวกเตอร์ฟีเจอร์ 1D ให้เป็นลำดับ (Sequence) เพื่อประมวลผลด้วย BiGRU ซึ่งเป็นการประยุกต์ใช้ Sequence modeling กับรายการฟีเจอร์</t>
  </si>
  <si>
    <t>ผลลัพธ์ที่สูงเกิน 99.9% อาจเกิดจากธรรมชาติของชุดข้อมูลสังเคราะห์หรือการแบ่งข้อมูลแบบสุ่มที่ทำให้ข้อมูลการโจมตีที่คล้ายคลึงกันกระจายอยู่ในทั้ง Train และ Test set</t>
  </si>
  <si>
    <t>ขาดการประเมินแบบ Time-based split และการทดสอบกับ Unknown attacks (Zero-day) อย่างชัดเจนในเฟสการทดลอง</t>
  </si>
  <si>
    <t>นำเสนอ Covert Channels ใหม่ 13 รูปแบบในโปรโตคอล MQTT (7 direct, 6 indirect)</t>
  </si>
  <si>
    <t>ช่องทาง ICC.2 (Topic Ordering) สามารถส่งข้อมูลลับได้ 2-4 bps และตรวจจับได้ยากหากใช้การเข้ารหัส AES ร่วมกับจำนวน topics ที่น้อยลง</t>
  </si>
  <si>
    <t>การตรวจจับด้วยวิธี String Compressibility (Cabuk et al.) มีประสิทธิภาพสูงในกรณีข้อมูล ASCII ปกติ (F-Score 100%) แต่ลดลงเมื่อมีการเข้ารหัส (F-Score ~66%)</t>
  </si>
  <si>
    <t>ใช้วิธีหา Optimal Threshold จากชุดข้อมูลทดสอบโดยตรงเพื่อรายงานผล F-Score (Optimization problem for determination of the optimal threshold)</t>
  </si>
  <si>
    <t>ขาดการแบ่งชุดข้อมูล Train/Test ที่ชัดเจนสำหรับการปรับจูนค่า Threshold และไม่มีการประเมินด้วย Graph-based approach</t>
  </si>
  <si>
    <t>Random Forest and Decision Tree classifiers generally outperformed SVM in the tested scenarios on the NSL-KDD dataset.</t>
  </si>
  <si>
    <t>Splitting the problem into separate models for different attack classes (Approach 2) yielded better accuracy than a combined approach.</t>
  </si>
  <si>
    <t>The authors claim 100% detection accuracy for attacks simulated in a virtual environment using Snort rules, though this is separate from the ML evaluation on NSL-KDD.</t>
  </si>
  <si>
    <t>การประเมินผลใช้ชุดข้อมูล NSL-KDD ซึ่งเป็นข้อมูลเก่าและเป็น Tabular data ไม่มีการใช้ Graph-based approach ตามโจทย์ SLR นอกจากนี้การอ้างถึง 100% accuracy ในการทดลอง Snort อาจเกิดจากการทดสอบในสภาพแวดล้อมจำลองที่สร้างขึ้นเอง (Virtual Environment) ซึ่งอาจไม่สะท้อนความซับซ้อนจริง</t>
  </si>
  <si>
    <t>ขาดการวิเคราะห์เรื่อง Data Leakage ในเชิง ML (เช่น การปนเปื้อนของข้อมูลฝึกสอนและทดสอบ), ขาดการทดลองกับข้อมูลที่เป็น Graph หรือ Provenance data, และไม่มีการเปรียบเทียบกับวิธีการที่ทันสมัยกว่า (State-of-the-art) ในปี 2022</t>
  </si>
  <si>
    <t>Framework Hybrid BiLSTM-Attention ร่วมกับ Homomorphic Encryption (HE) สามารถตรวจจับการบุกรุกได้แม่นยำ 99.28% บนข้อมูลที่เข้ารหัส</t>
  </si>
  <si>
    <t>การใช้ Attention mechanism ช่วยระบุ time steps ที่สำคัญในการเกิด anomaly ทำให้โมเดลอธิบายผลได้ดีขึ้น</t>
  </si>
  <si>
    <t>Homomorphic Encryption (Paillier) เพิ่ม Overhead ในการประมวลผล แต่ยังอยู่ในระดับที่ยอมรับได้สำหรับการใช้งาน Real-time (Prediction 0.2s)</t>
  </si>
  <si>
    <t>การใช้ Stratified sampling กับข้อมูลจราจรเครือข่ายอาจทำให้แพ็คเก็ตจาก flow เดียวกันกระจายไปทั้ง train และ test set ส่งผลให้ผลลัพธ์ดีเกินจริง</t>
  </si>
  <si>
    <t>ขาดการประเมินแบบ Temporal Split หรือการทดสอบข้ามแคมเปญการโจมตี (Cross-campaign) เพื่อวัดความสามารถในการตรวจจับ Unknown threats ที่แท้จริง</t>
  </si>
  <si>
    <t>การบูรณาการ Cybersecurity เข้าสู่หลักสูตรครูคอมพิวเตอร์มี 3 แนวทางหลัก: 1) เป็นส่วนหนึ่งของกระบวนการศึกษา (Systemic integration), 2) บูรณาการเข้ากับวิชาอื่น (Interdisciplinary), และ 3) เป็นหลักสูตรเฉพาะทาง (Specialised courses)</t>
  </si>
  <si>
    <t>ผลลัพธ์ทางการศึกษาที่สำคัญ ได้แก่ การเพิ่มความรู้เชิงทฤษฎี ทักษะการทำงานเป็นทีม และความพร้อมในการทำงาน (Professional readiness)</t>
  </si>
  <si>
    <t>อุปสรรคสำคัญคือขาดหลักสูตรที่เน้นการปฏิบัติ (Practice-oriented) และความล่าช้าในการอัปเดตเนื้อหาให้ทันต่อภัยคุกคาม</t>
  </si>
  <si>
    <t>การรั่วไหลของข้อมูล KPU (Sidalih) เกิดจากการเข้าถึงโดยมิชอบ (Illegal Access) และขาดมาตรการรักษาความปลอดภัยที่เพียงพอ</t>
  </si>
  <si>
    <t>กฎหมาย PDP Law ของอินโดนีเซียจำเป็นต้องมีข้อกำหนดทางเทคนิคเพิ่มเติมสำหรับการแต่งตั้งเจ้าหน้าที่คุ้มครองข้อมูล (DPO)</t>
  </si>
  <si>
    <t>การวิเคราะห์ทางกฎหมายชี้ว่า Hacker มีแรงจูงใจทางการเงินในการขายข้อมูลผู้มีสิทธิเลือกตั้งในตลาดมืด</t>
  </si>
  <si>
    <t>Not applicable (Legal research paper)</t>
  </si>
  <si>
    <t>Informed Online Learning (ใช้ Drift Detection) มีประสิทธิภาพดีกว่า Blind Online Learning ทั้งด้านความแม่นยำและการจัดการหน่วยความจำ</t>
  </si>
  <si>
    <t>Hoeffding Adaptive Tree (HAT) ให้ความแม่นยำสูงที่สุดในชุดข้อมูล UNSW-NB15 (83.03%) เมื่อเทียบกับ Naive Bayes</t>
  </si>
  <si>
    <t>CluStream (offline k-means based) ทำงานได้แย่กว่า Density-based algorithms (DenStream/D-Stream) เนื่องจากไม่สามารถจัดการ Noise ในข้อมูล IoT ได้</t>
  </si>
  <si>
    <t>การใช้ KDD Cup 99 อาจมีความลำเอียงเนื่องจากเป็นข้อมูลเก่าและสังเคราะห์ แต่ผู้เขียนได้ใช้ UNSW-NB15 เปรียบเทียบด้วย</t>
  </si>
  <si>
    <t>ขาดการวิเคราะห์เชิงลึกเรื่อง Class Imbalance ในผลลัพธ์ (แม้จะกล่าวถึงใน Future Work) และไม่มีการใช้ Graph-based methods</t>
  </si>
  <si>
    <t>การใช้ Random Split ทำให้เกิด Temporal Bias ซึ่งให้ผลลัพธ์ประสิทธิภาพสูงเกินจริง (Overoptimistic) เมื่อเทียบกับสถานการณ์จริง</t>
  </si>
  <si>
    <t>ประสิทธิภาพของโมเดลลดลงอย่างมีนัยสำคัญเมื่อทดสอบด้วย Temporal Split (จาก 99.85% เหลือ 98.69% ในการทดสอบหนึ่ง) ซึ่งสะท้อนความสามารถจริงในการตรวจจับมัลแวร์ที่ไม่เคยเห็นมาก่อน</t>
  </si>
  <si>
    <t>เฟรมเวิร์ก MeMalDet ที่นำเสนอมีความทนทานต่อ Temporal Split มากกว่าวิธี State-of-the-art อื่นๆ โดยรักษาความแม่นยำได้สูงกว่า</t>
  </si>
  <si>
    <t>ผู้เขียนชี้ให้เห็นว่างานวิจัยก่อนหน้าส่วนใหญ่ใช้ Random Split ซึ่งทำให้เกิด Data Leakage จากอนาคตสู่อดีต และไม่สามารถวัดความสามารถในการรับมือ Concept Drift ได้</t>
  </si>
  <si>
    <t>แม้จะมีการจัดการ Temporal Bias แต่ยังขาดการประเมินบนระบบปฏิบัติการอื่นนอกจาก Windows 10 และขาดการวิเคราะห์ความล่าช้าระหว่างเวลาที่มัลแวร์ถูกสร้างจริงกับเวลาที่ปรากฏบน VirusTotal</t>
  </si>
  <si>
    <t>การใช้ Hybrid Sampling (SMOTE สำหรับ minority classes และ Undersampling สำหรับ majority benign class) ช่วยปรับปรุงประสิทธิภาพการตรวจจับคลาสที่มีจำนวนน้อย (Rare attacks) ได้อย่างมีนัยสำคัญ</t>
  </si>
  <si>
    <t>XGBoost และ Decision Tree ให้ผลลัพธ์ดีที่สุด (Accuracy ~99.99% และ F1 ~1.00) เหนือกว่า Deep Learning models (LSTM, Transformer) ในบริบทของชุดข้อมูลที่ผ่านการทำ Feature Selection และ Balancing แล้ว</t>
  </si>
  <si>
    <t>การคัดเลือกฟีเจอร์ด้วย Extra Trees Classifier ช่วยลดจำนวนฟีเจอร์จาก 84 เหลือ 42 โดยยังคงประสิทธิภาพการจำแนกประเภทได้สูง</t>
  </si>
  <si>
    <t>แม้บทความจะกล่าวถึงความสำคัญของการแยกชุดข้อมูลตามเวลา (Days) ในส่วน Literature Review แต่ในส่วน Methodology กลับเลือกใช้ Stratified Split ซึ่งอาจทำให้ผลการทดลองสูงเกินจริง (Overoptimistic) เนื่องจากการรั่วไหลของข้อมูลระหว่าง Flow</t>
  </si>
  <si>
    <t>ขาดการประเมินแบบ Temporal Split หรือ Cross-validation ที่คำนึงถึงลำดับเวลา เพื่อทดสอบความสามารถในการตรวจจับ Zero-day attacks อย่างแท้จริง</t>
  </si>
  <si>
    <t>แบบจำลอง Deep Learning (DNN) มีความทนทานต่อการโจมตีแบบ Adversarial มากกว่า DT และ RF เล็กน้อย แต่ประสิทธิภาพยังลดลงอย่างมากเมื่อเจอการโจมตี</t>
  </si>
  <si>
    <t>การโจมตีแบบ Carlini and Wager (CW) ส่งผลกระทบต่อประสิทธิภาพของโมเดลมากที่สุดเมื่อเทียบกับ JSMA, FGSM, BIM และ DF</t>
  </si>
  <si>
    <t>การทำ Adversarial Retraining โดยนำตัวอย่างการโจมตีไปรวมใน Training set สามารถเพิ่ม Accuracy กลับมาได้สูงกว่า 99%</t>
  </si>
  <si>
    <t>พบความเสี่ยง Data Leakage รุนแรง เนื่องจากงานวิจัยระบุว่าใช้ 'Test data' ในการสร้าง Adversarial samples (Phase 1) จากนั้นแบ่ง 60% ของ samples เหล่านั้นกลับไปใส่ใน Training set เพื่อ Retrain โมเดล ซึ่งเท่ากับว่าโมเดลได้เห็นข้อมูลที่ดัดแปลงมาจาก Test set</t>
  </si>
  <si>
    <t>ขาดการประเมินด้วย Temporal split และไม่ได้ป้องกันการรั่วไหลของข้อมูลระหว่าง Train/Test ในขั้นตอน Adversarial Retraining</t>
  </si>
  <si>
    <t>นำเสนอ PCHIP-based IFT framework ที่ขยายขอบเขตจากดิจิทัลไปยังการออกแบบวงจร Analog/Mixed-Signal (AMS) โดยใช้ Coq proof assistant</t>
  </si>
  <si>
    <t>สามารถตรวจจับ Hardware Trojans ที่ส่งข้อมูลรั่วไหลข้ามโดเมน (Digital to Analog และ Analog to Digital) ในระดับ Transistor และ Block-level</t>
  </si>
  <si>
    <t>การตรวจสอบ (Verification) ใช้เวลาประมาณ 30 นาทีสำหรับวงจรขนาด AES core บนเครื่องคอมพิวเตอร์ทั่วไป</t>
  </si>
  <si>
    <t>ขาดการเปรียบเทียบกับวิธี IFT อื่นๆ ในโดเมน Analog เนื่องจากเป็นงานแรกๆ ในด้านนี้ และไม่มีการใช้ Real-world APT dataset เพราะเป็น Hardware Security</t>
  </si>
  <si>
    <t>Randezvous ใช้เทคนิค decoy pointers, diversified shadow stack และ XOM เพื่อป้องกันการโจมตีแบบ control-flow hijacking บนไมโครคอนโทรลเลอร์</t>
  </si>
  <si>
    <t>ผลการประเมินพบว่า overhead ของประสิทธิภาพการทำงานอยู่ที่เฉลี่ย 5.9%, ขนาดโค้ดเพิ่มขึ้น 15.4%, และขนาดข้อมูลเพิ่มขึ้น 22.0%</t>
  </si>
  <si>
    <t>โมเดลการวิเคราะห์ความปลอดภัยแสดงให้เห็นว่าระบบสามารถต้านทานการโจมตีแบบ brute force ได้อย่างมีประสิทธิภาพเมื่อใช้ร่วมกับ delayed reboot</t>
  </si>
  <si>
    <t>นำเสนอการใช้ SVM (Support Vector Machine) สำหรับการตรวจจับการบุกรุกแบบ Anomaly-based ในระบบ Android</t>
  </si>
  <si>
    <t>ผลการทดลองบนชุดข้อมูล NSL-KDD แสดงความแม่นยำ (Accuracy) ที่ 91% สำหรับ Normal traffic และ 93% สำหรับ Probe attacks</t>
  </si>
  <si>
    <t>วิเคราะห์ Data Leakage ใน WhatsApp โดยใช้เครื่องมือ Forensic (ADB, WhatsApp Viewer) เพื่อดึงข้อมูลแชทที่ถูกเข้ารหัส</t>
  </si>
  <si>
    <t>บทความอ้างถึงการตรวจจับใน Android แต่ใช้ชุดข้อมูล NSL-KDD (Network Traffic แบบดั้งเดิม) ในการประเมินผล ซึ่งอาจไม่สะท้อนพฤติกรรมจริงของ Android Malware/Leakage</t>
  </si>
  <si>
    <t>ขาดการเปรียบเทียบกับ Baseline อื่นๆ และไม่มีรายละเอียดเกี่ยวกับวิธีแบ่งชุดข้อมูล (Training/Testing split) ที่ชัดเจน</t>
  </si>
  <si>
    <t>ProvUSB เพิ่ม Overhead เวลา Enumeration เพียงครั้งเดียว (&lt; 1 วินาที) และรักษา Throughput ได้ถึง 90% สำหรับไฟล์ขนาดใหญ่</t>
  </si>
  <si>
    <t>Storage overhead สำหรับการเก็บ Provenance ต่ำมาก (&lt; 0.1%) ในเวิร์กโหลดจริง เช่น ClamAV scan หรือ Tor browser</t>
  </si>
  <si>
    <t>การเก็บ Provenance ที่ระดับ Block ช่วยให้ตรวจสอบที่มาของ Malware (เช่น Stuxnet) และ Data leaks ได้ แม้จะมีความท้าทายเรื่อง Semantic gap</t>
  </si>
  <si>
    <t>การประเมินเน้นประสิทธิภาพระบบและการจำลอง Case Study (Stuxnet) เพื่อพิสูจน์แนวคิด ไม่ได้มีการประเมินความแม่นยำในการตรวจจับด้วยชุดข้อมูลขนาดใหญ่</t>
  </si>
  <si>
    <t>ขาดการทดสอบกับ Malware ที่หลากหลายในวงกว้าง และไม่มีการประเมิน False Positive/Negative ในเชิง Detection logic อัตโนมัติ</t>
  </si>
  <si>
    <t>DLP solutions are effective against accidental data loss (plain HTTP) but fail against malicious obfuscation (T2/T3).</t>
  </si>
  <si>
    <t>Attackers can bypass DLPs by using simple obfuscation methods like encoding in JavaScript or using encrypted channels.</t>
  </si>
  <si>
    <t>Host-based DLPs often lack the necessary combination of security control points (File I/O, Clipboard, Network I/O) to prevent malicious exfiltration effectively.</t>
  </si>
  <si>
    <t>Evaluation was a functional test of commercial products, not an algorithmic evaluation. Missing details on the internal workings of the DLPs due to vendor opacity.</t>
  </si>
  <si>
    <t>Network Intrusion Detection (NID) is critical for cloud security to detect threats like DDoS and malware.</t>
  </si>
  <si>
    <t>The proposed model suggests using machine learning, big data analysis, and automated threat analytics to improve NID.</t>
  </si>
  <si>
    <t>Performance optimization can be achieved by improving rule sets, selecting appropriate hardware/software, and using advanced heuristics.</t>
  </si>
  <si>
    <t>บทความขาดรายละเอียดการทดลองอย่างสิ้นเชิง ไม่มีการระบุชุดข้อมูล (Dataset) วิธีการแบ่งข้อมูล (Split) หรือผลลัพธ์ที่เป็นตัวเลขที่ชัดเจน มีเพียงกราฟเปรียบเทียบ (Fig. 4) ที่ไม่มีคำอธิบายแกนหรือวิธีการ</t>
  </si>
  <si>
    <t>Dataset identification, Split strategy, Leakage control, Baseline comparison details.</t>
  </si>
  <si>
    <t>นำเสนอการใช้ Blockchain แบบ Private Permission-based เพื่อเพิ่มความโปร่งใส (Transparency) และป้องกันการแก้ไขข้อมูล (Data Tampering) ในระบบหุ่นยนต์ช่วยเหลือ</t>
  </si>
  <si>
    <t>เสนอความจำเป็นของ Continuous Multifactor Authentication (เช่น การใช้สัญญาณชีพหัวใจ) เพื่อแก้ปัญหาช่องโหว่ของการยืนยันตัวตนแบบครั้งเดียว (One-time authentication)</t>
  </si>
  <si>
    <t>ระบุความท้าทายเรื่องข้อจำกัดทรัพยากร (Resource constraints) ของอุปกรณ์ IoT/Robot เมื่อต้องใช้เทคโนโลยีความปลอดภัยสูงอย่าง Blockchain หรือ Encryption</t>
  </si>
  <si>
    <t>บทความไม่มีส่วนการทดลอง (Experiment) หรือการประเมินผลโมเดล (Model Evaluation) จึงขาดข้อมูลด้าน Dataset, Metrics และ Experimental Setup ทั้งหมด</t>
  </si>
  <si>
    <t>นำเสนอ Post-Installation App Detection Method ที่ประกอบด้วยการตรวจสอบ Fake apps และการตรวจจับ MITD attacks</t>
  </si>
  <si>
    <t>ใช้อัลกอริทึมตรวจสอบ permissions/certificates ร่วมกับ Support Vector Machine (SVM) โดยรายงานความแม่นยำสูงถึง 97% ในการตรวจจับ MITD</t>
  </si>
  <si>
    <t>การทดลองบนชุดข้อมูลหลากหลาย (เช่น DREBIN, ContagioDump) แสดงให้เห็นว่า Attribute สำคัญคือ Permissions และ Certificate Attributes</t>
  </si>
  <si>
    <t>การทดลองใช้วิธีสร้าง Balanced Dataset จากแหล่งข้อมูลที่เก่า (DREBIN) และใหม่ผสมกัน โดยไม่มีการควบคุม Temporal Consistency อาจทำให้ผลลัพธ์ดีเกินจริง</t>
  </si>
  <si>
    <t>ขาดรายละเอียดเรื่องการแบ่งข้อมูล (Split ratios) และการทดสอบกับตัวอย่างที่เกิดขึ้นหลังจากช่วงเวลาที่เทรน (Temporal evaluation)</t>
  </si>
  <si>
    <t>โมเดลที่นำเสนอ (Stacking Ensemble ของ Neural Networks) ให้ความแม่นยำสูงสุด (0.95 Accuracy) เมื่อเทียบกับ Single models เช่น BERT หรือ GPT-2</t>
  </si>
  <si>
    <t>การใช้ Feature Extraction แบบ Semantic (GloVe, fastText) ช่วยเพิ่มประสิทธิภาพของโมเดล Neural Network ทุกประเภทเมื่อเทียบกับการใช้ Minimal Text Representation</t>
  </si>
  <si>
    <t>โมเดล BiLSTM และ BERT ให้ความแม่นยำสูงแต่ใช้เวลาประมวลผลนาน ในขณะที่โมเดลที่นำเสนอมีความสมดุลระหว่างความแม่นยำและเวลาในการรัน (2 ชั่วโมง 46 นาที)</t>
  </si>
  <si>
    <t>ไม่มีการอภิปรายเรื่อง Data Leakage หรือความซ้ำซ้อนของ Code ใน Dataset ซึ่งเป็นปัญหาปกติของ Dataset ที่มาจาก Russell et al.</t>
  </si>
  <si>
    <t>ขาดการวิเคราะห์ False Positives ในบริบทของ Real-world software และไม่มีการทดสอบข้ามโปรเจกต์ (Cross-project validation) เพื่อวัด Generalization</t>
  </si>
  <si>
    <t>ระบบสามารถตรวจจับและบล็อก DNS Tunneling ได้ด้วยความแม่นยำ 99.91% บนเครือข่ายจำลองแบบ Real-time</t>
  </si>
  <si>
    <t>เวลาเฉลี่ยในการบล็อกแพ็กเกจอยู่ที่ 0.923 ms ซึ่งไม่ส่งผลกระทบต่อการใช้งานเครือข่ายปกติ</t>
  </si>
  <si>
    <t>การใช้โครงสร้าง Deep Feedforward (DFF) แบบ Dense-Sparse-Dense ให้ผลลัพธ์ดีที่สุดเมื่อเทียบกับโครงสร้างอื่น</t>
  </si>
  <si>
    <t>การสร้างชุดข้อมูลใช้วิธีผสมข้อมูล Legal (Alexa) และ Tunnel (Generated) เข้าด้วยกันแล้วสุ่มเลือก (Randomly distributed) ซึ่งเสี่ยงต่อ Data Leakage และ Overfitting กับเครื่องมือที่ใช้เจนข้อมูล</t>
  </si>
  <si>
    <t>ขาดการทดสอบกับ Unknown Tools หรือการแบ่งข้อมูลแบบ Temporal Split ที่ชัดเจน และงานวิจัยนี้ไม่ได้ใช้วิธี Graph-based ตามหัวข้อ SLR</t>
  </si>
  <si>
    <t>F-DAGMM ช่วยให้องค์กรสามารถแลกเปลี่ยนความรู้ (Model parameters) เพื่อปรับปรุงประสิทธิภาพการตรวจจับการบุกรุกโดยไม่ต้องแชร์ข้อมูลส่วนตัว (Privacy-preserving)</t>
  </si>
  <si>
    <t>กลยุทธ์การปรับปรุงประสิทธิภาพแบบสองระยะ (Two-phase optimization strategy) ช่วยลดผลกระทบจากความแตกต่างของการกระจายข้อมูล (Non-IID) ในแต่ละ Client</t>
  </si>
  <si>
    <t>การทดลองแสดงให้เห็นว่า F-DAGMM มีประสิทธิภาพเหนือกว่า DAGMM แบบดั้งเดิมในสถานการณ์ที่ข้อมูลถูกแยกขาดจากกัน (Isolated data)</t>
  </si>
  <si>
    <t>การใช้ Random sampling แบ่ง Train/Test ในชุดข้อมูลจราจรเครือข่ายอาจทำให้โมเดลจำ Pattern ของ Packet ที่เกิดขึ้นใกล้เคียงกันแทนที่จะเรียนรู้พฤติกรรมที่แท้จริง</t>
  </si>
  <si>
    <t>ขาดการประเมินแบบ Temporal split หรือการทดสอบกับข้อมูลที่เกิดขึ้นภายหลังอย่างเคร่งครัด รวมถึงไม่มีการทดลองแบบ Graph-based ตามหัวข้อ SLR นี้</t>
  </si>
  <si>
    <t>นำเสนอ FICConvNet โมเดล CNN ที่ออกแบบมาเพื่อการอนุมานบนข้อมูลที่เข้ารหัส (Homomorphic Encryption) สำหรับตรวจจับมัลแวร์</t>
  </si>
  <si>
    <t>ใช้เทคนิคแปลงไบนารีเป็นภาพ (Gray scale images) และ Multi-byte mapping algorithm เพื่อลดปริมาณข้อมูลที่ต้องเข้ารหัส</t>
  </si>
  <si>
    <t>ผลการทดลองบน Microsoft BIG dataset ได้ Accuracy 95.86% ซึ่งสูงกว่าโมเดล Ciphertext inference อื่นๆ เช่น CryptoNets และใกล้เคียงกับ Plaintext model (ResNet-18)</t>
  </si>
  <si>
    <t>การทดลองใช้ชุดข้อมูล Microsoft BIG 2015 ซึ่งเก่ามากสำหรับการตีพิมพ์ในปี 2025 และใช้วิธี Random Split ซึ่งไม่สะท้อนความเป็นจริงในการตรวจจับมัลแวร์ที่ต้องคำนึงถึงเงื่อนไขเวลา</t>
  </si>
  <si>
    <t>ขาดการประเมินด้วย Temporal Split และไม่มีการทดสอบกับมัลแวร์ตระกูลใหม่ๆ หรือข้อมูลปัจจุบัน</t>
  </si>
  <si>
    <t>การใช้ Preventive Portfolio (Encryption + Deception) ช่วยลดผลกำไรของผู้โจมตี (Ransomware Profit) ได้อย่างมีนัยสำคัญ</t>
  </si>
  <si>
    <t>Preventive measures ลดความเต็มใจในการจ่ายค่าไถ่ (Willingness to Pay) ของเหยื่อ ทำให้ความต้องการจ่ายค่าไถ่ลดลง</t>
  </si>
  <si>
    <t>การเพิ่มข้อมูลลวง (Fake Data) มีประโยชน์มากเมื่อข้อมูลมีมูลค่าไม่สูงมากหรือโอกาสรั่วไหลต่ำ แต่หากข้อมูลมีมูลค่าสูง ผู้ใช้จะเน้นเพิ่ม Encryption มากขึ้น</t>
  </si>
  <si>
    <t>การประเมินผลทำผ่านการจำลองสถานการณ์ (Simulation) โดยสมมติค่าพารามิเตอร์แบบสุ่ม (Randomly generated 0-50) ซึ่งอาจไม่สะท้อนพฤติกรรมจริงของผู้โจมตีหรือลักษณะข้อมูลจริง</t>
  </si>
  <si>
    <t>ขาดการทดสอบกับข้อมูล Ransomware จริง หรือการเปรียบเทียบกับวิธีการตรวจจับ/ป้องกันอื่นๆ ในทางเทคนิค (ใช้เพียงการวิเคราะห์ทางเศรษฐศาสตร์)</t>
  </si>
  <si>
    <t>Ensemble Voting Classifier (XGB+RF+GBM) ภายใต้ Federated Learning ให้ความแม่นยำสูงกว่าโมเดลเดี่ยว (99% บน WUSTL และ 90% บน CIC-IoMT)</t>
  </si>
  <si>
    <t>Federated Learning ช่วยรักษาความเป็นส่วนตัวของข้อมูล (Privacy) โดยข้อมูลดิบไม่ถูกส่งออกจากอุปกรณ์ แต่ยังคงรักษาประสิทธิภาพการตรวจจับได้ดี</t>
  </si>
  <si>
    <t>การทำ PCA ลดมิติข้อมูลช่วยเพิ่มประสิทธิภาพและลด overfitting โดยยังคงความแปรปรวนของข้อมูลไว้ได้ 95%</t>
  </si>
  <si>
    <t>ไม่มีการอภิปรายเรื่อง Evaluation Bias หรือ Data Leakage ในบริบทของการแบ่งข้อมูล Train/Test (บทความเน้นเรื่อง Privacy Leakage)</t>
  </si>
  <si>
    <t>ขาดรายละเอียดวิธีการแบ่งข้อมูล (Split methodology) และการวิเคราะห์ผลกระทบของ Time-dependency ในชุดข้อมูล Network Traffic</t>
  </si>
  <si>
    <t>การจำลองแบบสุ่ม (Random Simulation) มักไม่สามารถตรวจจับ Hardware Trojans ที่ใช้เงื่อนไขการกระตุ้นแบบ Rare-value ได้</t>
  </si>
  <si>
    <t>Formal Verification (Model Checking) สามารถตรวจจับ Hardware Trojans ได้ครอบคลุม 100% ภายในเวลาที่ยอมรับได้สำหรับโมดูลขนาดเล็กถึงกลาง</t>
  </si>
  <si>
    <t>การโจมตีแบบ Data Leakage สามารถขโมยค่า Weights/Biases จาก SRAM ได้โดยไม่กระทบต่อความแม่นยำในการจำแนกภาพ (Accuracy) ทำให้ตรวจจับได้ยาก</t>
  </si>
  <si>
    <t>การประเมินเน้นที่ Hardware coverage มากกว่า ML evaluation bias; ใช้ dataset พื้นฐาน (MNIST) โดยไม่มีการกล่าวถึง temporal shift หรือความซับซ้อนของ APT</t>
  </si>
  <si>
    <t>ขาดการทดสอบกับ dataset ที่มีความซับซ้อนสูงกว่า MNIST และไม่มีการประเมินในบริบทของ Graph-based Security</t>
  </si>
  <si>
    <t>การทำ De-duplication อย่างเคร่งครัดลดขนาดข้อมูลลง 99.75% และเผยให้เห็นว่าการโจมตีบางประเภท (เช่น STEERING) เป็นเพียง Replay attack ที่เหมือนกับ Traffic ปกติทุกประการเมื่อตัดข้อมูลซ้ำออก</t>
  </si>
  <si>
    <t>โมเดล Lightweight (Random Forest + ANOVA) ให้ผลลัพธ์ F1-Macro (0.64) ดีกว่า Deep Learning (CNN/DNN) ซึ่งเกิดการ Overfitting เมื่อไม่มีข้อมูลซ้ำจำนวนมากให้จดจำ</t>
  </si>
  <si>
    <t>ค่า Accuracy ที่สูงเกือบสมบูรณ์ (&gt;99%) ในงานวิจัยก่อนหน้ามักเกิดจาก Data Leakage ผ่านการจดจำเฟรมที่ซ้ำกันจำนวนมาก ไม่ใช่ความสามารถในการตรวจจับจริง</t>
  </si>
  <si>
    <t>ผู้แต่งระบุว่างานวิจัยก่อนหน้าใช้ข้อมูลดิบที่มีความซ้ำซ้อนสูง ทำให้โมเดลจดจำความถี่แทนที่จะเรียนรู้ Payload structure</t>
  </si>
  <si>
    <t>การประเมินแบบ Temporal sequence; งานวิจัยนี้มองแต่ละเฟรมเป็น IID ซึ่งละเลยธรรมชาติของลำดับเวลาในการสื่อสาร CAN bus</t>
  </si>
  <si>
    <t>Insider threats เป็นหนึ่งในภัยคุกคามที่จัดการยากที่สุด โดย 63% ของผู้ตอบแบบสอบถามระบุว่าข้อมูลลูกค้ามีความเสี่ยงสูงสุด</t>
  </si>
  <si>
    <t>มีการนำเสนอกระบวนการทำงาน Data Leak Prevention (DLP) ที่อิงจาก Internal CSIRT ของ CyberSecurity Malaysia</t>
  </si>
  <si>
    <t>กรณีศึกษา Malindo Air และ Desjardins Group แสดงให้เห็นถึงผลกระทบจากการที่พนักงานเข้าถึงข้อมูลเกินสิทธิ์หรือขโมยข้อมูล</t>
  </si>
  <si>
    <t>ขาดการประเมินประสิทธิภาพเชิงปริมาณ (Quantitative Evaluation) เนื่องจากเป็นบทความเชิงนโยบายและกระบวนการ</t>
  </si>
  <si>
    <t>นำเสนอ RECORD เทคนิคการเข้ารหัสแบบสุ่มชั่วคราว (Temporarily Randomized Encoding) สำหรับวงจร Logic เพื่อป้องกันการรั่วไหลของข้อมูลจาก Hardware Trojan</t>
  </si>
  <si>
    <t>การทดลองบนวงจร AES Sbox ขนาด 45 nm พบว่ามี Area overhead ประมาณ 2.3 เท่า และ Power overhead 2.77 เท่า แต่มี Delay overhead เพียงเล็กน้อย</t>
  </si>
  <si>
    <t>การใช้ Quilt Packaging ช่วยแยกส่วน I/O module ที่มีความปลอดภัยออกจากส่วน die ที่ผลิตจากโรงงานที่ไม่น่าเชื่อถือ เพื่อป้องกันการถูกโจมตี</t>
  </si>
  <si>
    <t>ไม่สามารถประเมินได้ในบริบทของ ML เนื่องจากเป็นการประเมินประสิทธิภาพฮาร์ดแวร์ (Area, Power, Delay)</t>
  </si>
  <si>
    <t>ไม่มีการทดลองด้าน Machine Learning หรือ Graph-based Detection ตามหัวข้อ SLR นี้</t>
  </si>
  <si>
    <t>โมเดล Transformer Autoencoder ให้ค่า F1-Score (0.66) และ AUPRC (0.59) สูงที่สุดเมื่อเทียบกับ Baseline อื่นๆ</t>
  </si>
  <si>
    <t>VAE มีประสิทธิภาพใกล้เคียง Transformer AE แต่ใช้เวลา Train เร็วกว่า 2 เท่าและพารามิเตอร์น้อยกว่า 40%</t>
  </si>
  <si>
    <t>การออกแบบ Latent space ช่วยป้องกัน Privacy attacks (MIA, Reconstruction) ได้ดี โดยมีความแม่นยำ MIA ใกล้เคียงการเดาสุ่ม</t>
  </si>
  <si>
    <t>การทดลองใช้ชุดข้อมูล Synthetic (CERT v5.2) ซึ่งอาจไม่สะท้อนความซับซ้อนของ Insider Threat ในโลกจริงได้ทั้งหมด</t>
  </si>
  <si>
    <t>ขาดการทดสอบกับข้อมูล Real-world enterprise logs และยังไม่ได้เปรียบเทียบกับวิธี Graph-based โดยตรง</t>
  </si>
  <si>
    <t>FVisor สามารถป้องกันการเข้าถึงไฟล์ที่ไม่ได้รับอนุญาตได้ 100% ในชุดทดสอบ (58 ไฟล์, 2600 บล็อก) โดยทำงานในระดับ Hypervisor</t>
  </si>
  <si>
    <t>ประสิทธิภาพการทำงาน (Desktop workloads) ลดลงเฉลี่ย 7.43% เมื่อเทียบกับการรันแบบ Native โดยกราฟิกได้รับผลกระทบสูงสุด</t>
  </si>
  <si>
    <t>การอ่านและเขียนดิสก์มี Overhead ประมาณ 16.8% และ 19.5% ตามลำดับ เนื่องจากการดักจับ I/O</t>
  </si>
  <si>
    <t>Not Reported (งานวิจัยนี้เป็นการประเมินประสิทธิภาพระบบ ไม่ใช่การเรียนรู้ของเครื่อง)</t>
  </si>
  <si>
    <t>ขาดการประเมินความสามารถในการป้องกัน malware สมัยใหม่ที่ซับซ้อนในสภาพแวดล้อมจริง หรือการเปรียบเทียบกับ Security solutions อื่นๆ ในแง่ Detection rate</t>
  </si>
  <si>
    <t>Adaptive undersampling (UEvoAutoML) performs better than oversampling and baseline EvoAutoML on static and dynamic class imbalance.</t>
  </si>
  <si>
    <t>UEvoAutoML is more robust to highly skewed class distributions (e.g., 0.1% IR).</t>
  </si>
  <si>
    <t>Adaptive resampling helps the AutoML framework recover faster from real concept drift compared to passive adaptation alone.</t>
  </si>
  <si>
    <t>การใช้ Prequential evaluation ช่วยป้องกัน Temporal Leakage ได้ดี แต่ไม่มีการกล่าวถึง Entity-based split สำหรับข้อมูล Fraud</t>
  </si>
  <si>
    <t>ขาดการวิเคราะห์ในมุมของ Graph data หรือ relational features ทั้งที่โดเมน Fraud/Intrusion มักมีความสัมพันธ์แบบกราฟ</t>
  </si>
  <si>
    <t>นำเสนอโมเดล EEDDM (Enhanced Early Drift Detection Model) ร่วมกับ KNN-JS resampling เพื่อจัดการปัญหา concept drift และ class imbalance พร้อมกัน</t>
  </si>
  <si>
    <t>วิธีการ KNN-JS สร้างข้อมูลสังเคราะห์ (synthetic data) โดยใช้ Jaccard Similarity เพื่อเพิ่มประสิทธิภาพในคลาสส่วนน้อย (minority class)</t>
  </si>
  <si>
    <t>โมเดล Ensemble (RF, NB, DT) ที่เสนอทำความแม่นยำได้ 98.52% บนชุดข้อมูล KDD Cup 99 ซึ่งสูงกว่าวิธีการเดิมอย่าง SAND-D และ SACCOS</t>
  </si>
  <si>
    <t>การทดลองใช้ Dataset เก่า (KDD99/NSL-KDD) ซึ่งอาจไม่สะท้อนพฤติกรรม APT สมัยใหม่ และการวัดผลเน้น Accuracy รวมมากกว่าการแยกแยะ Attack vector ที่ซับซ้อน</t>
  </si>
  <si>
    <t>ขาดการทดสอบกับชุดข้อมูล Modern Graph-based หรือ Provenance data; ไม่มีการวิเคราะห์ False Positives ในเชิงลึกสำหรับบริบท APT</t>
  </si>
  <si>
    <t>โปรโตคอล PDCP ใน 5G New Radio เหมาะสมที่สุดสำหรับการสร้างช่องทางสื่อสารลับ (Covert Channel) เนื่องจากมี reserved bits ในส่วนหัว</t>
  </si>
  <si>
    <t>การทดลองจำลองด้วย srsRAN และ Open5GS แสดงให้เห็นว่าสามารถส่งข้อมูลลับได้ประมาณ 815 คำต่อนาที ที่แบนด์วิดท์ 20 Mbps โดยใช้เทคนิคการสุ่มช่วงส่งข้อมูล</t>
  </si>
  <si>
    <t>การตรวจจับช่องทางลับนี้ทำได้ง่ายหากผู้ดูแลเครือข่ายทราบถึงรูปแบบการซ่อนข้อมูล (reserved bits) และใช้ traffic normalizer ปรับค่าบิตให้เป็น 0</t>
  </si>
  <si>
    <t>บทความนี้ไม่ได้ใช้ Machine Learning หรือ Graph-based Detection จึงไม่มีประเด็นเรื่อง Evaluation Bias ในบริบทของการแบ่งชุดข้อมูลฝึกสอน/ทดสอบ</t>
  </si>
  <si>
    <t>ขาดการประเมินด้วยระบบตรวจจับการบุกรุกที่ใช้ AI/ML หรือ Graph-based approach ที่ซับซ้อน (ประเมินเพียงการใช้ Network Analyzer ทั่วไป)</t>
  </si>
  <si>
    <t>การนำเสนอกราฟการไหลของข้อมูลเชิงปริมาณ (QDFGs) ช่วยให้ผู้เชี่ยวชาญเข้าใจพฤติกรรมมัลแวร์ที่ซับซ้อนได้ดีขึ้นเมื่อเทียบกับการดู Log ดิบ</t>
  </si>
  <si>
    <t>การแบ่งกราฟเป็น Slices ตามช่วงเวลา (Time intervals) ช่วยลดความซับซ้อนของข้อมูลและทำให้ Pattern Matching มีประสิทธิภาพมากขึ้น</t>
  </si>
  <si>
    <t>การใช้ Pattern Matching (VF2 algorithm) ร่วมกับการ Visualization สามารถระบุพฤติกรรมที่น่าสงสัยและเชื่อมโยงกิจกรรมระดับสูง (High-level semantics) ได้</t>
  </si>
  <si>
    <t>ไม่มีการประเมินประสิทธิภาพการตรวจจับ (Detection Rate/False Positive) บนชุดข้อมูลขนาดใหญ่ เป็นเพียงการสาธิตการใช้งานเครื่องมือ</t>
  </si>
  <si>
    <t>ขาดการวัดผลเชิงปริมาณ (Quantitative Metrics) และการทดสอบกับชุดข้อมูลมาตรฐานหรือข้อมูลจริงที่มี Noise</t>
  </si>
  <si>
    <t>การเพิ่ม personalized layer แบบ Locally Adapted ใน Federated Learning (LAFL) ช่วยให้โมเดลสามารถปรับตัวเข้ากับรูปแบบทราฟฟิกเครือข่ายที่แตกต่างกันของแต่ละอุปกรณ์ IoT ได้ดีกว่า unified model</t>
  </si>
  <si>
    <t>ฟังก์ชันการรวมพารามิเตอร์โดยคำนึงถึงปริมาณข้อมูลของแต่ละโหนด (Volume-driven aggregation function) ให้ประสิทธิภาพที่สูงกว่าฟังก์ชัน FedAvg แบบมาตรฐานในเกือบทุกกรณีการทดสอบ</t>
  </si>
  <si>
    <t>การนำ Stacked Autoencoder มาใช้เป็น base layer ช่วยจัดการปัญหา multicollinearity และสกัด feature ที่สำคัญออกมาได้อย่างมีประสิทธิภาพ</t>
  </si>
  <si>
    <t>ไม่มีการพิจารณาถึงความต่อเนื่องตามเวลา (temporal order) ของเหตุการณ์เครือข่ายระหว่างการสุ่มตัวอย่าง (randomly selected 500 samples) เพื่อทดสอบ ซึ่งอาจนำไปสู่ผลลัพธ์ที่ดีเกินจริง</t>
  </si>
  <si>
    <t>การเปรียบเทียบกับเทคนิคที่คำนึงถึง Out-of-Distribution (OOD) และการประเมินอัตราผลบวกลวง (False Positive Rate) อย่างละเอียดในสถานการณ์การสตรีมข้อมูลตามเวลาจริง</t>
  </si>
  <si>
    <t>การใช้ LSTM ร่วมกับ SMOTE สามารถแก้ปัญหา class imbalance ทำให้ประสิทธิภาพการตรวจจับ intrusion สูงขึ้นอย่างมีนัยสำคัญ</t>
  </si>
  <si>
    <t>โมเดลให้ค่า Accuracy สูงถึง 99.51% และ F1-score 98.78% สำหรับคลาส Attack</t>
  </si>
  <si>
    <t>การใช้ Categorical Focal Cross-Entropy Loss (CFCL) ช่วยในการจัดการกับคลาสกลุ่มน้อยได้ดียิ่งขึ้น</t>
  </si>
  <si>
    <t>แม้จะมีการป้องกัน Data Leakage จากกระบวนการ Oversampling โดยทำ SMOTE เฉพาะในชุด Training แต่การรวมข้อมูล Time-series เป็น pool เดียวแล้วแบ่งทำให้เกิดอคติในการประเมินผล (Bias) ด้านเวลา</t>
  </si>
  <si>
    <t>ขาดรายละเอียดอัตราส่วนการแบ่ง Dataset, การไม่มี Baseline ที่ครอบคลุม (เทียบแค่โมเดลรูปแบบใกล้เคียงกัน), และไม่มีการทดสอบแบบ Temporal (Chronological) Evaluation</t>
  </si>
  <si>
    <t>การทดสอบ Blackbox ไม่พบข้อผิดพลาดในการทำงานของระบบแชทบอท CyPACH ทั้งในด้านการเริ่มต้นระบบและกระบวนการนำเข้า/ส่งออกข้อมูล</t>
  </si>
  <si>
    <t>ผู้เชี่ยวชาญ 4 ท่านประเมินความถูกต้องของเนื้อหา (Content Validity) ได้คะแนนเฉลี่ย 4.32 จาก 5 คะแนนใน 5 ด้านที่กำหนด</t>
  </si>
  <si>
    <t>ไม่มีการประเมินเนื่องจากไม่ใช่การวิจัยเชิงทดลองที่ใช้ Machine Learning (เป็นเพียง Rule-based AIML)</t>
  </si>
  <si>
    <t>ไม่เกี่ยวข้องกับบริบทการทำ Machine Learning หรือ Data Leakage</t>
  </si>
  <si>
    <t>นำเสนอระบบตรวจสอบการใช้พลังงานแบบกระจายศูนย์ (Distributed Power Auditing System) เพื่อตรวจจับการบุกรุก IoT แบบออนไลน์</t>
  </si>
  <si>
    <t>ใช้โมเดล 1D CNN ในการจำแนกประเภทข้อมูล power side-channel ผ่านการแบ่งเบาภาระไปที่ Data Inferencer และ Computing Cloud</t>
  </si>
  <si>
    <t>ใช้ Packed Homomorphic Encryption (PHE) ในการป้องกันข้อมูลส่วนตัวรั่วไหลระหว่าง edge และ cloud server</t>
  </si>
  <si>
    <t>ไม่มีการอภิปรายเกี่ยวกับ Evaluation bias เนื่องจากงานวิจัยมุ่งเน้นที่การสาธิตระบบ (Demo) และสถาปัตยกรรมมากกว่าการประเมินประสิทธิภาพเชิงลึก</t>
  </si>
  <si>
    <t>การระบุชุดข้อมูลอย่างชัดเจน, วิธีการแบ่งข้อมูล, เกณฑ์ชี้วัด (metrics) เชิงปริมาณ, และการควบคุม data leakage ในฝั่งการเทรนโมเดล</t>
  </si>
  <si>
    <t>K-Nearest Neighbors มีประสิทธิภาพสูงสุดด้าน Accuracy (99.6%) และ ROC AUC (99.6%)</t>
  </si>
  <si>
    <t>Voting Classifier โดดเด่นที่สุดในด้าน Precision (99.9%) และ F1-score (98.4%)</t>
  </si>
  <si>
    <t>Naive Bayes ใช้เวลาประมวลผลน้อยที่สุด (0.014 วินาที) ในขณะที่ AdaBoost มีประสิทธิภาพต่ำสุดในทุกตัวชี้วัด</t>
  </si>
  <si>
    <t>งานวิจัยให้ความสำคัญอย่างมากกับการป้องกัน Data Leakage ระหว่างการทำ Data Preprocessing (เช่น การทำ Data Scaling, Encoding, และ Feature Selection แยกกันอย่างเด็ดขาด) แต่ไม่ได้อภิปรายหรือจัดการกับปัญหา Temporal Leakage ที่อาจเกิดขึ้นจากการสุ่มแบ่งข้อมูล</t>
  </si>
  <si>
    <t>ขาดการแบ่งข้อมูลทดสอบตามลำดับเวลา (Chronological split) และขาดการทดสอบกับชุดข้อมูลจริงที่ไม่ได้ถูกควบคุม (Uncontrolled real-world datasets)</t>
  </si>
  <si>
    <t>การใช้ Query Optimizer ที่รับรู้ถึงความเสี่ยงสามารถลดการเปิดเผยข้อมูลระดับหน่วยความจำได้อย่างมาก โดยมีผลกระทบต่อประสิทธิภาพโดยรวมเพียงเล็กน้อย</t>
  </si>
  <si>
    <t>การจัดการคีย์เข้ารหัสระดับ Extent ให้สมดุลที่ดีที่สุดระหว่างการป้องกัน Disclosure Risk และ Execution Time เมื่อเทียบกับระดับ Record หรือ Page</t>
  </si>
  <si>
    <t>รูปแบบ Multi-objective Optimization (การหาค่าน้ำหนักหรือการตั้งข้อจำกัด Constraint) ช่วยให้ผู้ดูแลระบบเลือกระดับ trade-off ที่ต้องการได้</t>
  </si>
  <si>
    <t>ไม่ได้พิจารณาผลกระทบของ Concurrent queries ในการประเมินความเสี่ยงต่อการเปิดเผยข้อมูล โดยถือเป็นการรันคิวรีแยกอิสระทีละตัว</t>
  </si>
  <si>
    <t>งานวิจัยนำเสนอระบบ Federated Learning ที่สามารถตรวจสอบความถูกต้องได้ (Verifiable) โดยใช้เทคโนโลยี Homomorphic Proxy Re-Authentication (HPRA) เพื่อแชร์ข้อมูลระหว่างพิพิธภัณฑ์</t>
  </si>
  <si>
    <t>ระบบสามารถรับประกันความปลอดภัย ป้องกันข้อมูลรั่วไหลระหว่างการฝึกโมเดล และทนทานต่อการโจมตีแบบ Collusion โดยมี overhead ต่ำกว่างานวิจัยที่เป็น Baseline</t>
  </si>
  <si>
    <t>การรวมข้อมูลแมลงจากหลายแหล่งเพื่อเข้าฝึกแบบ Federated Learning (CNN-based) สามารถเพิ่มความแม่นยำและช่วยในการสร้างพิพิธภัณฑ์จำลองแบบ Metaverse ได้จริง</t>
  </si>
  <si>
    <t>การแบ่งข้อมูล (split) ถูกดำเนินการหลังจากการทำ Data Augmentation (rotation, scaling, mirroring) ซึ่งเป็นช่องโหว่พื้นฐานที่นำไปสู่ Data Leakage ในงาน Computer Vision</t>
  </si>
  <si>
    <t>ไม่มีการพิจารณาหรือออกแบบการทดลองที่ควบคุม Data Leakage หรืออธิบายการกรอง Bias จากชุดข้อมูลการทดลอง</t>
  </si>
  <si>
    <t>การเพิ่มฟีเจอร์ระดับกราฟ 3 ตัว ได้แก่ Time difference, Betweenness centrality และ Graph density ช่วยเพิ่มความแม่นยำในการแยกแยะ Spoofing และ Replay attacks ได้อย่างมีนัยสำคัญ</t>
  </si>
  <si>
    <t>โมเดล GDT-IDS ที่พัฒนาบนอัลกอริทึม Decision Tree สามารถทำผลงานทัดเทียมหรือดีกว่าโมเดลกลุ่ม Deep learning โดยกินทรัพยากรการประมวลผลน้อยกว่ามาก</t>
  </si>
  <si>
    <t>คุณลักษณะทางกราฟมีบทบาทความสำคัญ (Feature Importance) ที่ต่างกันในแต่ละการโจมตี เช่น Graph density สำคัญที่สุดกับ Fuzzy attacks ในขณะที่ Time difference สำคัญสุดสำหรับ Replay attacks</t>
  </si>
  <si>
    <t>ไม่มีการตระหนักถึงปัญหา Train-Test Contamination ที่อาจเกิดจากความต่อเนื่องเชิงเวลาของ network flow ทำให้ประสิทธิภาพที่รายงานอาจสูงกว่าความเป็นจริง</t>
  </si>
  <si>
    <t>ขาดการแบ่งชุดทดสอบแบบ Chronological (เวลาการฝึกสอนต้องเกิดก่อนเวลาทดสอบ) เพื่อจำลองขีดความสามารถในการป้องกันโลกความเป็นจริงอย่างสมจริง</t>
  </si>
  <si>
    <t>IDS ในปัจจุบันมีข้อจำกัดในการตรวจจับ Zero-day, targeted attacks และ encrypted traffic เนื่องจากพึ่งพา signature และ payload inspection เป็นหลัก</t>
  </si>
  <si>
    <t>การวิเคราะห์พฤติกรรม (Behavior-based analysis) แบบ unsupervised ที่ขจัด learning phase ซึ่งเสี่ยงต่อการปนเปื้อนข้อมูล เป็นความต้องการหลักของ Next-generation IDS</t>
  </si>
  <si>
    <t>Next-generation IDS ต้องใช้สถาปัตยกรรมแบบ network-centric ที่ประสานระบบ Early Warning, Intrusion Detection และ Extrusion Detection เข้าด้วยกัน</t>
  </si>
  <si>
    <t>ผู้แต่งเน้นย้ำเรื่องความเสี่ยงของการใช้ online learning ในระบบพฤติกรรมศาสตร์ (anomaly-based) ว่าข้อมูลโจมตีอาจมีอยู่ในระบบขณะทำ learning phase ทำให้เกิดโมเดลที่ผิดพลาด (Train set contamination)</t>
  </si>
  <si>
    <t>ไม่มีการทดลอง (Empirical evaluation), ขาด dataset, ไม่มีรายละเอียดของโมเดลทางคณิตศาสตร์ และไม่มีการวัดผลด้วย metrics ใดๆ</t>
  </si>
  <si>
    <t>Fortified-NoC สามารถกู้คืนแพ็กเก็ตที่สูญหายจากการโจมตีของ Hardware Trojan (HT) ได้มากกว่า 80% และเกือบ 100% ในบางกรณี เช่น Head Bit Trojan</t>
  </si>
  <si>
    <t>อัลกอริทึม Trojan Cognizant Routing Algorithm (TCRA) ที่นำเสนอ สามารถแยก (Isolate) Router ที่ติดไวรัสได้สำเร็จ ลดผลกระทบแบบ Data Leakage และ Live Lock</t>
  </si>
  <si>
    <t>วิธีการนี้สามารถเพิ่ม Throughput ได้ถึง 1.3 เท่า เมื่อเทียบกับสถานการณ์ที่ถูกลดประสิทธิภาพโดย Trojan attack</t>
  </si>
  <si>
    <t>ไม่มีประเด็นเรื่อง Dataset Bias หรือ Leakage ในมุมมองของ ML เนื่องจากทำการทดสอบผ่าน Simulator ที่สร้างแพ็กเก็ตจำลอง (Uniform mode distribution) บน 4x4 mesh topology</t>
  </si>
  <si>
    <t>ไม่ได้ประเมินผลกับชุดข้อมูลจริงจาก Consumer Electronics แต่อยู่ในรูปแบบของ Synthetic traffic บน Simulator</t>
  </si>
  <si>
    <t>นำเสนอแนวคิด Cognitive Mobile Security โดยใช้ข้อมูลบริบทและพฤติกรรมจากหลายอุปกรณ์เพื่อตรวจจับความผิดปกติ (Anomaly detection) บนมือถือ</t>
  </si>
  <si>
    <t>ระบบใช้ Heterogeneous graph ในการเก็บความสัมพันธ์ระหว่างผู้ใช้ อุปกรณ์ บริการ และกิจกรรมเพื่อรองรับการวิเคราะห์แบบเรียลไทม์</t>
  </si>
  <si>
    <t>ชี้ให้เห็นว่าการตรวจจับพฤติกรรมบนมือถือต้องอาศัย Unsupervised learning เนื่องจาก Rule-based หรือ Supervised learning ทั่วไปไม่ตอบโจทย์ความซับซ้อนนี้</t>
  </si>
  <si>
    <t>ไม่มีการทดลองเชิงประจักษ์ในบทความ</t>
  </si>
  <si>
    <t>ขาดรายละเอียดของการตั้งค่าการทดลอง ชุดข้อมูล วิธีการแบ่งข้อมูลแบบ Temporal/Entity และตัวชี้วัดผลลัพธ์โดยสิ้นเชิง</t>
  </si>
  <si>
    <t>สถาปัตยกรรม Federated Learning แบบ Hybrid (Edge-Cloud) ให้ค่าความแม่นยำ (94.2%) ใกล้เคียงกับระบบ Cloud-only (95.6%) แต่เหนือกว่า Edge-only (89.3%) อย่างชัดเจน</t>
  </si>
  <si>
    <t>ระบบ Hybrid FL ช่วยลด Latency (200 ms) และ Bandwidth usage (120 MB) ได้อย่างมากเมื่อเทียบกับระบบ Cloud-only ที่ดึงข้อมูลดิบทั้งหมดขึ้นเซิร์ฟเวอร์กลาง</t>
  </si>
  <si>
    <t>การใช้โมเดล CNN ร่วมกับ LSTM ภายใน Edge nodes สามารถเรียนรู้คุณลักษณะเชิงพื้นที่และเวลา (spatial and temporal features) จากข้อมูลเครือข่าย IoT ได้อย่างมีประสิทธิภาพ</t>
  </si>
  <si>
    <t>ไม่มีการกล่าวถึงปัญหา Data Leakage, Train-test contamination, หรือระเบียบวิธีจัดการ Evaluation Bias ใดๆ ในขั้นตอนการทดลอง</t>
  </si>
  <si>
    <t>ขาดรายละเอียดสำคัญด้านการแบ่งชุดข้อมูล (Data split ratio), ขั้นตอนการเตรียมข้อมูล (Preprocessing details), และการทำ Sampling</t>
  </si>
  <si>
    <t>HyperSweep ใช้เทคนิค Virtual Machine Memory Introspection (VMI) เพื่อสแกนหน่วยความจำและหาข้อมูลที่รั่วไหล</t>
  </si>
  <si>
    <t>ระบบใช้อัลกอริทึม Rabin-Karp ในการจับคู่ข้อความ (Pattern matching) โดยสามารถตรวจพบข้อมูลได้แม้มีการเข้ารหัสในระดับเครือข่าย</t>
  </si>
  <si>
    <t>การแพตช์ QEMU-KVM ช่วยลดเวลาการสแกนหน่วยความจำแบบ Physical จาก 15-20 นาที เหลือเพียงประมาณ 5 วินาที</t>
  </si>
  <si>
    <t>ไม่มีการใช้ชุดข้อมูลทดสอบที่เป็นมาตรฐาน (Benchmark) การประเมินทำโดยการรันแอปพลิเคชันจริงแล้ววัดผลเป็นรายกรณี (Case study)</t>
  </si>
  <si>
    <t>ขาดการวัดผลเชิงปริมาณทางสถิติที่ครอบคลุม เช่น Precision, Recall, F1-score และไม่มีการเปรียบเทียบกับระบบตรวจจับ Baseline อื่นๆ โดยตรง</t>
  </si>
  <si>
    <t>การใช้ Generative Regression Kernel SVM ร่วมกับสถาปัตยกรรม Deep Learning สามารถตรวจจับ Data Leakage (Insider Threat) บนระบบ Cloud ได้อย่างมีประสิทธิภาพ</t>
  </si>
  <si>
    <t>โมเดลที่นำเสนอให้ความแม่นยำ (Accuracy) สูงถึง 97% และ Precision 92% ซึ่งสูงกว่าโมเดลเปรียบเทียบอย่าง ANN และ CNN</t>
  </si>
  <si>
    <t>โมเดลใช้ Signal-to-Noise Ratio (SNR) เป็นมาตรวัดความคล้ายคลึง (Similarity Metric) ในพื้นที่เคอร์เนลที่มีมิติสูง</t>
  </si>
  <si>
    <t>ไม่มีการกล่าวถึงวิธีการแยกชุดข้อมูล Train/Test หรือกลไกการป้องกัน ML Data Leakage แม้จะใช้ข้อมูลที่เป็น Time-series</t>
  </si>
  <si>
    <t>ขาดรายละเอียดเกี่ยวกับสัดส่วน Train/Test Split, กลยุทธ์การสุ่มข้อมูล (Sampling), และเทคนิคจัดการคลาสข้อมูลที่ไม่สมดุล (Class Imbalance) ที่ถูกอ้างถึงในบทคัดย่อ</t>
  </si>
  <si>
    <t>ข้อมูลที่เป็น Non-IID ทำให้ความแม่นยำและการลู่เข้าของโมเดล HIDS ในระบบ Federated Learning ลดลงอย่างมีนัยสำคัญ</t>
  </si>
  <si>
    <t>การใช้เทคนิค SMOTE data augmentation ในไคลเอนต์ช่วยเพิ่มประสิทธิภาพของโกลบอลโมเดลภายใต้สภาพแวดล้อม Non-IID ได้อย่างมีประสิทธิภาพ (F1-score 98.76%)</t>
  </si>
  <si>
    <t>จำนวนชั้นของ LSTM ไม่ได้ส่งผลกระทบชัดเจนต่อความแม่นยำ ดังนั้นการใช้ single-layer LSTM จึงให้ประสิทธิภาพที่เหมาะสมเมื่อเทียบกับต้นทุนการคำนวณ</t>
  </si>
  <si>
    <t>การแบ่งข้อมูลใช้ Random split สัดส่วน 7:3 ซึ่งละเลยความสัมพันธ์เชิงเวลาของข้อมูล system call sequence และไม่ได้ควบคุมเรื่อง Data Leakage</t>
  </si>
  <si>
    <t>ขาดการทดสอบด้วย Chronological/Temporal Split และไม่มีการประเมินว่าการสังเคราะห์ข้อมูลด้วย SMOTE ก่อให้เกิด Train-Test Contamination หรือไม่</t>
  </si>
  <si>
    <t>นำเสนอระบบป้องกันเชิงรุก (Active Protection System - APS) ที่ใช้ Finite State Machines (FSM) ในการสร้างแผนผังพฤติกรรมหรือเส้นทางการไหลของข้อมูลที่ถูกต้องในระบบ</t>
  </si>
  <si>
    <t>เมื่อพบความเบี่ยงเบนจาก FSM ระบบจะส่งชิ้นส่วนโค้ด (Spores และ Defensive Agents) เพื่อเก็บข้อมูลผู้โจมตีและสร้างอุปสรรคแบบสุ่ม (เช่น 404 error หรือข้อมูลปลอม) เพื่อขัดขวางการทำงาน</t>
  </si>
  <si>
    <t>มีแนวคิดการใช้ Honeypot เพื่อหลอกล่อให้ผู้โจมตีอยู่ในระบบนานขึ้นและดักจับข้อมูลเพื่อใช้ในการวิเคราะห์ทางนิติวิทยาศาสตร์ (Forensics) โดยไม่กระทบผู้เช่ารายอื่น</t>
  </si>
  <si>
    <t>ไม่มีการทดลองหรือประเมินผลเชิงประจักษ์ จึงไม่สามารถวิเคราะห์ Evaluation Bias ที่เกิดขึ้นจริงได้</t>
  </si>
  <si>
    <t>ขาดการนำระบบไปทดสอบกับชุดข้อมูลจริงหรือในสภาพแวดล้อมจำลอง, ขาดการระบุตัวชี้วัดทางสถิติ (Metrics) และขาดระเบียบวิธีวิจัยในการวัดผลประสิทธิภาพของ ML/FSM ที่นำเสนอ</t>
  </si>
  <si>
    <t>พัฒนากรอบแนวคิดทางคณิตศาสตร์แบบ Game Theory สำหรับปัญหา VM migration timing เพื่อป้องกันการโจมตีแบบ Collocation attacks ในระบบ Cloud</t>
  </si>
  <si>
    <t>ค้นพบเงื่อนไขที่ทำให้เกิด Nash Equilibria แบบ pure strategy สำหรับฟังก์ชันต้นทุนทั่วไป และสามารถสร้าง Best response curves ให้กับทั้งฝ่ายผู้โจมตีและผู้ป้องกัน</t>
  </si>
  <si>
    <t>ปรับขยายโมเดลเพื่อศึกษาพฤติกรรมของผู้โจมตีเมื่อระบบใช้ Intrusion Detection System (IDS) ซึ่งบีบให้ผู้โจมตีต้องหยุดการกระทำเร็วขึ้นเพื่อหลีกเลี่ยงการถูกตรวจจับ</t>
  </si>
  <si>
    <t>ไม่มีการใช้ชุดข้อมูลจริงหรือเทคนิคทาง Machine Learning เป็นเพียงการจำลองเชิงตัวเลข (Numerical Analysis) จึงไม่มีประเด็นเรื่อง Data Leakage หรือ Evaluation Bias ของ ML</t>
  </si>
  <si>
    <t>การประเมินความถูกต้อง (Validation) กับชุดข้อมูลจริงจากระบบ Cloud (เช่น Logs หรือ Telemetry) รวมถึงการทดสอบในสภาพแวดล้อมระบบปฏิบัติการจริง</t>
  </si>
  <si>
    <t>การทำ Perceptual hashing ขาด unified evaluation benchmarks ทำให้ยากต่อการเปรียบเทียบ algorithm อย่างเป็นรูปธรรม</t>
  </si>
  <si>
    <t>Perceptual hashes สามารถถูกโจมตีแบบ inversion attacks ได้ จึงถือเป็นข้อมูลส่วนบุคคล (personal data) ภายใต้กฎหมาย EU</t>
  </si>
  <si>
    <t>เทคโนโลยี hashing มีความเสี่ยงต่อ adversarial manipulations เช่น collision, poisoning และ evasion attacks</t>
  </si>
  <si>
    <t>บทความระบุว่าการขาด standardized benchmarks และชุดข้อมูลที่ผ่านการคัดกรอง ทำให้ผลการประเมินประสิทธิภาพของโมเดลมีความคลาดเคลื่อนและไม่สามารถทำซ้ำได้ (non-reproducible)</t>
  </si>
  <si>
    <t>ขาดกรอบการทำงาน (frameworks) แบบเปิดสาธารณะสำหรับการประเมิน image และ video hashing อย่างเป็นระบบและครอบคลุม</t>
  </si>
  <si>
    <t>โมเดล CIDD-ADODNN ผสานเทคนิค ADASYN สำหรับจัดการ class imbalance และ ADWIN สำหรับตรวจจับ concept drift บนสตรีมมิงดาต้าได้อย่างมีประสิทธิภาพ</t>
  </si>
  <si>
    <t>การนำ Adadelta optimizer (ADO) มาใช้ช่วยปรับจูน learning rate ของโมเดล DNN ทำให้ประสิทธิผลการแยกแยะสูงขึ้น</t>
  </si>
  <si>
    <t>โมเดลสามารถทำ Accuracy สูงสุดได้ถึง 0.9592, 0.9320 และ 0.7646 บนชุดข้อมูล KDDCup99, Spam และ Chess ตามลำดับ</t>
  </si>
  <si>
    <t>การใช้ k-fold cross-validation กับข้อมูล streaming ขัดแย้งกับหลักการประเมินข้อมูลที่อิงตามเวลา (Time-dependent) และอาจนำไปสู่ data leakage จากการนำข้อมูลในอนาคตมาทดสอบหรือสุ่มปะปนกับข้อมูลในอดีต</t>
  </si>
  <si>
    <t>ขาดการแบ่งชุดข้อมูลทดสอบแบบ Chronological split เพื่อประเมินสถานการณ์ concept drift ในโลกความเป็นจริง และไม่มีการพูดถึงการป้องกัน data leakage ระหว่างขั้นตอน Oversampling</t>
  </si>
  <si>
    <t>โมเดล Logistic Regression และ Random Forest สามารถแยกแยะ URL ปกติและ URL ฟิชชิ่งได้แม่นยำสูง (0.96 และ 0.94 ตามลำดับ)</t>
  </si>
  <si>
    <t>Random Forest มีค่า Recall ที่ดีกว่าสำหรับ URL ฟิชชิ่ง (0.96) ทำให้สามารถจับ True Positives ได้ดีกว่า</t>
  </si>
  <si>
    <t>การเลือก Features แบบ Multi-feature selection (Chi-squared และ XGBoost) ช่วยลดโอกาสเกิด overfitting และช่วยดึงรูปแบบที่ซับซ้อนของข้อมูลได้ดีขึ้น</t>
  </si>
  <si>
    <t>การประเมินผลอาจได้รับผลกระทบจาก Class imbalance ที่ฝั่ง Legitimate URLs มีจำนวนมากกว่า Phishing อย่างมาก และโมเดลที่ถูกเทรนด้วย Historical Data ล้วนอาจประเมินเกินจริง</t>
  </si>
  <si>
    <t>ขาดรายละเอียดของชุดข้อมูลที่ใช้ ขาดการแบ่งข้อมูลแบบ Temporal (Chronological split) และไม่มีกลยุทธ์การ Sampling เพื่อแก้ปัญหาข้อมูลไม่สมดุล</t>
  </si>
  <si>
    <t>โมเดล Deep Learning ให้ค่าความแม่นยำสูงถึง 99% ในการตรวจจับการบุกรุกบน IoMT พร้อมทั้งใช้ทรัพยากรคำนวณลดลงเมื่อเทียบกับโมเดลพื้นฐานอื่นๆ</t>
  </si>
  <si>
    <t>การใช้เทคนิค SMOTEENN เฉพาะกับข้อมูลชุดฝึกสอน (Training set) ช่วยแก้ปัญหา Class imbalance โดยไม่เกิด Information Leakage ไปยังชุดทดสอบ</t>
  </si>
  <si>
    <t>กระบวนการ Feature Selection โดยคัดเลือก 25 จาก 45 ฟีเจอร์ ช่วยลดความซับซ้อน ป้องกัน Overfitting และเพิ่ม Generalizability ของโมเดล</t>
  </si>
  <si>
    <t>การทำ Data Balancing ก่อนขั้นตอน Train/Test Split เป็นสาเหตุสำคัญที่ทำให้ผลการประเมินความแม่นยำของโมเดลสูงเกินจริงในงานวิจัยหลายชิ้น</t>
  </si>
  <si>
    <t>ขาดการทดสอบด้วยข้อมูลรูปแบบสตรีมมิงตามเวลา (Temporal evaluation) และไม่มีการใช้โครงสร้างกราฟ (Graph structure) เพื่อหาความสัมพันธ์ของพฤติกรรม</t>
  </si>
  <si>
    <t>โมเดล WO-XGB สามารถจัดการกับ Concept Drift (CD) และ Class Imbalance (CI) ได้พร้อมกันผ่านกลไก dynamic weight adjustment</t>
  </si>
  <si>
    <t>ทำความแม่นยำสูงถึง 99.98% บนชุดข้อมูล Edge-IIoTset และ 99.81% บน CICIoT2023</t>
  </si>
  <si>
    <t>การนำ k-fold Cross-Validation (CV) มาใช้งานในโครงสร้างช่วยป้องกันการเกิด overfitting และเพิ่ม generalization</t>
  </si>
  <si>
    <t>ไม่มีการพิจารณาถึง Data Leakage อย่างชัดเจน และการแบ่งข้อมูลแบบสุ่ม (random split) แทนการใช้ Chronological split อาจมีผลต่อความแม่นยำเมื่อนำไปใช้จริง</t>
  </si>
  <si>
    <t>ขาดการทดสอบกับชุดข้อมูลที่แบ่งแบบ Temporal Split อย่างเข้มงวดเพื่อยืนยันประสิทธิภาพของโมเดลเมื่อเผชิญกับภัยคุกคามในอนาคต</t>
  </si>
  <si>
    <t>โมเดล HEDL (CNN, LSTM, AutoEncoder, Attention) สามารถตรวจจับ Side-Channel Attack ได้ด้วยความแม่นยำ 98.65% บนชุดข้อมูล ASCAD</t>
  </si>
  <si>
    <t>กลไก Attention ช่วยให้โมเดลสามารถโฟกัสส่วนข้อมูลที่สำคัญใน Power traces ลดการประมวลผลที่ซ้ำซ้อน และเพิ่มความสามารถในการอธิบายผล (Interpretability)</t>
  </si>
  <si>
    <t>โมเดลแสดงให้เห็นถึงความทนทานต่อสัญญาณรบกวน (noise) และข้อมูลที่มีความไม่สมดุล (imbalanced data) ในสภาพแวดล้อมระบบคลาวด์ได้ดี</t>
  </si>
  <si>
    <t>แม้ผู้วิจัยจะระบุเรื่องการแบ่งข้อมูลเพื่อหลีกเลี่ยง Data Leakage แต่ยังใช้วิธี Random Split (80/10/10) บนข้อมูล Sequence ซึ่งอาจทำให้โมเดลเรียนรู้จากข้อมูลอนาคต (Future bias) หรือโครงสร้างเวลาที่ซ้อนทับกัน</t>
  </si>
  <si>
    <t>ขาดการประเมินประสิทธิภาพโมเดลโดยใช้ Temporal Split หรือ Cross-campaign evaluation เพื่อทดสอบความทนทานต่อรูปแบบการโจมตีใหม่ๆ ในอนาคตอย่างแท้จริง</t>
  </si>
  <si>
    <t>ระบบ ADS-Bchain สามารถตรวจสอบความถูกต้องของข้อความผ่านกลไกฉันทามติของบล็อกเชนและ Merkle trees</t>
  </si>
  <si>
    <t>ข้อความที่ถูกโจมตีจะแสดงค่าความแปรปรวนร่วม (covariance) ที่เบี่ยงเบนไปจากข้อความต้นฉบับอย่างเห็นได้ชัด</t>
  </si>
  <si>
    <t>ความเร็วในการประมวลผลของ SHA256 เร็วกว่า HMAC-SHA256 ถึง 21% ในการจัดการบล็อกข้อมูล</t>
  </si>
  <si>
    <t>การประเมินผลอาศัยเพียงการจำลองการโจมตีด้วย Gaussian white noise และ message injection บนเส้นทางการบินเดียวเท่านั้น อาจไม่ครอบคลุมตัวแปรในโลกจริง</t>
  </si>
  <si>
    <t>ขาดการทดสอบกับข้อมูลการโจมตีที่หลากหลายในสภาพแวดล้อมจริง และการประเมินประสิทธิภาพในสเกลใหญ่ที่มีหลายเที่ยวบินพร้อมกัน</t>
  </si>
  <si>
    <t>โมเดล Random Forest ให้ประสิทธิภาพดีที่สุดในการตรวจจับความผิดปกติแบบเรียลไทม์ (Accuracy 93%) เมื่อเทียบกับ KNN (90%)</t>
  </si>
  <si>
    <t>ระบบสามารถสร้างกฎ Firewall แบบไดนามิกและอัปเดตไปยัง SDN Controller ได้ทันทีเมื่อตรวจพบ Traffic ที่เป็นอันตราย</t>
  </si>
  <si>
    <t>มีการใช้ Z-score สำหรับตรวจสอบความผิดปกติทางสถิติของปริมาณเครือข่ายนอกเหนือจาก ML</t>
  </si>
  <si>
    <t>ไม่มีการกล่าวถึง</t>
  </si>
  <si>
    <t>ขาดรายละเอียดวิธีการสุ่มข้อมูล (Sampling), การแบ่งชุดข้อมูล (Train/Test Split) และการควบคุม Data Leakage ที่มักพบในชุดข้อมูล CICIDS 2017</t>
  </si>
  <si>
    <t>การใช้เทคนิค Ensemble Resampling แบบ MAS-OSS ทำงานร่วมกับ XGBoost สามารถให้ผลลัพธ์ที่ดีที่สุดในการตรวจจับ security alerts เชิงบวก โดยได้ค่า Recall ถึง 99.519% และรักษาอัตรา FPR ไว้ต่ำที่ 0.119% (ชุดข้อมูล Enterprise)</t>
  </si>
  <si>
    <t>การผสานเทคนิค Oversampling เข้ากับ Data Subsampling (เช่น One-Sided Selection หรือ Neighborhood Cleaning Rule) ช่วยลบ noise และข้อมูลที่คลุมเครือในฝั่ง Majority class ทำให้แบบจำลองแยกแยะคลาสได้ดีขึ้น</t>
  </si>
  <si>
    <t>ตัวชี้วัด Accuracy เพียงอย่างเดียวมักสร้างความเข้าใจผิดในการประเมินข้อมูลที่มี Imbalance สูงมาก ควรใช้ Metrics อย่าง Recall, FPR, F-score, BCR และ PR-AUC ร่วมด้วย</t>
  </si>
  <si>
    <t>การประเมินประสิทธิภาพใช้ Stratified k-fold cross-validation กับเหตุการณ์ในเครือข่ายที่มีลักษณะเรียงตามเวลา ทำให้มีโอกาสสูงที่โมเดลจะได้เรียนรู้รูปแบบในอนาคตเพื่อนำมาทำนายอดีต (Future-to-past leakage)</t>
  </si>
  <si>
    <t>การแบ่งชุดข้อมูลตามช่วงเวลา (Chronological / Temporal split) หรือ Day-forward-chaining analysis เพื่อจำลองการนำไปใช้งานบนสถานการณ์จริงที่ SOC</t>
  </si>
  <si>
    <t>นำเสนอแนวคิด User Awareness (UA) เพื่อใช้วัดระดับความพยายามในการซ่อนตัวของแอปพลิเคชันจากผู้ใช้ผ่านการวิเคราะห์เชิงพลวัต</t>
  </si>
  <si>
    <t>เสนอให้นำค่าพารามิเตอร์ UA มาใช้ร่วมกับการวิเคราะห์ Dataflow เพื่อลด False positive ในกลไกการตรวจจับมัลแวร์</t>
  </si>
  <si>
    <t>ขาดการประเมินผลเชิงปริมาณ (Quantitative Evaluation), ไม่มีการระบุชุดข้อมูล, และไม่มีการทดสอบกับโมเดล Machine Learning ใดๆ</t>
  </si>
  <si>
    <t>Synaptic นำเสนอเครื่องมือสำหรับตรวจสอบความถูกต้อง (formal verification) ของ SDN control และ data planes ด้วย SMT solvers และ model checking</t>
  </si>
  <si>
    <t>ระบบสามารถสร้าง security policies อัตโนมัติโดยการเรียนรู้ Markovian models (automata) จากการเก็บรวบรวมและรวบยอดข้อมูล NetFlow records</t>
  </si>
  <si>
    <t>ไม่มีการประเมินผลเชิงประจักษ์ (empirical evaluation) ในส่วนของการเรียนรู้โมเดล จึงไม่พบข้อสังเกตหรือการควบคุมเรื่องความลำเอียงในการประเมิน</t>
  </si>
  <si>
    <t>ขาดรายละเอียดทั้งหมดที่เกี่ยวกับการประเมินผลโมเดล ML เช่น ชุดข้อมูล, ตัวชี้วัดประสิทธิภาพ, วิธีการแบ่งข้อมูล (train/test splits) และกระบวนการลด data leakage</t>
  </si>
  <si>
    <t>การใช้วิธี Factorized Merging สามารถลดจำนวน Security Rules ลงได้อย่างมีนัยสำคัญและมีแนวโน้มการเติบโตแบบ Linear เมื่อเทียบกับ Grouped Merging ที่เติบโตแบบ Quadratic</t>
  </si>
  <si>
    <t>Factorized Merging มี Overhead ด้าน Response time ที่ต่ำมาก และสามารถนำไปประยุกต์ใช้เพื่อรวม Security Chains ใน SDN ได้ในทางปฏิบัติ</t>
  </si>
  <si>
    <t>การรวม Security Chains ด้วยวิธี Factorized Merging ไม่ทำให้ความแม่นยำ (Accuracy) ในการตรวจจับการโจมตีลดลงเมื่อเทียบกับการใช้วิธีอื่นๆ</t>
  </si>
  <si>
    <t>การทดสอบใช้อิงเพียงการโจมตีแบบ Port scanning ง่ายๆ ในจำนวนจำกัด (50 flows) อาจไม่ครอบคลุมและไม่สามารถเป็นตัวแทนของการโจมตีระดับสูงที่ซับซ้อนอย่าง APT ได้</t>
  </si>
  <si>
    <t>การประเมินผลกับชุดข้อมูลเชิงพฤติกรรมการโจมตีมาตรฐานที่มีขนาดใหญ่ขึ้น (Large-scale datasets) และการทดสอบกับรูปแบบการโจมตีที่ซับซ้อน</t>
  </si>
  <si>
    <t>โมเดล Random Forest (RF) และ XGBoost (XGB) มีประสิทธิภาพสูงสุดในการจำแนกพฤติกรรมมัลแวร์บนอุปกรณ์ IoT ด้วยค่าเฉลี่ย F1-Score ที่ 0.98</t>
  </si>
  <si>
    <t>การตรวจจับพฤติกรรมผิดปกติและการตัดสินใจของระบบใช้เวลาเพียงประมาณ 10 วินาที และใช้ทรัพยากร (CPU, RAM) ในระดับที่ยอมรับได้สำหรับอุปกรณ์ IoT</t>
  </si>
  <si>
    <t>กลไก MTD (Moving Target Defense) ทั้ง 4 รูปแบบสามารถทำงานประสานกันเพื่อป้องกันและบรรเทาผลกระทบจากมัลแวร์ได้อย่างมีประสิทธิภาพ</t>
  </si>
  <si>
    <t>การสุ่มแบ่งข้อมูลแบบ 80/20 (รวม Cross-validation) จากชุดข้อมูล Event Logs ต่อเนื่อง อาจนำไปสู่ปัญหา Temporal Leakage ได้</t>
  </si>
  <si>
    <t>ขาดการทดสอบด้วยกลยุทธ์ Temporal split หรือข้ามกลุ่มตัวอย่างมัลแวร์ (Cross-campaign) เพื่อพิสูจน์ความทนทานต่อมัลแวร์ที่ยังไม่เคยพบมาก่อน</t>
  </si>
  <si>
    <t>นำเสนอโมเดล FKPCA-GWO WDBiLSTM เพื่อจำแนกการบุกรุกใน cloud environments โดยใช้ Grey Wolf Optimization ช่วยแก้ปัญหา gradient vanishing</t>
  </si>
  <si>
    <t>ใช้ Fisher Kernel PCA (FKPCA) ในการสกัดฟีเจอร์และลดมิติข้อมูลแบบ non-linear เพื่อเพิ่มความแม่นยำให้ classifier</t>
  </si>
  <si>
    <t>โมเดลสามารถทำงานได้ดีบนชุดข้อมูล UNSW-NB15, NSL-KDD99, BoT-IoT และ TUIDS เมื่อเทียบกับ baseline</t>
  </si>
  <si>
    <t>ไม่มีการกล่าวถึงเทคนิคหลีกเลี่ยง train-test contamination นอกเหนือจากการใช้ weight-dropped BiLSTM เพื่อหลีกเลี่ยง overfitting จาก co-adaptions บน training data</t>
  </si>
  <si>
    <t>ขาดการแบ่งชุดข้อมูลแบบ Time-based split (Chronological) ซึ่งมีความสำคัญต่อการประเมิน Intrusion Detection อย่างสมจริง</t>
  </si>
  <si>
    <t>Skip-FA ช่วยลด delay diameter เมื่อเทียบกับ Delayed Skip-FA ได้โดยการปรับทิศทางของ default transitions (skip-trans)</t>
  </si>
  <si>
    <t>ระบบที่นำเสนอมีความเร็วในการจับคู่ (Matching speed) ประมาณ 10B+ ต่อ memory access สำหรับชุดไฟล์ขนาดเล็ก และ 100B+ สำหรับชุดไฟล์ขนาดใหญ่</t>
  </si>
  <si>
    <t>การใช้ memory ของ Skip-FA มีขนาดใกล้เคียงกับไฟล์ต้นฉบับเมื่อใช้เทคนิค compression (winnowing)</t>
  </si>
  <si>
    <t>ไม่เกี่ยวข้อง เนื่องจากเป็นงานวิจัยด้านระบบอัลกอริทึมเครือข่าย (Algorithmic systems) ไม่ใช่การประเมินโมเดล Machine Learning สำหรับ Graph-based APT detection</t>
  </si>
  <si>
    <t>ไม่มีการเปรียบเทียบเชิงปริมาณ (Quantitative comparison) กับ state-of-the-art string matching algorithms อื่น ๆ เช่น Aho-Corasick ในสภาพแวดล้อมเดียวกัน</t>
  </si>
  <si>
    <t>นำเสนอกรอบแนวคิด Digital Triage Forensics (DTF) สำหรับวิเคราะห์มัลแวร์บนระบบปฏิบัติการ Windows โดยอิงตามมาตรฐาน ISO/IEC 27037:2012</t>
  </si>
  <si>
    <t>เสนอการรวบรวมข้อมูล Volatile และ Non-volatile ด้วยเครื่องมือประเภท Command Line Interface (CLI) เพื่อความรวดเร็วในการสืบสวน ณ สถานที่เกิดเหตุ</t>
  </si>
  <si>
    <t>กำหนดระยะการสืบสวนออกเป็น 3 ช่วง (Periods) ได้แก่ Prelusion, Incident, และ Aftermath เพื่อบริหารจัดการ Digital Forensics แบบองค์รวม</t>
  </si>
  <si>
    <t>ไม่มีการทดลองเชิงประจักษ์โดยใช้ Dataset เพื่อวัดประสิทธิภาพของ Toolkit หรือโมเดลอัตโนมัติใดๆ เป็นเพียงการนำเสนอกระบวนการทางทฤษฎี</t>
  </si>
  <si>
    <t>อัลกอริทึม FL-TP สามารถเพิ่มความแม่นยำในการตรวจจับการโจมตีทางไซเบอร์ได้สูงสุด 6.99% และลดข้อผิดพลาดในการทำนายเส้นทางได้สูงสุด 54.86% เมื่อเทียบกับ Baseline</t>
  </si>
  <si>
    <t>อัลกอริทึม Model-robust Estimation (MrE) ช่วยคำนวณน้ำหนักการรวมโมเดล (aggregation weights) โดยให้ความสำคัญกับโมเดลที่มีผลลัพธ์ดีกว่า ช่วยเพิ่มประสิทธิภาพของ Federated Learning</t>
  </si>
  <si>
    <t>FL-TP สามารถรักษาความแม่นยำและหลีกเลี่ยงการลู่เข้าที่ช้า (slow convergence) แม้ในสถานการณ์ที่มีการแทรกซึมของการโจมตีระดับสูงถึง 75%</t>
  </si>
  <si>
    <t>ไม่มีการกล่าวถึงการประเมิน Bias ที่อาจเกิดขึ้นจากการใช้ข้อมูลจำลอง (Simulation-generated dataset) หรือความเสี่ยงจาก Temporal/Entity leakage</t>
  </si>
  <si>
    <t>ไม่มีรายละเอียดการแบ่ง Train/Test Split ที่ชัดเจน และไม่แสดงวิธีการป้องกันข้อมูลรั่วไหลในกระบวนการจำลองสถานการณ์</t>
  </si>
  <si>
    <t>SocialArks ประสบปัญหาข้อมูลรั่วไหลขนาดใหญ่ (408 GB) เนื่องจากเซิร์ฟเวอร์ Elasticsearch ขาดการตั้งค่า Authentication และ Encryption พื้นฐานที่เหมาะสม</t>
  </si>
  <si>
    <t>ผู้โจมตีมักใช้เครื่องมือค้นหาเช่น Shodan สแกนหาพอร์ตที่เปิดไว้ (เช่น 9200) และใช้สคริปต์อัตโนมัติเพื่อดึงข้อมูลโดยไม่ต้องยืนยันตัวตน</t>
  </si>
  <si>
    <t>วิธีป้องกันที่มีประสิทธิภาพ ได้แก่ การเปิดใช้ TLS/SSL, การยืนยันตัวตนผ่าน PKI, การใช้ Shield plug-in เพื่อควบคุมสิทธิ์, และการเข้ารหัส (Encryption)</t>
  </si>
  <si>
    <t>ความท้าทายหลักในการใช้งานระบบ DLP (Email Boundary Control) คือปัญหาด้านการบริหารจัดการมากกว่าด้านเทคโนโลยี</t>
  </si>
  <si>
    <t>การเลือก Mode ของ Rule (เช่น Monitor, Copy, Prevent) มีผลกระทบต่อกระบวนการทำงานของธุรกิจและปริมาณ False positive ที่ฝ่ายความปลอดภัยต้องรับมือ</t>
  </si>
  <si>
    <t>การมีส่วนร่วมของพนักงานหลายฝ่ายและ Change management เป็นหัวใจสำคัญในการหลีกเลี่ยงผลกระทบเชิงลบต่อระบบการทำงาน</t>
  </si>
  <si>
    <t>โมเดล Graph Convolutional Network ที่นำเสนอร่วมกับ non-local block ให้ความแม่นยำสูงกว่า 99.9% ข้ามชุดข้อมูลทดสอบ</t>
  </si>
  <si>
    <t>เวอร์ชัน lightweight ของโมเดลมีพารามิเตอร์เพียงราวๆ 2,200 พารามิเตอร์ และใช้เวลา inference น้อยกว่า 1 ms</t>
  </si>
  <si>
    <t>การแปลงโครงสร้างประโยคคำสั่ง SQL เป็นกราฟสามารถนำมาแยกแยะความผิดปกติได้ดีกว่าโมเดลแบบลำดับ (Sequence-based) อย่าง LSTM และ BERT ทั้งในด้านความเร็วและขนาดโมเดล</t>
  </si>
  <si>
    <t>ไม่มีการวิเคราะห์ผลกระทบของความคล้ายคลึงของชุดข้อมูล (dataset overlap) ระหว่างชุดที่นำมาจาก Kaggle ซึ่งอาจมีประโยค SQL โจมตีแบบเดิมซ้ำๆ</t>
  </si>
  <si>
    <t>ไม่มีการจำลองสภาพแวดล้อมเชิงเวลา (temporal evaluation) เพื่อดูว่าโมเดลสามารถตรวจจับ SQL Injection รูปแบบใหม่ในอนาคตได้หรือไม่</t>
  </si>
  <si>
    <t>การใช้ active learning ที่พิจารณาจาก margin value (uncertainty) และอัตราส่วนความไม่สมดุลของคลาส ช่วยลดจำนวนตัวอย่างที่ต้องติดฉลากในข้อมูลแบบสตรีมได้</t>
  </si>
  <si>
    <t>การใช้ ensemble model ร่วมกับกลไกการตรวจจับ concept drift อย่าง ADWIN ช่วยให้โมเดลสามารถปรับตัวตามการเปลี่ยนแปลงพฤติกรรมในเครือข่ายได้แบบเรียลไทม์</t>
  </si>
  <si>
    <t>วิธี AEPI ให้ผลลัพธ์ F-measure บนกลุ่ม minority class (เช่น VPNStreaming) สูงกว่าโมเดลเปรียบเทียบแบบเดิมในสถานการณ์การสุ่มฉลากจำกัดที่ 50%</t>
  </si>
  <si>
    <t>ผู้วิจัยใช้ prequential evaluation ในสภาพแวดล้อมสตรีมมิ่ง ซึ่งเป็นมาตรฐานที่ดีในการประเมินข้อมูลที่มีคุณลักษณะพึ่งพิงเวลา (time-dependent)</t>
  </si>
  <si>
    <t>ไม่มีการตรวจสอบหรือพูดถึงการทับซ้อนเชิงหน่วยข้อมูล (Entity overlap) เช่น IP หรือ Port ที่ซ้ำซ้อนระหว่างช่วงเวลา</t>
  </si>
  <si>
    <t>2-Factor Authentication (2FA) เป็นมาตรการควบคุมความปลอดภัยพื้นฐานที่สามารถนำมาใช้กับ SME ได้ดีและมีประสิทธิภาพสูงสุดในการปกป้องสินทรัพย์หลักเมื่อเทียบกับข้อจำกัดด้านภาระของผู้ใช้</t>
  </si>
  <si>
    <t>มาตรการประเภท Patching Management ต้องการทรัพยากรบุคคลสูงขึ้นตามขนาดองค์กร ทำให้ SME ขนาดเล็กกว่า (เช่น Single Person หรือ Micro) สามารถนำมาใช้ได้ง่ายกว่า</t>
  </si>
  <si>
    <t>เมื่อมีการบังคับใช้ Security controls มากขึ้น ความเสี่ยงสัมพัทธ์จะถูกผลักไปที่ตัวผู้ใช้งานมากขึ้น (ผู้ใช้มีภาระและอาจกลายเป็นช่องโหว่ประเภท unintentional insider threat)</t>
  </si>
  <si>
    <t>ไม่มีการทดลองแบบ Machine Learning จึงไม่มีการสังเกตเรื่อง Bias ในการ Train/Test</t>
  </si>
  <si>
    <t>การให้คะแนน Indirect cost ยังอิงจากค่าที่ประเมินโดยความเห็น (Subjective) ขาดการวัดผลต้นทุนแฝงของมาตรการความปลอดภัยจากข้อมูลเชิงประจักษ์ในสถานที่จริงอย่างเป็นระบบ</t>
  </si>
  <si>
    <t>โมเดล CMLP ที่นำเสนอสามารถตรวจจับการโจมตีแบบ adversarial ได้แม่นยำถึง 97% ซึ่งสูงกว่าโมเดลเปรียบเทียบเช่น DL-based CSI และ Mask-RCNN</t>
  </si>
  <si>
    <t>การใช้กลไก crossover ภายใน MLP ช่วยลดสัญญาณรบกวน (noisy signals) และแก้ปัญหาความไม่เสถียร (instability) ในการทำนายโรค</t>
  </si>
  <si>
    <t>การลดจำนวนอุปกรณ์ตรวจวัดในระบบมีผลโดยตรงทำให้ความสำเร็จของการโจมตี (untargeted attacks) ลดลง</t>
  </si>
  <si>
    <t>ไม่มีการพิจารณาป้องกันการรั่วไหลของข้อมูลระหว่างชุดฝึกและชุดทดสอบ (Train-test contamination) ในโครงสร้างของข้อมูลซีรีส์สุขภาพ (UQVS)</t>
  </si>
  <si>
    <t>การควบคุม data leakage ทั้งในเชิงเวลา (Temporal split) และระดับบุคคล รวมถึงไม่มีการชี้แจง sampling strategy อย่างชัดเจน</t>
  </si>
  <si>
    <t>การใช้สถาปัตยกรรม Hybrid IDS ด้วย Complex Event Processing (CEP) และ Multivariate Correlation Analysis (MCA) สามารถเพิ่ม Detection Rate สูงสุดถึง 99.046%</t>
  </si>
  <si>
    <t>การอัปเดตข้อมูล feature เมื่อค่าเบี่ยงเบนเกิน Threshold ที่กำหนด (Deviation based feature updation) ช่วยลดการใช้แบนด์วิดท์ของระบบได้อย่างมีนัยสำคัญ</t>
  </si>
  <si>
    <t>การนำข้อมูลจาก Network IDS และ Host IDS มาประมวลผลร่วมกันใน CEP ช่วยระบุภัยคุกคามที่มีความซับซ้อนด้วยอัตรา False Positive ที่ต่ำมาก (0% ถึง 4%)</t>
  </si>
  <si>
    <t>การทดสอบถูกกระทำใน Testbed จำลองขนาดเล็ก (4 เครื่อง) และการเปรียบเทียบอาศัย KDD99 โดยไม่มีการควบคุมการกระจายตัวของข้อมูลหรือ Bias ใดๆ</t>
  </si>
  <si>
    <t>ขาดการอธิบายรายละเอียดด้านการแบ่งชุดข้อมูล การทำ Sampling รวมถึงไม่พิจารณาการประเมินแบบอิงช่วงเวลา (Temporal drift) ในการตรวจจับความผิดปกติ</t>
  </si>
  <si>
    <t>สามารถส่งข้อมูลดิจิทัล (ข้อความ, ภาพ, และ malware) ผ่านช่องสัญญาณเสียงของสมาร์ทโฟนเพื่อหลบเลี่ยงระบบ Mobile Data Loss Prevention (MDLP) ได้</t>
  </si>
  <si>
    <t>การใช้เทคนิค 4-FSK Modulation ให้ประสิทธิภาพ (Performance) โดยรวมสูงที่สุดเมื่อเทียบกับการทดลองอื่นๆ ในแง่ของ Bit rate</t>
  </si>
  <si>
    <t>การนำ Post-processing เช่น Outlier detection filter และ Spell correction มาใช้ สามารถช่วยลดความคลาดเคลื่อน (Distortion) ของรูปภาพและข้อความได้อย่างมีนัยสำคัญ</t>
  </si>
  <si>
    <t>ไม่มี (Not Applicable) เนื่องจากบทความนี้เน้นการส่งและรับสัญญาณผ่าน Voice Codec (AMR) โดยไม่ได้สร้างและประเมินโมเดล Machine Learning</t>
  </si>
  <si>
    <t>ไม่มีการทดสอบหรือแบ่งข้อมูลแบบ Machine Learning (Train/Test splits) และไม่มีโครงสร้างข้อมูลแบบกราฟ</t>
  </si>
  <si>
    <t>เสนอสถาปัตยกรรมแบบ Modular ที่ใช้หลักการ Zero Trust สำหรับระบบ Instant Messaging โดยเฉพาะ</t>
  </si>
  <si>
    <t>ผสานการใช้ TLS protocol, Multi-factor authentication และ E3DH ร่วมกับ Double Ratchet algorithm เพื่อป้องกันการเข้าถึงที่ไม่ได้รับอนุญาต</t>
  </si>
  <si>
    <t>การปรับใช้ Zero Trust ช่วยลดความเสี่ยงด้านการรั่วไหลของข้อมูลและการโจมตีแบบ Man-in-the-middle ได้อย่างมีนัยสำคัญ</t>
  </si>
  <si>
    <t>ไม่ปรากฏการทดลองเชิงประจักษ์ (Empirical evaluation) หรือการทดสอบบนชุดข้อมูลจริง มีเพียงการนำเสนอแนวคิดและสถาปัตยกรรม</t>
  </si>
  <si>
    <t>Random Forest (RF) ให้ประสิทธิภาพและ generalization ดีที่สุด รองลงมาคือ Gradient Boosting (GB)</t>
  </si>
  <si>
    <t>Logistic Regression (LR) มีปัญหา overfitting ใน late regimes และมีค่า recall ต่ำกว่า ensemble methods</t>
  </si>
  <si>
    <t>การนำเสนอสถาปัตยกรรม IDS แบบลำดับชั้น (LR ที่ sensor, RF ที่ cluster-heads, GB ที่ gateway) ช่วยบริหารจัดการข้อจำกัดด้านทรัพยากรใน WSN ได้ดี</t>
  </si>
  <si>
    <t>ผู้วิจัยตั้งข้อสังเกตว่าผลลัพธ์ที่สมบูรณ์แบบเกือบ 100% เป็นผลมาจาก feature redundancy และ class boundaries ที่แยกกันชัดเจนเกินไปในชุดข้อมูล IDSAI</t>
  </si>
  <si>
    <t>ขาดการประเมินผลบนข้อมูลการโจมตีที่เป็น zero-day หรือมีความซับซ้อนจากการทำงานของเครือข่ายจริงแบบผสมผสาน (blended protocols)</t>
  </si>
  <si>
    <t>พบว่านักลงทุนมีปฏิกิริยาเชิงลบต่อข่าวการประกาศข้อมูลรั่วไหล (H1 supported) โดยมีผลตอบแทนผิดปกติเชิงลบตั้งแต่วันที่ -3 ก่อนประกาศเนื่องจากมีข่าวรั่วไหล (preannouncement leakage)</t>
  </si>
  <si>
    <t>การประกาศข่าวรั่วไหลในช่วงที่ตลาดมีความผันผวนสูง (VIX) จะส่งผลให้ผลตอบแทนหุ้นเกิดการลดลงเชิงลบอย่างรุนแรงขึ้น (H4 supported)</t>
  </si>
  <si>
    <t>ระยะเวลาการรายงานการรั่วไหลล่าช้าและการตอบสนองของบริษัท ไม่มีผลต่อนักลงทุนอย่างมีนัยสำคัญ แต่กลับพบว่านักลงทุนมีปฏิกิริยาเชิงลบน้อยกว่าหากการโจมตีมาในรูปแบบ Phishing</t>
  </si>
  <si>
    <t>ไม่มีประเด็นอคติการประเมินผลด้าน Machine Learning (Evaluation bias) เนื่องจากไม่ใช่การทำโมเดล 예측 อย่างไรก็ตาม มีการคัดกรอง confounding events อย่างเป็นระบบ</t>
  </si>
  <si>
    <t>ขาดการประเมินผลกระทบจากมาตรการทางเลือกอื่นๆ ของบริษัท เช่น นโยบายประกันภัยไซเบอร์ (cyber insurance) และผลกระทบต่อความสัมพันธ์กับ third-party vendors</t>
  </si>
  <si>
    <t>CNN-GRU สามารถทำงานได้รวดเร็ว กินทรัพยากรน้อย และให้ผลลัพธ์ใกล้เคียงหรือดีกว่า CNN-LSTM และ Transformer ในสถานการณ์ In-distribution</t>
  </si>
  <si>
    <t>ประสิทธิภาพของโมเดลตกลงอย่างมีนัยสำคัญในสถานการณ์ Cross-vehicle และ Cross-attack แสดงให้เห็นถึงปัญหา Domain shift เมื่อเจอกับรูปแบบแฝง (unseen attacks) ที่ไม่ได้อยู่ในชุดข้อมูลฝึกฝน</t>
  </si>
  <si>
    <t>การจำลองการสตรีมมิ่งตามเวลาจริง (time-window evaluation) เผยให้เห็นว่าแม้โมเดลจะมีประสิทธิภาพดีในภาพรวม แต่ยังคงมีความผันผวนสูงในการตรวจจับภัยคุกคามรูปแบบใหม่แบบ Real-time</t>
  </si>
  <si>
    <t>ผู้แต่งสังเกตว่าการใช้ in-distribution evaluation ธรรมดามักทำให้ผลลัพธ์ดูสูงเกินจริง (overstated) การทดสอบข้ามระบบยานยนต์ (cross-vehicle) และทดสอบผ่าน streaming-like loop สะท้อนความท้าทายที่แท้จริงได้ดีกว่า</t>
  </si>
  <si>
    <t>ขาดเทคนิคทางด้าน Domain adaptation หรือ Continual learning ในการบรรเทาปัญหา performance drop ข้ามโดเมนยานยนต์ และขาดการอธิบายผลลัพธ์ระดับโครงสร้างเชิงลึก (Intrinsic Explainability) สำหรับโมเดล Deep Learning</t>
  </si>
  <si>
    <t>การใช้วิธี ENSIDS ซึ่งอิงจากการทำ Bagging และส่งต่อ Misclassified instances ช่วยแก้ปัญหาการเปลี่ยนแปลงการกระจายตัวของคลาสและ Class imbalance ใน Data stream ได้ดี</t>
  </si>
  <si>
    <t>ENSIDS ทำประสิทธิภาพได้ดีกว่า Learn++.NSE และ Learn++.NIE ในด้าน F-measure และ G-mean บนทุก dataset ที่ถูกประเมินผล</t>
  </si>
  <si>
    <t>การให้ค่าน้ำหนัก classifier ที่มีประสิทธิภาพด้วย Sigmoid function ควบคู่กับการประเมิน weighted error average ช่วยเพิ่มความแม่นยำของการทำ Majority voting</t>
  </si>
  <si>
    <t>การแบ่งข้อมูลในชุดทดสอบ Stock Market มีช่วงเวลาเหลื่อมซ้อนกันระหว่าง Training data และ Testing data ส่งผลให้โมเดลอาจจดจำรูปแบบข้อมูล (Leakage) แทนที่จะคาดการณ์ข้อมูลใหม่ได้จริง</t>
  </si>
  <si>
    <t>ขาดการประเมินในบริบทของ Graph structure หรือ Threat model ด้าน Security ที่แท้จริง (ใช้ข้อมูลทั่วไปอย่างเบาหวานและตลาดหุ้นแทน)</t>
  </si>
  <si>
    <t>นำเสนอวิธีการแบบ Hybrid ซึ่งผสานการวิเคราะห์แบบ Static และ Dynamic เพื่อตรวจจับแอปพลิเคชัน Android ที่ขโมยหรือทำข้อมูลสำคัญรั่วไหล</t>
  </si>
  <si>
    <t>Static Analysis ใช้สำหรับดึงข้อมูลโครงสร้างพื้นฐานจาก AndroidManifest.xml และระบุ API call ที่เข้าถึงข้อมูลละเอียดอ่อน</t>
  </si>
  <si>
    <t>Dynamic Analysis อาศัย Symbolic Execution ผ่านการทำ Sandbox Testing เพื่อติดตามเส้นทางข้อมูล (Data Path) แบบรันไทม์ว่ามีการส่งออกนอกระบบหรือไม่</t>
  </si>
  <si>
    <t>ไม่มีการใช้ Machine Learning ในการประเมินผลและไม่มีชุดข้อมูลมาตรฐาน จึงไม่พบการกล่าวถึงการจัดการ Evaluation Bias อย่างเป็นระบบ</t>
  </si>
  <si>
    <t>ไม่มีสถิติผลการทดลอง (Accuracy, F1-score), การเปรียบเทียบกับเครื่องมืออื่น (Baselines), หรือคำอธิบายชุดข้อมูลที่ใช้ทดสอบ</t>
  </si>
  <si>
    <t>SCDFLOW และอัลกอริทึม CFlowSel สามารถคัดกรอง data flows ที่ไม่จำเป็นออก และลดมิติข้อมูลของฟีเจอร์ได้อย่างมีประสิทธิภาพ</t>
  </si>
  <si>
    <t>การคัดกรองเฉพาะ critical data flows ช่วยเพิ่ม F-measure และ AUC รวมถึงมีอัตราการตรวจจับมัลแวร์ที่ดีกว่า MUDFLOW เดิมประมาณ 5.73%-9.07%</t>
  </si>
  <si>
    <t>แอปพลิเคชันทั่วไป (Benign) จากปี 2014 ยังสามารถเป็นตัวแทนที่ดีของพฤติกรรมใช้งานแอปฯ ทั่วไปในปี 2016 ได้</t>
  </si>
  <si>
    <t>ไม่มีการทดสอบ chronological split ในกลุ่มมัลแวร์ ทำให้คะแนนอาจสูงเกินจริงเพราะโมเดลเห็นข้อมูลแวดล้อมจากอนาคตในกระบวนการฝึกสอนโมเดลข้าม fold</t>
  </si>
  <si>
    <t>การประเมินผลที่มีความตระหนักถึง Time-dependency ของพฤติกรรมมัลแวร์ (Temporal split) และการจัดการ Data leakage แบบจำเพาะ</t>
  </si>
  <si>
    <t>การใช้ LSTM กับข้อมูล API call sequences ความยาว 1,000 ลำดับแรก ช่วยในการจำแนกตระกูลมัลแวร์แบบ multiclass ได้อย่างมีประสิทธิภาพ</t>
  </si>
  <si>
    <t>โมเดลที่นำเสนอให้ประสิทธิภาพ F1-score โดยเฉลี่ย (Weighted-average) ที่ 48% ซึ่งสูงกว่าวิธีการ traditional ML อย่าง DT, k-NN, SVM และ RF</t>
  </si>
  <si>
    <t>ประสิทธิภาพในคลาส Spyware และ Trojan ต่ำกว่าคลาสอื่นๆ โดยผู้แต่งระบุว่ามีสาเหตุมาจากข้อมูลที่มีสัญญาณรบกวน (noisy data)</t>
  </si>
  <si>
    <t>การประเมินผลอ้างอิงจากการแบ่งข้อมูลสัดส่วน 75/25 โดยไม่ได้ระบุกลไกการป้องกัน data leakage นอกเหนือจากการลบ duplicate hash</t>
  </si>
  <si>
    <t>ขาดการประเมินผลเชิงเวลา (Temporal Evaluation) และการควบคุม train-test contamination ระหว่าง campaign ที่เชื่อมโยงกัน</t>
  </si>
  <si>
    <t>Gradient Boosting Machine (GBM) ให้ประสิทธิภาพสูงสุดด้วยความแม่นยำ 96.05% และ ROC-AUC 0.9924</t>
  </si>
  <si>
    <t>การรวม Feature selection (SelectKBest ด้วย Mutual Information) ไว้ภายใน Cross-validation ช่วยป้องกัน Data leakage ได้อย่างมีประสิทธิภาพ</t>
  </si>
  <si>
    <t>ประสิทธิภาพของโมเดลจะอิ่มตัวและไม่เพิ่มขึ้นอย่างมีนัยสำคัญเมื่อคัดเลือกฟีเจอร์เกินกว่า 30-40 ฟีเจอร์แรก</t>
  </si>
  <si>
    <t>การคัดเลือกฟีเจอร์จากชุดข้อมูลทั้งหมดก่อนทำการแบ่งกลุ่ม Train-Test ในงานวิจัยก่อนๆ ก่อให้เกิด Feature Leakage ซึ่งนำไปสู่การประเมินประสิทธิภาพที่สูงเกินจริงแบบมองโลกในแง่ดี (Overly optimistic)</t>
  </si>
  <si>
    <t>การประเมินผลข้ามชุดข้อมูล (Cross-dataset validation) และการอัปเดตโมเดลตามช่วงเวลา (Longitudinal updates) เพื่อจัดการกับปัญหา Model drift</t>
  </si>
  <si>
    <t>จำแนกความเสี่ยงของ LLM เป็น vulnerability-centric risks (เช่น data leakage, bias) และ threat-centric risks (เช่น prompt manipulation, data poisoning)</t>
  </si>
  <si>
    <t>บริบทการทหารของ DoD ต้องการความลับสุดยอด ความน่าเชื่อถือแบบเรียลไทม์ และมาตรการรักษาความปลอดภัยที่ปรับแต่งมาเฉพาะเจาะจง มากกว่าการใช้โมเดลทั่วไปแบบ civilian</t>
  </si>
  <si>
    <t>การนำ LLM มาใช้ใน DoD จะต้องอาศัยแนวทางแบบผสมผสาน (Hybrid) การปกป้องข้อมูลแบบ Zero Trust และการทำงานแบบ Human-in-the-loop (HITL)</t>
  </si>
  <si>
    <t>การแปลงโครงสร้างกราฟโดยให้โหนดคือ Flow แทนที่จะเป็น User/IP ช่วยป้องกันปัญหา IP Spoofing และลดการใช้หน่วยความจำ</t>
  </si>
  <si>
    <t>การถ่วงน้ำหนัก Edge ด้วย Cosine Similarity ช่วยให้ Graph Attention Networks สามารถตรวจจับพฤติกรรมการโจมตีที่เกิดซ้ำๆ (Iterative malicious behavior) ได้อย่างมีประสิทธิภาพ</t>
  </si>
  <si>
    <t>โมเดลที่ประเมินด้วย IP-based Split สามารถทำคะแนน F1-score ได้ 0.937 และ AUC 0.965 แม้ถูกทดสอบกับกลุ่ม IP และประเภทการโจมตีใหม่ๆ</t>
  </si>
  <si>
    <t>การแบ่งข้อมูลแบบ Random Split แบบมาตรฐานที่ใช้ในงานวิจัยอื่น ทำให้เกิดอคติการประเมินอย่างรุนแรง (Overly high performance) เนื่องจากโมเดลแอบเห็นข้อมูลจาก Session หรือผู้โจมตีเดียวกันในชุดทดสอบ</t>
  </si>
  <si>
    <t>ไม่ได้ทดสอบการแบ่งข้อมูลตามลำดับเวลาจริง (Temporal Split) ซึ่งจำเป็นต่อการประเมิน Concept Drift ตามกาลเวลาอย่างสมบูรณ์</t>
  </si>
  <si>
    <t>สถาปัตยกรรม EfficientNetV2B0 ผสานกับ SE-attention และ Focal Loss สามารถจำแนกภาพที่ถูกปรับแต่งได้อย่างแม่นยำ ได้ F1-Score สูงสุดถึง 0.9997 ในชุดข้อมูล Defacto</t>
  </si>
  <si>
    <t>การใช้ Fused-MBConv ช่วยรักษาความละเอียดโครงสร้างของภาพ ทำให้จำแนกรอยต่อของการทำ Splicing ได้ดี</t>
  </si>
  <si>
    <t>โมเดลสามารถทำงานข้ามความละเอียดและทนทานต่อ artifact จากการบีบอัดภาพ (Compression) ได้ดีกว่าวิธีดั้งเดิม</t>
  </si>
  <si>
    <t>การทดสอบส่วนใหญ่ดำเนินการและรายงานผลแยกรายชุดข้อมูล (In-dataset evaluation) ยังขาดผลการทดสอบแบบ Cross-dataset อย่างเป็นรูปธรรมในตารางผลลัพธ์</t>
  </si>
  <si>
    <t>ขาดการทดสอบความทนทานต่อ Adversarial Attacks เชิงลึก และไม่พบการทดสอบ Cross-dataset generalization matrix แบบไขว้ทุกชุดข้อมูล</t>
  </si>
  <si>
    <t>การใช้สถิติการเรียกใช้ dataflow-related APIs ในส่วนประกอบต่างๆ ของแอปพลิเคชันเป็นฟีเจอร์ที่มีประสิทธิภาพในการจัดหมวดหมู่แอปปกติและมัลแวร์</t>
  </si>
  <si>
    <t>โมเดล KNN ที่ใช้อัลกอริทึม Improved Mahalanobis distance โดยให้น้ำหนักกับกลุ่ม API ที่เกี่ยวข้องกับมัลแวร์สูงสุด 150 อันดับแรก ให้ค่าความแม่นยำสูงถึง 97.66%</t>
  </si>
  <si>
    <t>การใช้รายชื่อ API สำคัญที่คัดกรองจากกระบวนการ Machine Learning (Refined API list) ช่วยลดเวลาการทำ Static data flow analysis ได้เกือบ 40% และยังคงพบเส้นทางการรั่วไหลกว่า 85%</t>
  </si>
  <si>
    <t>ไม่มีการควบคุมตัวแปรเวลาหรือความคล้ายคลึงของมัลแวร์ การคัดแยกแอปจากแหล่งที่มาคนละโดเมน (ตลาดแอปจีน กับฐานข้อมูลมัลแวร์) อาจทำให้โมเดลเรียนรู้จุดเด่นของแพลตฟอร์มแทนลักษณะที่แท้จริงของมัลแวร์</t>
  </si>
  <si>
    <t>การแบ่งชุดข้อมูลทดสอบแบบ Time-aware และ Entity deduplication ไม่ได้ถูกพูดถึง รวมถึงไม่ได้ประเมินผลการตรวจจับมัลแวร์ชนิดใหม่ที่ไม่เคยพบมาก่อน (Zero-day detection)</t>
  </si>
  <si>
    <t>Machine learning-based anomaly detection สามารถตรวจจับภัยคุกคามในระบบ BYOD แบบ real-time แต่อาจเกิด false positives ได้หากไม่ปรับจูนโมเดลอย่างเหมาะสม</t>
  </si>
  <si>
    <t>Behavior analysis สามารถวิเคราะห์พฤติกรรมผู้ใช้เพื่อชี้วัดความเสี่ยงได้ แต่สิ้นเปลืองทรัพยากรและเกิด false positives ได้ง่ายหากพฤติกรรมผู้ใช้เปลี่ยนแปลงบ่อย</t>
  </si>
  <si>
    <t>Predictive analytics และ NLP สามารถพยากรณ์ความเสี่ยงและตรวจหาข้อมูลรั่วไหลผ่านข้อความได้ แต่ต้องการชุดข้อมูลขนาดใหญ่ที่มีคุณภาพสูงในการฝึกสอน</t>
  </si>
  <si>
    <t>บทความไม่มีการทดลองทางสถิติหรือการตั้งค่าทดสอบด้วยชุดข้อมูลจริง ทำให้ขาดรายละเอียดที่เกี่ยวข้องกับ Evaluation Methodology ทั้งหมด</t>
  </si>
  <si>
    <t>ผู้เข้าร่วมการแข่งขันค้นพบช่องโหว่ใหม่ 3 รายการในบริการของระบบ AGL (Automotive Grade Linux) และอีก 1 รายการสืบทอดมาจาก Linux Bluetooth library</t>
  </si>
  <si>
    <t>การโจมตี IVI สามารถทำ Lateral movement ไปยัง CAN bus ของรถยนต์และสมาร์ทโฟนของผู้ขับขี่ได้ นำไปสู่การขโมยข้อมูลส่วนบุคคลและการทำ Denial of Service</t>
  </si>
  <si>
    <t>สถาปัตยกรรมด้านความปลอดภัยที่กำหนดสิทธิ์แบบหยาบ (Coarse-grained permission) ทำให้ผลกระทบจากการถูกเจาะระบบรุนแรงขึ้น เช่น การที่ homescreen เข้าถึงรหัสผ่าน Wi-Fi ได้</t>
  </si>
  <si>
    <t>AI-driven anomaly detection achieved a 95% accuracy rate in identifying unauthorized access attempts.</t>
  </si>
  <si>
    <t>ECC introduced the lowest latency (20 ms) while maintaining strong encryption standards.</t>
  </si>
  <si>
    <t>Biometric methods received higher usability and immersion ratings compared to non-biometric methods.</t>
  </si>
  <si>
    <t>การประเมินไม่ได้กล่าวถึงการควบคุม bias หรือ leakage ในการสร้างและทดสอบโมเดล AI</t>
  </si>
  <si>
    <t>ขาดรายละเอียดเกี่ยวกับ dataset ที่ใช้สอนโมเดล AI, วิธีการแบ่งข้อมูล train/test, และการป้องกัน data leakage</t>
  </si>
  <si>
    <t>งานวิจัยนำเสนอการแปลง API calls ที่สกัดจากไฟล์ PE ให้เป็น Control Flow Graphs (CFGs) และใช้ความถี่ของการปรากฏเป็น Feature vector สำหรับ Classification</t>
  </si>
  <si>
    <t>การคัดเลือก Feature ใช้กระบวนการ SelectKBest พร้อมกับ Chi-squared scoring ร่วมด้วยเพื่อหา API ที่มีความสัมพันธ์กับคลาสของข้อมูลมากที่สุด</t>
  </si>
  <si>
    <t>โมเดลสามารถทำ Accuracy ได้สูงสุดถึง 95% สำหรับ PEs ที่ไม่ได้ถูกทำ obfuscation แต่ความแม่นยำลดลงต่ำกว่า 60% หากไฟล์นั้นถูก obfuscate หรือเข้ารหัสไว้</t>
  </si>
  <si>
    <t>ผู้วิจัยใช้การสุ่มแบ่งข้อมูล (Random split) อย่างเดียว ซึ่งในข้อมูล Malware มักจะมีความสัมพันธ์เชิงเวลา (Temporal) หรือมีการนำโค้ดกลับมาใช้ซ้ำ การไม่ทำ Temporal split อาจทำให้ประเมินผลสูงเกินจริง</t>
  </si>
  <si>
    <t>ไม่มีการเปรียบเทียบประสิทธิภาพกับ Baselines หรือ ML/GNN โมเดลอื่นๆ และไม่มีการตรวจสอบ Cross-dataset contamination ของไฟล์มัลแวร์ข้ามชุดข้อมูล</t>
  </si>
  <si>
    <t>คุณสมบัติ Access Hit Ratio (AHR) ที่นำเสนอใหม่สามารถระบุ DNS tunneling traffic ได้ชัดเจนกว่า Cache Hit Ratio (CHR) แบบดั้งเดิม</t>
  </si>
  <si>
    <t>หาก Malware ทิ้งช่วงเวลาระหว่างการส่ง Query นานเกินไป (เช่น 100 วินาที) AHR จะไม่สามารถแยกแยะการโจมตีจาก Traffic ปกติได้</t>
  </si>
  <si>
    <t>การเข้าถึงเว็บไซต์ใหม่ที่ไม่เคยมีใน Cache/Access list มาก่อนสามารถทำให้ AHR ลดลงอย่างรวดเร็วและเกิด False alarm ได้</t>
  </si>
  <si>
    <t>กระบวนการประเมินประสิทธิภาพเกิดจากการสังเกตกราฟเชิงเวลา (Time series) บนข้อมูลทดสอบในแล็บ และหาเส้นแบ่ง threshold แบบฮิวริสติก (Heuristic) โดยไม่มีการแบ่งข้อมูลอิสระ (Independent hold-out set) มาเพื่อวัดผลความแม่นยำอย่างเป็นระบบ</t>
  </si>
  <si>
    <t>ขาดการวัดผลลัพธ์ผ่านตัวชี้วัดที่เป็นมาตรฐาน (เช่น F1-score, Precision, Recall) ขาดการแบ่ง Train/Test set และชุดข้อมูลการประเมินเป็นข้อมูลส่วนตัวที่เก็บในห้องแล็บซึ่งไม่มีความหลากหลายเพียงพอ</t>
  </si>
  <si>
    <t>นำเสนอการปรับแต่ง Linux Kernel โดยดักจับคำสั่ง execve() เพื่อสกัดกั้นกระบวนการทำ memory dump จากผู้ไม่หวังดีภายในองค์กร</t>
  </si>
  <si>
    <t>ใช้โมเดล BERT วิเคราะห์บริบทของข้อความใน memory dump เพื่อคัดกรองข้อมูลสำคัญหรือความลับทางทหารออกก่อนจะบันทึกลงไฟล์</t>
  </si>
  <si>
    <t>ผลการทดสอบออฟไลน์พบว่าโมเดลมีความแม่นยำ 99.67% และทำงานได้ดีกับโปรแกรมทั่วไปและแอปพลิเคชันอย่าง WhatsApp Web</t>
  </si>
  <si>
    <t>ไม่มีการอธิบายถึงกลยุทธ์การแบ่งชุดข้อมูลอย่างชัดเจน การทดสอบทำในสภาพแวดล้อมที่ควบคุมได้และมีจำนวนตัวอย่างน้อย (เช่น ทดสอบ 45 ข้อความใน WhatsApp)</t>
  </si>
  <si>
    <t>ขาดการเปรียบเทียบประสิทธิภาพกับโมเดลการเรียนรู้เชิงลึกอื่นๆ, ไม่มีการประเมินในระยะยาว (temporal distribution) และไม่ได้ระบุถึงวิธีจัดการ Data Leakage</t>
  </si>
  <si>
    <t>การใช้ Vertical Support (VS) threshold ที่แตกต่างกันสำหรับ Temporal Patterns (TPs) แต่ละประเภท (size-1 และ size-2) ช่วยเพิ่มความแม่นยำในการตรวจจับและลด computational cost ได้เมื่อเทียบกับการใช้ Universal VS threshold</t>
  </si>
  <si>
    <t>การจำกัดจำนวน size-1 TPs ให้ลดลงมีผลโดยตรงในการลด computational cost ได้อย่างมากโดยไม่กระทบความแม่นยำมากนัก</t>
  </si>
  <si>
    <t>การเพิ่มจำนวนของ size-2 TPs ที่นำมาคัดเลือก สามารถช่วยเพิ่ม detection accuracy ได้อย่างมีนัยสำคัญ</t>
  </si>
  <si>
    <t>การคัดเลือก Feature จากจำนวนรวมของ Dataset โดยไม่ได้ระบุว่ามีการแบ่ง Train/Test Split ก่อนทำ Feature Selection หรือไม่ อาจทำให้เกิด Label Leakage (Feature Selection Bias)</t>
  </si>
  <si>
    <t>ขาดการระบุ Split Strategy, ขาดการประเมินแบบอิงช่วงเวลา (Chronological Evaluation), และขาดการวิเคราะห์ False Positives อย่างละเอียด</t>
  </si>
  <si>
    <t>DMCCA uses less memory (8.2) compared to baseline algorithms like AES, DES, RSA, BLOWFISH, and 3-DES.</t>
  </si>
  <si>
    <t>DMCCA achieves high average entropy per byte of encryption (3.98616), outperforming other standard algorithms except being slightly higher than Blowfish.</t>
  </si>
  <si>
    <t>Not Applicable (The paper focuses on cryptographic performance metrics rather than predictive machine learning models)</t>
  </si>
  <si>
    <t>Dynamic Deep Forest (DDF) ให้ผลความแม่นยำสูงกว่า XGBoost และ Deep Belief Network (DBN) ในการจำแนกประเภทการโจมตีเครือข่าย</t>
  </si>
  <si>
    <t>การใช้โครงสร้างแบบ Cascade tree และ Dynamic level-growing ช่วยลดเวลาในการเทรนโมเดลได้อย่างมากเมื่อเทียบกับ Deep Learning</t>
  </si>
  <si>
    <t>การประเมินด้วย Average-cost metric ชี้ให้เห็นว่า DDF มีความเสี่ยงในการจำแนกผิดพลาดที่สร้างความเสียหายน้อยที่สุดเมื่อเทียบกับวิธีอื่น</t>
  </si>
  <si>
    <t>การใช้ KDD'99 ที่มีปัญหาข้อบกพร่องที่รู้กันดีในวงการ และการใช้ K-fold cross-validation โดยไม่แบ่งเวลา (Temporal split) อาจทำให้ผลประเมินสูงเกินจริง</t>
  </si>
  <si>
    <t>ขาดการประเมินความสามารถบนชุดข้อมูลเครือข่ายสมัยใหม่ และไม่มีการนำเสนอเทคนิคการควบคุมการรั่วไหลของข้อมูล (Leakage control)</t>
  </si>
  <si>
    <t>การใช้เทคนิค AI และ Machine Learning สามารถเพิ่มขีดความสามารถในการตรวจจับภัยคุกคามแบบ zero-day ได้อย่างรวดเร็วระดับนาที (real-time anomaly identification)</t>
  </si>
  <si>
    <t>ระบบตอบสนองอัตโนมัติ (Automated Response Systems) ช่วยลดความหน่วงเวลาและพึ่งพามนุษย์น้อยลงในการยับยั้งการโจมตีเครือข่าย</t>
  </si>
  <si>
    <t>Adversarial Machine Learning เป็นภัยคุกคามรูปแบบใหม่ต่อระบบ AI ด้านความปลอดภัยที่ผู้พัฒนาระบบต้องคำนึงถึงและสร้างโมเดลที่ทนทานต่อการถูกหลอกลวง</t>
  </si>
  <si>
    <t>ไม่มีการพูดถึง Evaluation Bias ในบริบทของการทดลองทางเทคนิค (กล่าวถึงเพียง Ethical Bias ใน AI ทั่วไป)</t>
  </si>
  <si>
    <t>ขาดรายละเอียดวิธีการประเมินผลเชิงประจักษ์ทั้งหมด เช่น ชุดข้อมูลที่ใช้ ตัวชี้วัด วิธีการแบ่งชุดข้อมูล และการป้องกันข้อมูลรั่วไหล</t>
  </si>
  <si>
    <t>PMPGuard สามารถป้องกันและตรวจจับ Hardware Trojans โดยใช้พื้นที่เพิ่มขึ้น 2 เท่าและพลังงาน 1.5 เท่า ซึ่งดีกว่าวิธี TMR ที่ใช้ 3 เท่า</t>
  </si>
  <si>
    <t>การตรวจจับการโจมตีแบบ DoS ทำได้โดยอาศัยการเฝ้าระวังความล่าช้า (delay) ของ read/write ใน pipeline buffers เทียบกับค่าวิกฤตที่ตั้งไว้</t>
  </si>
  <si>
    <t>การนำแนวคิด random reassignment (Inter, Intra, Grouped) มาใช้ช่วยจำกัดระยะเวลาการทำงานของ core ที่ติดมัลแวร์และลดปริมาณข้อมูลที่ถูกขโมย (Data Leakage Payload) ได้</t>
  </si>
  <si>
    <t>ไม่มีการใช้ Machine Learning ในงานวิจัยนี้ (อ้างอิงถึง Data Leakage ในบริบทของผลกระทบจากฮาร์ดแวร์โทรจัน ไม่ใช่ข้อมูลการประเมินผลโมเดล)</t>
  </si>
  <si>
    <t>โมเดล PP-GAN สามารถแก้ไขปัญหา data imbalance ของ traffic ผ่านการ oversampling โดยเพิ่มความแม่นยำรวมให้ดีขึ้นได้</t>
  </si>
  <si>
    <t>การกรอง Privacy features ออกก่อนทำ Data Synthesis ช่วยลดการรั่วไหลของข้อมูลส่วนบุคคลได้ประมาณ 10% โดย Accuracy ลดลงเพียงเล็กน้อย (0.55%)</t>
  </si>
  <si>
    <t>PP-GAN ประหยัดทรัพยากรมากกว่า GAN ปกติในขั้นตอน Data Generation (ลด Latency 1.81%) เนื่องจากละเว้นการสร้างข้อมูลในส่วนที่เป็น Privacy</t>
  </si>
  <si>
    <t>ไม่มีการชี้แจง Data splits ที่แน่นอน (Train/Test) ระหว่างนำชุดข้อมูล Augmented ไปเทรน Logistic Regression ส่งผลให้อาจมีความเสี่ยงเรื่อง Train-Test Overlap</t>
  </si>
  <si>
    <t>ขาดการระบุ Split Strategy, ไม่มี Time-based evaluation ที่สอดคล้องกับพฤติกรรมจริงของ Network IDS, ขาดความชัดเจนเรื่อง Data Leakage ในกระบวนการ Evaluate Machine Learning</t>
  </si>
  <si>
    <t>การรวมคุณลักษณะ GAF, MTF และ RP เป็นภาพแบบผสม (composite image) ช่วยเพิ่มความแม่นยำในการจำแนกประเภท NCTC ได้ดีกว่าการใช้แบบเดี่ยว</t>
  </si>
  <si>
    <t>โมเดล MobileViT ซึ่งเป็น Lightweight CNN มีความแม่นยำใกล้เคียงโมเดลขนาดใหญ่แต่ใช้พารามิเตอร์น้อยและตรวจจับได้เร็วกว่า</t>
  </si>
  <si>
    <t>การใช้ Window size ขนาดเล็ก (เช่น 32 หรือ 64 IPDs) สามารถให้ความแม่นยำที่สูงได้และช่วยลดความเสี่ยงต่อ Small-size data leakage เมื่อเทียบกับวิธีดั้งเดิม</t>
  </si>
  <si>
    <t>การสร้างตัวอย่างภาพจาก Time-series ด้วย Sliding window มักทำให้เกิดข้อมูลทับซ้อนกัน เมื่อถูกแบ่งด้วยสัดส่วน 9:1 แบบสุ่ม (Random Split) จะนำไปสู่ Train-test contamination อย่างหลีกเลี่ยงไม่ได้</t>
  </si>
  <si>
    <t>ผู้วิจัยไม่ได้รายงานวิธีการแบ่งข้อมูล (Data split) ว่าเป็นการแบ่งตามเวลาหรือไม่ รวมถึงไม่มีมาตรการเพื่อป้องกันการปนเปื้อนข้อมูลระหว่าง Train/Test</t>
  </si>
  <si>
    <t>การจัดลำดับความสำคัญของมาตรการความปลอดภัยทางไซเบอร์ในระบบบัญชีบริหารสามารถทำได้โดยใช้เกณฑ์ของ AHP (Analytic Hierarchy Process)</t>
  </si>
  <si>
    <t>มาตรการที่มุ่งเน้นการรับรองความพร้อมใช้งานของข้อมูล (Availability of data) ได้รับการประเมินว่ามีความสำคัญสูงสุด (Alternative A3)</t>
  </si>
  <si>
    <t>การประเมินความเสี่ยงและตัดสินใจด้านความปลอดภัยด้วยวิธีนี้มีความเป็นอัตวิสัย (Subjectivity) เนื่องจากอิงจากประสบการณ์ของผู้เชี่ยวชาญ</t>
  </si>
  <si>
    <t>ไม่มีการทดสอบบนชุดข้อมูลเชิงประจักษ์ที่เป็นข้อมูลเครือข่ายหรือกราฟจริง อาศัยเพียงเมทริกซ์เปรียบเทียบที่สร้างโดยผู้เชี่ยวชาญรายเดียว</t>
  </si>
  <si>
    <t>ขาดการวัดผลความแม่นยำเชิงพยากรณ์ (Predictive Performance) แบบ Machine Learning และไม่ได้ใช้ข้อมูลที่มีความสัมพันธ์เชิงกราฟจริง</t>
  </si>
  <si>
    <t>ระบบสามารถสกัด Smali files จาก APK และค้นหา API ที่อ่อนไหวได้ด้วยคำสั่ง grep</t>
  </si>
  <si>
    <t>มีการใช้ Static analysis โดยสร้างไลบรารีของ API ที่อ่อนไหวเพื่อตรวจจับการรั่วไหลของข้อมูลและพฤติกรรมละเมิดความเป็นส่วนตัว</t>
  </si>
  <si>
    <t>ระบบยังมีข้อจำกัดเรื่อง false positives/negatives และปัญหาจากการทำ code obfuscation ซึ่งทำให้การวิเคราะห์ code ได้ยากขึ้น</t>
  </si>
  <si>
    <t>ไม่มีการใช้ Machine Learning และไม่มีการประเมินผลเชิงปริมาณที่ชัดเจน มีเพียงการยกตัวอย่างการวิเคราะห์ 1 ตัวอย่างจาก 20 แอปพลิเคชันที่นำมาทดสอบ</t>
  </si>
  <si>
    <t>ขาดการระบุชุดข้อมูลอ้างอิงมาตรฐาน ขาดตัวชี้วัดประสิทธิภาพ (เช่น Precision, Recall) และขาดการเปรียบเทียบกับวิธีตรวจจับอื่น ๆ</t>
  </si>
  <si>
    <t>ฟีเจอร์ Access Miss Count (AMC) สามารถระบุการโจมตีแบบ DNS tunneling ได้ชัดเจนกว่า Cache Hit Ratio และ Access Hit Ratio</t>
  </si>
  <si>
    <t>Rule-based filter มีอัตราการตรวจจับที่สูงกว่า ในขณะที่ LSTM-based filter สามารถตรวจจับการโจมตีได้เร็วกว่า</t>
  </si>
  <si>
    <t>การโจมตีที่มีอัตราการส่งข้อมูลต่ำ (Large transmission interval) ตรวจจับได้ยากและจำเป็นต้องอาศัยการเฝ้าระวังระยะยาว (Long-term monitoring)</t>
  </si>
  <si>
    <t>การสร้างการโจมตีจำลอง (Simulated tunneling traffic) ในสภาพแวดล้อมเครือข่ายเดียวอาจไม่ครอบคลุมรูปแบบการพรางตัว (Obfuscation) ที่เกิดขึ้นจริงอย่างรอบด้าน</t>
  </si>
  <si>
    <t>ขาดการเปรียบเทียบผลลัพธ์กับชุดข้อมูลการโจมตี DNS Tunneling สาธารณะ (Public datasets) และขาดการทดสอบโมเดลจากงานวิจัยที่เกี่ยวข้องอื่นๆ</t>
  </si>
  <si>
    <t>ASTRID-Net นำเสนอการรวม Multi-scale CNN, BiGRU และ Triple Attention เพื่อตรวจจับ intrusion ใน IoT/IIoT</t>
  </si>
  <si>
    <t>โมเดลสามารถทำ accuracy ได้สูงถึง 99.97% ในชุดข้อมูล Edge-IIoTset ทั้งการแยกประเภทแบบ binary และ multiclass</t>
  </si>
  <si>
    <t>การใช้ Attention 3 ระดับ (Spatial, Temporal, Channel) ช่วยจับความสัมพันธ์ของ network traffic sequence ได้ดีเยี่ยม</t>
  </si>
  <si>
    <t>พบความเสี่ยงจากการไม่ควบคุม Temporal Leakage เนื่องจากประเมินผลบนข้อมูล flow record ด้วยสัดส่วน 80/20 แบบ random ธรรมดา</t>
  </si>
  <si>
    <t>ขาดการทดสอบแบบ Out-of-Distribution หรือการแบ่งข้อมูลตามระยะเวลา (Temporal Split) เพื่อจำลองสถานการณ์การโจมตีใหม่ (Zero-day attacks)</t>
  </si>
  <si>
    <t>อารมณ์มีผลอย่างมากต่อการรับรู้ความเสี่ยงและการเลือกกลยุทธ์เชิงพฤติกรรมในการตอบสนองต่อภัยคุกคาม</t>
  </si>
  <si>
    <t>บริบททางสังคม เช่น ค่านิยม บรรทัดฐาน และการสื่อสาร มีส่วนสำคัญในการกำหนดพฤติกรรมด้านความปลอดภัยของบุคคล</t>
  </si>
  <si>
    <t>การบูรณาการเครื่องมือ AI เข้ากับการฝึกอบรมทางจิตวิทยา สามารถช่วยลดความผิดพลาดที่เกิดจากมนุษย์ (Human Error) ในระบบรักษาความปลอดภัยได้</t>
  </si>
  <si>
    <t>นำเสนอกรอบสถาปัตยกรรมระบบ cybersecurity situational awareness สำหรับ Smart Grid Power Control System</t>
  </si>
  <si>
    <t>เสนอการใช้ knowledge graph ร่วมกับเทคโนโลยีป้องกัน malicious code เพื่อระบุ attack chain และแจ้งเตือนการโจมตี</t>
  </si>
  <si>
    <t>การตรวจจับ anomaly traffic ใช้การเรียนรู้ machine learning แบบ long short-term memory (LSTM) เพื่อสร้าง dynamic traffic baseline</t>
  </si>
  <si>
    <t>ไม่มีการทดลองเพื่อประเมินผลเชิงประจักษ์ (Empirical evaluation) ขาดข้อมูลเกี่ยวกับชุดข้อมูลที่ใช้ ตัวชี้วัด และการแบ่งข้อมูล</t>
  </si>
  <si>
    <t>บทความนำเสนอภาพรวมของปัญหาด้านความปลอดภัยและความเป็นส่วนตัวใน Mobile Social Networks (MSNs)</t>
  </si>
  <si>
    <t>มีการอภิปรายแนวทางการใช้ AI เพื่อบรรเทาปัญหาต่างๆ เช่น Phishing, Malware, Unauthorized Access และ Data Leakage (ในมุมของข้อมูลผู้ใช้รั่วไหล)</t>
  </si>
  <si>
    <t>ชี้ให้เห็นข้อจำกัดของ AI ที่ต้องการข้อมูลฝึกสอนขนาดใหญ่ ซึ่งอาจกระทบต่อความเป็นส่วนตัวของผู้ใช้หากไม่จัดการอย่างระมัดระวัง</t>
  </si>
  <si>
    <t>ไม่มีข้อมูล เนื่องจากเป็นการทบทวนวรรณกรรมและไม่มีการตั้งค่าการทดลองวัดผลทาง ML</t>
  </si>
  <si>
    <t>ขาดการทดลองเชิงประจักษ์ (Empirical study), ชุดข้อมูล, การแบ่งชุดข้อมูล (Data splits) และการวัดผล</t>
  </si>
  <si>
    <t>ค้นพบช่องโหว่ใน Symantec Encryption Desktop (SED) ที่อนุญาตให้ผู้ใช้ที่ถูกเพิกถอนสิทธิ์สามารถเข้าถึงข้อมูลที่เข้ารหัสได้อีกครั้งเมื่อนำไฟล์เดิมมาปรับแต่ง (Frankensfile)</t>
  </si>
  <si>
    <t>การโจมตีทำได้โดยการนำ header ของไฟล์ PGP เดิมที่ผู้ใช้เคยมีสิทธิ์ มาเชื่อมต่อกับส่วน data ของไฟล์ PGP ปัจจุบัน</t>
  </si>
  <si>
    <t>ช่องโหว่นี้เกิดจากการออกแบบและข้อบกพร่องของตัวซอฟต์แวร์ประยุกต์ (Software Application) ไม่ใช่ความอ่อนแอของอัลกอริทึมเข้ารหัสลับ (PGP/AES) โดยตรง</t>
  </si>
  <si>
    <t>การสกัดคุณลักษณะทางเครือข่ายจาก 20 แพ็กเก็ตแรกเพียงพอต่อการตรวจจับพฤติกรรมของ RATs แบบ early stage ได้</t>
  </si>
  <si>
    <t>Random Forest ให้ความแม่นยำสูงสุดที่ 98.8% และมี False Negative Rate ต่ำสุดที่ 10%</t>
  </si>
  <si>
    <t>การรวมฟีเจอร์ Error-recovery (เช่น TCP retransmission) ช่วยให้ไม่พลาดข้อมูลของ C&amp;C traffic ที่มักมีจังหวะหน่วงเวลา</t>
  </si>
  <si>
    <t>การทดสอบถูกจำกัดด้วยการเก็บเพียง 1 session ต่อ 1 RAT type ทำให้ตัวชี้วัดประสิทธิภาพโดยรวมอาจไม่สามารถนำไป generalize กับสภาพแวดล้อมจริงได้</t>
  </si>
  <si>
    <t>การประเมินผลขาดการทำ Temporal evaluation แบบอ้างอิงลำดับเวลา และไม่มีการทดสอบกับ Unknown RATs อย่างเป็นระบบ</t>
  </si>
  <si>
    <t>นำเสนอการจัดหมวดหมู่ (Systematization) ของการโจมตีบนระบบ Medical Cyber-Physical Systems (MCPS) โดยพิจารณาจากระดับสถาปัตยกรรม คุณสมบัติของการโจมตี และผลกระทบ</t>
  </si>
  <si>
    <t>ชี้ให้เห็นว่า 10% ของการโจมตีสถาบันทางการแพทย์คือรูปแบบ APT (Advanced Persistent Threat)</t>
  </si>
  <si>
    <t>ชี้ให้เห็นว่าระบบ MCPS ถูกโจมตีได้ทั้งในรูปแบบทั่วไป (เช่น DoS, MITM) และการโจมตีเฉพาะทาง (เช่น EEG attacks, Hardware Trojans)</t>
  </si>
  <si>
    <t>นำเสนอกรอบการทำงาน Digital Triage Forensics (DTF) โดยแบ่งเป็น 3 ระยะ: เตรียมการล่วงหน้า, ปฏิบัติงานที่เกิดเหตุ, และวิเคราะห์หลักฐานในห้องปฏิบัติการ</t>
  </si>
  <si>
    <t>พัฒนา Window malware forensic toolkit ที่ใช้คำสั่งแบบ Command Line Interface (CLI) เพื่อเก็บรวบรวมข้อมูล Volatile และ Non-volatile</t>
  </si>
  <si>
    <t>กำหนดขั้นตอนการประสานงานระหว่าง System Administrators, Incident Response Specialists, และ Forensic Lab Managers ตามเหตุการณ์ (Prelusion, Incident, Aftermath)</t>
  </si>
  <si>
    <t>ไม่มีการกล่าวถึงเนื่องจากเอกสารนี้ไม่ใช่งานวิจัยประยุกต์ด้าน Machine Learning หรือ Graph-based Detection</t>
  </si>
  <si>
    <t>ขาดการประเมินผลเชิงปริมาณ (Quantitative Evaluation) หรือการทดสอบเครื่องมือด้วยชุดข้อมูลอ้างอิงมาตรฐาน เน้นเพียงการนำเสนอเชิงทฤษฎีและแนวปฏิบัติ</t>
  </si>
  <si>
    <t>การคัดเลือกคุณลักษณะ (Feature Selection) ให้ความแม่นยำสูงกว่าและใช้เวลาฝึกสอน/อนุมานน้อยกว่าการสกัดคุณลักษณะ (Feature Extraction ด้วย PCA)</t>
  </si>
  <si>
    <t>โมเดล Decision Tree ร่วมกับการทำ Feature Selection ให้ผลลัพธ์โดยรวมดีที่สุดในแง่ของ precision, recall, และ F1-score</t>
  </si>
  <si>
    <t>การทำ Feature Extraction มีประสิทธิภาพดีขึ้นเล็กน้อยเมื่อเพิ่มจำนวนคุณลักษณะ แต่ Feature Selection กลับมีประสิทธิภาพลดลงเมื่อมีจำนวนคุณลักษณะมากขึ้น</t>
  </si>
  <si>
    <t>ไม่มีการพูดถึง Data Leakage หรือการประเมินผลเชิงเวลา (Temporal Evaluation) ซึ่งอาจทำให้ผลลัพธ์สูงเกินจริงจากการเรียนรู้ pattern ในอดีตและอนาคตที่ปะปนกัน</t>
  </si>
  <si>
    <t>การทดสอบโดยแบ่งข้อมูลตาม Timeline (Chronological split) และขาดการวิเคราะห์เรื่อง Overlap ของข้อมูลเครือข่าย</t>
  </si>
  <si>
    <t>Distributed classification system ที่ใช้ JRip algorithm และ AdaBoost ให้ผลลัพธ์การตรวจจับที่ดีที่สุดในด้านความแม่นยำและ Cost per Example (CPE)</t>
  </si>
  <si>
    <t>Anomaly-based IDS ด้วย One-Class SVM บนข้อมูลเซ็นเซอร์ IoT (Temperature และ CO2) สามารถตรวจจับความผิดปกติได้สูงถึง 99.71%</t>
  </si>
  <si>
    <t>การเลือกใช้ข้อมูลที่มีการลดความซ้ำซ้อนอย่าง NSL-KDD ช่วยให้การประเมิน IDS สมจริงขึ้นกว่า KDD99 แบบดั้งเดิม</t>
  </si>
  <si>
    <t>ผู้วิจัยพยายามเลี่ยง Bias เบื้องต้นโดยใช้ชุดข้อมูล NSL-KDD ที่ลดปัญหา Data duplication แต่ยังใช้ 10-fold CV ซึ่งไม่ได้ป้องกัน Temporal leakage</t>
  </si>
  <si>
    <t>ขาดการทดสอบแบบ Chronological Split ที่จำลองการตรวจจับ Zero-day attack ตามแกนเวลาจริง และขาดการใช้ข้อมูลชุดทดสอบที่เป็นอิสระอย่างแท้จริงจากช่วงเวลาเดียวกัน</t>
  </si>
  <si>
    <t>แบบจำลองทฤษฎีเกม (two-stage Stackelberg game) สามารถใช้วิเคราะห์เพื่อหาจุดสมดุล (Nash Equilibrium) สำหรับแผนการป้องกันและขนาดการให้บริการของ CSP ได้</t>
  </si>
  <si>
    <t>การตัดสินใจเลือกใช้มาตรการป้องกันขั้นสูงของ CSP ขึ้นอยู่กับรายได้จากบริการและต้นทุนที่เพิ่มขึ้นเมื่อเทียบกับความสูญเสียหากถูกโจมตีแบบหลบหลีก (evasion attacks)</t>
  </si>
  <si>
    <t>ผู้โจมตีจะเลือกใช้ evasion attack ก็ต่อเมื่อผลตอบแทนที่คาดหวังมีมูลค่าสูงเพียงพอที่จะชดเชยต้นทุนและทรัพยากรที่ต้องเสียไปในการดำเนินการ</t>
  </si>
  <si>
    <t>ไม่มีการทดสอบกับชุดข้อมูลจริงด้านเครือข่ายหรือ APT อาศัยเพียง numerical simulations จากสมการคณิตศาสตร์ที่สมมติค่าขึ้นมา</t>
  </si>
  <si>
    <t>การใช้ distributed scramblers ช่วยลด routing congestion และปรับปรุง signal integrity เมื่อเทียบกับ centralized scramblers</t>
  </si>
  <si>
    <t>Brute-force resilience ของ distributed scramblers มีระดับความปลอดภัยเทียบเท่ากับ centralized scramblers (2^{N log2 N})</t>
  </si>
  <si>
    <t>การหน่วงเวลา (propagation delay) สำหรับ distributed scrambler เพิ่มขึ้นเพียงเล็กน้อย (2.4%) เมื่อเทียบกับ baseline</t>
  </si>
  <si>
    <t>งานวิจัยทำการทบทวนเปเปอร์ 33 เรื่องที่เกี่ยวกับโมเดลตรวจจับการโจมตีไซเบอร์ โดยจำแนกตามการใช้ Machine Learning และ Deep Learning</t>
  </si>
  <si>
    <t>มีการวิเคราะห์การใช้อัลกอริทึม Optimization ได้แก่กลุ่ม Metaheuristic และ Stochastic เพื่อเพิ่มความแม่นยำให้ระบบ IDS</t>
  </si>
  <si>
    <t>ชุดข้อมูลที่ได้รับความนิยมสูงสุดในงานวิจัยที่ถูกสำรวจคือ KDD'99 และ NSL-KDD โดยมีการใช้ NSL-KDD เพื่อลดจุดอ่อนบางประการของ KDD'99</t>
  </si>
  <si>
    <t>ไม่มีการวิเคราะห์ Data Leakage อย่างชัดเจน แต่ระบุข้อสังเกตเรื่องผลการทดสอบที่แกว่งและไม่เสถียรเมื่อโมเดลต้องเจอกับข้อมูลในโลกความเป็นจริง (Real-time data)</t>
  </si>
  <si>
    <t>ขาดการกล่าวถึงบริบทของ Graph-based detection, เทคนิคที่ช่วยป้องกัน Data Leakage ในข้อมูล Sequence/Time-series รวมถึงเรื่อง Explainability (มีระบุแค่ XAI สั้นๆ จากเปเปอร์อ้างอิง)</t>
  </si>
  <si>
    <t>โมเดล SAfER สามารถลด False Positive Rate ลงเหลือ 0.00% ในชุดข้อมูล ARGUS (smart home 1) เทียบกับ 0.03% ของ Baseline</t>
  </si>
  <si>
    <t>สถาปัตยกรรมแบบใหม่ทำให้ความคลาดเคลื่อนในการสร้างใหม่ (Reconstruction error) ของข้อมูลผิดปกติเพิ่มขึ้นชัดเจนกว่า Baseline ทำให้ตั้งค่า threshold แบบคงที่ (static) ได้แม่นยำขึ้น</t>
  </si>
  <si>
    <t>โมเดลใช้เวลาในการเทรนลดลง 22.5% เมื่อเทียบกับสถาปัตยกรรม Argus Auto-encoder แบบดั้งเดิม</t>
  </si>
  <si>
    <t>ผู้วิจัยใช้ชุดข้อมูลปกติแล้วฉีดเหตุการณ์ปลอมแปลง (spoofed events) แทรกเข้าไปอย่างสังเคราะห์ การเลือกวันทดสอบแบบสุ่มอาจไม่สะท้อนถึงการเกิดเหตุการณ์ในสภาวะที่ข้อมูลมีความเปลี่ยนแปลงตามกาลเวลา (Concept drift) ในโลกจริง</t>
  </si>
  <si>
    <t>ไม่มีการทดสอบความทนทานต่อการเรียนรู้แบบมีลำดับเวลาที่เข้มงวด และไม่ได้ทดสอบบนข้อมูล Graph-based ตามที่กำหนดในเป้าหมายวิจัย</t>
  </si>
  <si>
    <t>Horizon Extender สามารถลดปริมาณข้อมูล HTTP ขาออกที่ต้องจัดเก็บเพื่อการตรวจสอบย้อนหลังได้ 90.9% ถึง 93.9%</t>
  </si>
  <si>
    <t>กระบวนการ Deduplication สามารถลดจำนวนบล็อกข้อมูลที่ไม่ซ้ำกันได้ 91.2% และลดขนาดไฟล์รวมได้ 68.8%</t>
  </si>
  <si>
    <t>การจัดกลุ่มความน่าเชื่อถือของบริการตามความนิยม (Popularity-assisted Classification) ช่วยคัดกรองข้อมูลที่ไม่มีผลต่อรูปคดีออกไปได้อย่างมีประสิทธิภาพ</t>
  </si>
  <si>
    <t>ไม่มีการกล่าวถึงอคติในการประเมินแบบ Machine Learning (เช่น Train-test leakage) เนื่องจากคำว่า Data Leakage ในบริบทนี้หมายถึงข้อมูลความลับรั่วไหลออกจากองค์กร ไม่ใช่ข้อมูลรั่วไหลในโมเดล</t>
  </si>
  <si>
    <t>ขาดการทดสอบการตรวจจับแบบอัตโนมัติด้วย ML และไม่มีการทำ Cross-validation หรือ Train-Test split</t>
  </si>
  <si>
    <t>การมีส่วนร่วมทางการเมืองออนไลน์ (Online political participation) มีความสัมพันธ์เชิงบวกและเป็นตัวทำนายที่สำคัญของพฤติกรรมการป้องกันความเป็นส่วนตัว (Privacy protection behaviors)</t>
  </si>
  <si>
    <t>Internet efficacy ทำหน้าที่เป็นตัวแปรคั่นกลาง (Mediator) ระหว่างการมีส่วนร่วมทางการเมืองออนไลน์และการป้องกันความเป็นส่วนตัวในทุกระดับความสามารถทาง Cybersecurity ของประเทศ</t>
  </si>
  <si>
    <t>การรับรู้ความเสี่ยงด้านความเป็นส่วนตัว (Perceived privacy risk) ทำหน้าที่เป็นตัวแปรคั่นกลางเฉพาะในประเทศที่มีระดับ Cybersecurity ต่ำเท่านั้น</t>
  </si>
  <si>
    <t>ใช้วิธีการเก็บข้อมูลแบบ Cross-sectional survey ซึ่งได้ข้อมูลที่เป็น Self-reported ทำให้มีความเสี่ยงด้านอคติจากการรายงานตนเอง และไม่สามารถระบุทิศทางความเป็นเหตุเป็นผลได้อย่างแท้จริง</t>
  </si>
  <si>
    <t>ขาดข้อมูลการวัดผลพฤติกรรมการป้องกันความเป็นส่วนตัวที่เกิดขึ้นจริง (Actual behaviors) และขาดการทดลองในบริบทที่สามารถควบคุมได้ (Experimental settings)</t>
  </si>
  <si>
    <t>การพัฒนา DLP Maturity Model ที่ดัดแปลงมาจากกรอบงาน C2M2 เพื่อใช้เป็นเครื่องมือประเมินความสามารถในการป้องกันข้อมูลรั่วไหลขององค์กรแบบองค์รวม</t>
  </si>
  <si>
    <t>การทดสอบประเมินตนเอง (Self-Evaluation) ในกรณีศึกษาของภาคธนาคารพบว่า โมเดลสามารถระบุช่องว่าง (Gaps) ของระบบจัดการและป้องกันข้อมูลรั่วไหลได้อย่างมีประสิทธิภาพ</t>
  </si>
  <si>
    <t>การบรรลุระดับวุฒิภาวะสูงสุด (MIL3) อาจไม่จำเป็นหรือเหมาะสมที่สุดสำหรับทุกองค์กร ควรปรับให้สอดคล้องกับระดับความเสี่ยงที่ยอมรับได้ (Risk Appetite) และวัตถุประสงค์ทางธุรกิจ</t>
  </si>
  <si>
    <t>อัลกอริทึมที่นำเสนอ (Vote Classifier + NLP features) สามารถรักษาระดับ F1-score ได้สูงกว่า 95% แม้ถูกโจมตีด้วยเทคนิค obfuscation และ modification แบบต่างๆ</t>
  </si>
  <si>
    <t>การทำ spell correction ก่อนขั้นตอน feature extraction ช่วยเพิ่มความทนทาน (robustness) ต่อการโจมตีแบบ modification</t>
  </si>
  <si>
    <t>วิธีการที่นำเสนอมีประสิทธิภาพเหนือกว่า baseline อย่าง CNN และ SGD เมื่อเจอการโจมตีเชิงโครงสร้างที่ซับซ้อน (structural attacks)</t>
  </si>
  <si>
    <t>ไม่มีการพูดถึง ML evaluation data leakage มีเพียงการใช้ random split ซึ่งอาจทำให้เกิด data artifacts จากการรวม dataset หลายแหล่งเข้าด้วยกัน</t>
  </si>
  <si>
    <t>ไม่มี temporal split หรือการทดสอบแบบ zero-day attack ซึ่งเป็นสิ่งสำคัญสำหรับการประเมินโมเดลตรวจจับ APT</t>
  </si>
  <si>
    <t>QFedPhish ใช้เทคนิค quantum-inspired feature encoding (RFF และ MPS tensor networks) ในการดึงความสัมพันธ์ระดับสูงของฟีเจอร์</t>
  </si>
  <si>
    <t>ผลการทดลองได้ความแม่นยำ (Accuracy) ที่ 97.90% และ AUC ที่ 98.50% เหนือกว่าโมเดลเปรียบเทียบในสภาพแวดล้อม Federated Learning</t>
  </si>
  <si>
    <t>เฟรมเวิร์กสามารถป้องกัน Gradient Leakage และมีความทนทานต่อการโจมตีแบบ Model Poisoning ได้ดีเยี่ยม</t>
  </si>
  <si>
    <t>ไม่มีการพิจารณาถึงการแบ่งข้อมูลตามลำดับเวลา (Chronological split) ซึ่งอาจสะท้อนสถานการณ์จริงของ Phishing ได้ไม่ดีเท่าที่ควร</t>
  </si>
  <si>
    <t>ขาดการเปิดเผยรายละเอียดโค้ดและข้อมูลสังเคราะห์ที่สร้างโดย LLM รวมถึงไม่มีการประเมินแบบข้ามช่วงเวลา (Temporal decay)</t>
  </si>
  <si>
    <t>QryptaShield ซึ่งผสาน QIAFS, NSEA, QARL และ ZKSCL สามารถตรวจจับการบุกรุกโดยให้ผลบวกลวงต่ำ (FPR = 0.053) และมีค่า Recall ที่ดี (0.889)</t>
  </si>
  <si>
    <t>QARL ช่วยปรับระดับ Threshold ของโมเดลแบบไดนามิก ทำให้ได้ความสมดุลระหว่าง Precision และ Recall ในการตรวจจับที่เหนือกว่า Threshold คงที่ทั่วไป</t>
  </si>
  <si>
    <t>QIAFS ซึ่งเป็นเทคนิคเลือกลักษณะเฉพาะแบบ Quantum-inspired ช่วยลดมิติของข้อมูลและลดความซ้ำซ้อนของฟีเจอร์ ทำให้โมเดลบนอุปกรณ์ Edge ทำงานได้ดีขึ้น</t>
  </si>
  <si>
    <t>การแบ่งข้อมูลแบบ 70/15/15 ร่วมกับการใช้ Sliding window ขนาด 5 วินาทีมีความเป็นไปได้สูงที่จะเกิด Data Leakage ในส่วนของ Training และ Testing</t>
  </si>
  <si>
    <t>ขาดการประเมินผลโดยใช้ชุดข้อมูลแบบ Temporal Split อย่างเคร่งครัด และขาดรายละเอียดการจัดการการทับซ้อนของข้อมูล (Entity overlap) หลังการทำ Windowing</t>
  </si>
  <si>
    <t>Feature selection ให้ประสิทธิภาพดีกว่าและใช้เวลาประมวลผลน้อยกว่า Feature extraction (PCA) เมื่อกำหนดให้จำนวนฟีเจอร์ที่ถูกเลือกมีขนาดใหญ่พอ (เช่น K=8 หรือ 16)</t>
  </si>
  <si>
    <t>Feature extraction มีแนวโน้มทำได้ดีกว่า Feature selection เมื่อจำนวนฟีเจอร์เป้าหมายถูกลดทอนลงเหลือจำนวนที่น้อยมาก (เช่น K=4)</t>
  </si>
  <si>
    <t>Feature extraction มีความเสถียรมากกว่าเมื่อเปลี่ยนแปลงจำนวนมิติข้อมูล และสามารถตรวจจับคลาสการโจมตีได้หลากหลายประเภทมากกว่าโดยใช้ classifier ชนิดเดียวกัน</t>
  </si>
  <si>
    <t>ไม่มีการพิจารณาถึงรอยรั่วของข้อมูล (Data leakage) ข้ามชุดฝึกฝนและชุดทดสอบ อาศัยเพียงชุดแบ่ง 10% ของ UNSW-NB15 ที่สร้างไว้ล่วงหน้า</t>
  </si>
  <si>
    <t>ขาดการทดสอบกับสถานการณ์ที่มีการเปลี่ยนแปลงตามเวลา (Concept drift) ซึ่งมีความสำคัญต่อระบบ Network Intrusion Detection</t>
  </si>
  <si>
    <t>LSTM model outperforms traditional machine learning techniques in terms of accuracy and F1 score, achieving 99%.</t>
  </si>
  <si>
    <t>Decision Tree and Naive Bayes models achieved accuracy scores of 94% and 93% respectively.</t>
  </si>
  <si>
    <t>LSTM demonstrates a stronger capability to handle long-term dependencies in sequential network traffic data for detecting distributed wormhole attacks.</t>
  </si>
  <si>
    <t>การทดลองได้ผลลัพธ์ที่สูงมาก (99%) โดยใช้ Random Split ขาดการประเมินความสามารถในการตรวจจับเชิงเวลา (Temporal evaluation) หรือ Cross-validation ซึ่งอาจทำให้ตัวเลขดีเกินจริงจาก Data Leakage</t>
  </si>
  <si>
    <t>ขาดการทดสอบกับชุดข้อมูลในสถานการณ์ที่แตกต่างกันเชิงเวลา (Time-based splitting) และไม่มีการกล่าวถึงความพยายามในการจัดการความซ้ำซ้อน (Deduplication) ก่อนป้อนเข้าโมเดล</t>
  </si>
  <si>
    <t>โมเดล Gradient Boosting Machine (GBM) ให้ประสิทธิภาพสูงสุดด้วย Accuracy 96.05% และ ROC-AUC 0.9924 อีกทั้งยังมีความแม่นยำของความน่าจะเป็น (Calibration) ดีที่สุด (Brier Score = 0.0344)</t>
  </si>
  <si>
    <t>การทำ Feature selection ด้วย Mutual Information ผ่าน Pipeline ภายใน Cross-validation ช่วยป้องกัน Data leakage และลดจำนวน Feature ที่เหมาะสมลงเหลือ 30-40 features</t>
  </si>
  <si>
    <t>SHAP Analysis อธิบายว่าสิทธิ์ READ_PHONE_STATE, INSTALL_SHORTCUT, และ RECEIVE ส่งผลต่อความน่าจะเป็นในการเป็นมัลแวร์มากที่สุด</t>
  </si>
  <si>
    <t>ผู้วิจัยชี้ให้เห็นว่างานวิจัยก่อนหน้าที่ทำ Feature selection บนข้อมูลทั้งหมดก่อนแบ่ง Train/Test ก่อให้เกิด Feature leakage และทำให้โมเดลมีประสิทธิภาพที่บิดเบือน</t>
  </si>
  <si>
    <t>ขาดการประเมินผลข้ามชุดข้อมูล (Cross-dataset validation) และไม่มีการใช้ชุดข้อมูลแบบ Longitudinal เพื่อทดสอบ Model drift</t>
  </si>
  <si>
    <t>TROP ลดจำนวน re-transmissions ของแพ็กเก็ตได้เฉลี่ย 57% เมื่อเทียบกับ HTWOT และ 32% เมื่อเทียบกับ TAR</t>
  </si>
  <si>
    <t>ภายใต้โหลดเครือข่ายที่หนาแน่น TROP ช่วยลด average packet latency ได้ประมาณ 9% เมื่อเทียบกับ TAR</t>
  </si>
  <si>
    <t>โมดูล TROP เพิ่ม Overhead ด้านพื้นที่ (Area) เพียง 4.5% และพลังงาน (Power) 6% เทียบกับเร้าเตอร์มาตรฐาน</t>
  </si>
  <si>
    <t>ไม่มีการประเมิน Bias หรือ Leakage แบบ ML เนื่องจากเป็นการรัน Workload ผ่าน Simulator (gem5)</t>
  </si>
  <si>
    <t>ไม่ได้ระบุความสามารถในการทำงานบนโทโพโลยีรูปแบบอื่นนอกจาก 2D Mesh ขนาด 8x8</t>
  </si>
  <si>
    <t>นำเสนอสถาปัตยกรรม DFA-AOKGE ที่ประยุกต์ใช้ Multikey Homomorphic Encryption (MHE) และ Enhanced Equilibrium Optimizer (EEO) สำหรับเข้ารหัสข้อมูลหลักฐานดิจิทัล</t>
  </si>
  <si>
    <t>ใช้กลไก Stable Block Verification Mechanism (SBVM) ร่วมกับ Blockchain เพื่อป้องกันการปลอมแปลงและรักษาความสมบูรณ์ (Integrity) ของหลักฐานดิจิทัล</t>
  </si>
  <si>
    <t>ผลการจำลอง (Simulation) ระบุว่าสถาปัตยกรรมที่นำเสนอมีความปลอดภัยและการทนทานต่อ Ransomware สูงกว่า แม้จะมี Storage Overhead เพิ่มขึ้นเมื่อเทียบกับวิธีดั้งเดิม</t>
  </si>
  <si>
    <t>ไม่มีการกล่าวถึงอคติในการประเมิน (Evaluation Bias) เนื่องจากไม่ใช่การทดลองด้าน Machine Learning หรือการวิเคราะห์บนชุดข้อมูลสาธารณะที่ระบุเจาะจง</t>
  </si>
  <si>
    <t>ขาดรายละเอียดของสภาพแวดล้อมที่ใช้ประเมินผล เช่น ขนาดชุดข้อมูลจำลอง (Datasets), วิธีการควบคุมตัวแปร, และโค้ดสำหรับทำซ้ำการจำลอง</t>
  </si>
  <si>
    <t>นำเสนอ PE-FedAvg ซึ่งเป็นการผสาน Federated Learning เข้ากับ Differential Privacy (Gaussian noise) และ Homomorphic Encryption (Paillier) เพื่อตรวจจับ Android Malware แบบกระจายศูนย์</t>
  </si>
  <si>
    <t>ผลการทดสอบชี้ว่าการเพิ่ม Gaussian noise 5% ลงในชุดข้อมูลช่วยรักษาสมดุลระหว่างประสิทธิภาพการเรียนรู้และการปกป้องข้อมูลได้ดีที่สุด โดยได้ Accuracy 98.61% บน Drebin และ 99.3% บน Malgenome</t>
  </si>
  <si>
    <t>การใช้ Homomorphic Encryption มีผลทำให้การฝึกสอนโมเดลช้าลงอย่างมาก (ประมาณ 68 - 210 เท่า) แต่ไม่ส่งผลกระทบต่อเวลาในขั้นตอนการทำนายผล (Prediction time)</t>
  </si>
  <si>
    <t>ไม่มีการกล่าวถึงปัญหา Data Leakage ในบริบทของการประเมินผล มีเพียงการอ้างถึง Model/Data leakage ในมุมของการโจมตีระบบ Federated Learning</t>
  </si>
  <si>
    <t>ขาดการประเมินผลแบบคำนึงถึงช่วงเวลา (Chronological split) และไม่ได้พูดถึงกลยุทธ์การสุ่มตัวอย่างที่จัดการกับความซ้ำซ้อนของข้อมูลมัลแวร์</t>
  </si>
  <si>
    <t>ค้นพบและสาธิตการเจาะระบบจากช่องโหว่ Authentication bypass บนเร้าเตอร์ Tenda F3 (CVE-2020-35391) และแอปพลิเคชัน ES File Explorer (CVE-2019-6447)</t>
  </si>
  <si>
    <t>การทดลองโจมตีเจาะรหัสผ่านแผงควบคุมเร้าเตอร์ Tenda F3 จำนวน 3,753 เครื่อง มีอัตราความสำเร็จสูงประมาณ 85-90%</t>
  </si>
  <si>
    <t>การวิเคราะห์ข้อมูล CVSS score จากเร้าเตอร์ 200 รุ่น พบว่า Tenda มีสัดส่วนเร้าเตอร์ที่มีคะแนนความเสี่ยงเกิน 8 มากที่สุดเมื่อเทียบกับแบรนด์อื่นที่นำมาศึกษา</t>
  </si>
  <si>
    <t>ระบบ iIRS สามารถบล็อกการสื่อสารเครือข่ายของเครื่องที่ติด Zeus ได้สำเร็จโดยใช้ iptables rules ทั้งตอนที่เริ่มโหลดตัวบอทและตอนที่บอทพยายามคุยกับ C&amp;C</t>
  </si>
  <si>
    <t>ทั้ง Zeus และ Emotet ใช้เทคนิค Obfuscation และ Randomization ที่ซับซ้อนเพื่อหลบหลีกการตรวจจับของ Signature-based Detection</t>
  </si>
  <si>
    <t>การสร้าง GNSM ปัจจุบันไม่สามารถอัปเดตแบบเรียลไทม์ได้ ทำให้ระบบต้องใช้กฎการบล็อกการเชื่อมต่อแบบกว้าง (General rules) แทนการเล็งเป้าเจาะจงพอร์ตแบบไดนามิก</t>
  </si>
  <si>
    <t>การทดสอบถูกรันบนสภาพแวดล้อมจำลอง (Sandbox) ขนาดเล็กมากที่มีมัลแวร์เพียง 1 ตัวและ 1 แคมเปญ (Zeus) ขาดการทดสอบในสเกลการใช้งานจริงที่อาจมี Noise สูง</t>
  </si>
  <si>
    <t>ขาดการทดสอบ False Positive หรือการประเมินร่วมกับมัลแวร์ที่ซับซ้อนกว่า (เช่น Emotet) บนเครือข่ายที่มี Background traffic ทั่วไปผสมอยู่</t>
  </si>
  <si>
    <t>การจำลองการโจมตี APT ดำเนินการโดยใช้ Remote Access Trojan (RAT) ที่เขียนด้วย Python ภายในระบบ VirtualBox</t>
  </si>
  <si>
    <t>การวิเคราะห์ Network Traffic ผ่าน Wireshark สามารถใช้ในการตรวจจับ Backdoor connection และความผิดปกติที่เกิดจาก RAT ได้</t>
  </si>
  <si>
    <t>การป้องกัน APT ต้องอาศัยมาตรการหลายระดับ เช่น Network Traffic Analysis (NTA) และ Endpoint Protection Platforms (EPP)</t>
  </si>
  <si>
    <t>ไม่มีการประเมินผลตัวแบบตรวจจับอัตโนมัติ จึงไม่มีอคติจากการประเมินผลเชิงปริมาณที่เกี่ยวข้องกับ ML</t>
  </si>
  <si>
    <t>ขาดการทดสอบโมเดลการตรวจจับด้วยข้อมูลพฤติกรรมขนาดใหญ่หรือ Benchmark datasets</t>
  </si>
  <si>
    <t>การบูรณาการ LLM และ AI Agent ในกระบวนการทำงานของ SOC ช่วยเพิ่มความแม่นยำในการตรวจจับ ลด False Positives และย่นระยะเวลาในการตอบสนองได้อย่างมากเมื่อเทียบกับระบบ Rule-based แบบดั้งเดิม</t>
  </si>
  <si>
    <t>มีการนำ Knowledge Graph มาใช้ร่วมกับ LLM ในกระบวนการ Cyber Threat Intelligence (CTI) เพื่อสกัดข้อมูลและเชื่อมโยง TTPs (Tactics, Techniques, and Procedures)</t>
  </si>
  <si>
    <t>ข้อกังวลเรื่อง Data Leakage ในบทความนี้เน้นไปที่การหลุดรอดของข้อมูลส่วนบุคคล (Privacy Leakage) จากการใช้ Generative AI มากกว่าปัญหา Train-test contamination ทางสถิติ</t>
  </si>
  <si>
    <t>ผู้วิจัยพบว่างานวิจัยที่ถูกสำรวจมีความแปรปรวนในเมตริกการวัดผลสูง (Measurement inconsistency) และการขาดชุดข้อมูล Benchmark ที่เป็นมาตรฐาน ทำให้เปรียบเทียบข้ามงานวิจัย (Cross-study) ได้ยาก</t>
  </si>
  <si>
    <t>การประเมินส่วนใหญ่ทำในสภาพแวดล้อมจำลอง (Simulated environments) ด้วย Synthetic data ขาดความผันผวนและสัญญาณรบกวน (Noise) ที่สะท้อนความเป็นจริงในการใช้งานระดับโลก (Real-world operations)</t>
  </si>
  <si>
    <t>นำเสนออัลกอริทึมตรวจจับ DNS data leakage ที่ครอบคลุมทั้งรูปแบบ High-volume DNS tunnels และ Low-volume malware infiltration</t>
  </si>
  <si>
    <t>การผสาน One-class classifier (Isolation Forest, One-class SVM) เข้ากับ Rule-based filter สามารถกรอง Normal DNS channels และลด False positives ได้อย่างมีประสิทธิภาพ</t>
  </si>
  <si>
    <t>โมเดลสามารถตรวจจับได้ดีที่อัตราการส่งข้อมูล 1000 bytes/hour แต่อัตราการตรวจจับจะลดลงมากเมื่อปริมาณการส่งข้อมูลต่ำกว่า 100 bytes/hour</t>
  </si>
  <si>
    <t>แม้จะมีการแบ่งข้อมูลแบบ Temporal split เพื่อป้องกัน Leakage ด้านเวลา แต่การฉีด (Inject) การโจมตีที่จำลองขึ้นเข้าสู่เซ็ตทดสอบ (Test set) โดยตรงอาจนำไปสู่ Dataset artifacts เนื่องจากความแตกต่างระหว่างเครื่องมือสร้าง Attack กับ Background traffic จริง</t>
  </si>
  <si>
    <t>ขาดการทดสอบบน Public benchmark dataset ขาดการวิเคราะห์ถึงการทับซ้อนของ Entity (Entity overlap) ระหว่างชุดฝึกสอนและชุดทดสอบ</t>
  </si>
  <si>
    <t>การใช้ Intent instrumentation ใน Smali code ช่วยเปิดเผยพฤติกรรมที่ซ่อนอยู่ของมัลแวร์ในขั้นตอน Dynamic Analysis ได้มากขึ้น</t>
  </si>
  <si>
    <t>เครื่องมือสามารถตรวจพบแอปพลิเคชันที่ปล่อยข้อมูลส่วนบุคคลรั่วไหล (เช่น Android ID, IMEI) เพิ่มขึ้น 79 แอปพลิเคชันเมื่อเทียบกับการใช้ APK ต้นฉบับ</t>
  </si>
  <si>
    <t>การวิเคราะห์โครงสร้างแอปพลิเคชันผ่าน Function Call Graph มีความจำเป็นในการจัดลำดับการจำลอง Intent เพื่อไม่ให้แอปพลิเคชันแครชระหว่างการทำงาน</t>
  </si>
  <si>
    <t>ไม่มีการประเมิน Bias ในโมเดลการเรียนรู้เชิงลึก (ML/DL) เนื่องจากการทดลองเป็นเพียงการรันโปรแกรมเพื่อเปรียบเทียบผลลัพธ์การสกัดพฤติกรรม</t>
  </si>
  <si>
    <t>ขาดการทดสอบประสิทธิภาพการทำงานบนแอปพลิเคชันปกติ (Benign apps) เพื่อประเมินผลกระทบด้าน False Positive</t>
  </si>
  <si>
    <t>AI และ ML มีบทบาทสำคัญในการปรับปรุงการตรวจจับความผิดปกติ (Anomaly detection) และการวิเคราะห์พฤติกรรมในระบบ IoT แบบเรียลไทม์</t>
  </si>
  <si>
    <t>การใช้ Edge Computing ร่วมกับการวิเคราะห์ด้วย ML ช่วยลดความเสี่ยงในการเปิดเผยข้อมูลและยกระดับความเป็นส่วนตัว (Data Privacy)</t>
  </si>
  <si>
    <t>การรักษาความปลอดภัยของ IoT สามารถจัดการผ่านสถาปัตยกรรม 4 ชั้น ได้แก่ Perception, Network, Support, และ Application Layer</t>
  </si>
  <si>
    <t>ไม่มีการกล่าวถึงประเด็น Evaluation Bias เนื่องจากเป็นบทความเชิงปริทัศน์ (Review)</t>
  </si>
  <si>
    <t>ขาดรายละเอียดของการทดลอง เช่น ชุดข้อมูล (Datasets), ตัวชี้วัด (Metrics), และวิธีการแบ่งข้อมูลในการฝึกฝนโมเดล</t>
  </si>
  <si>
    <t>นำเสนอการใช้ Sampling algorithm (subsequence preserving) และ Dynamic programming เพื่อประเมินความคล้ายของข้อความในการตรวจจับ Data Leakage</t>
  </si>
  <si>
    <t>ระบบถูกนำไปทดสอบบนชุดข้อมูล Enron ซึ่งประกอบด้วยข้อมูลอีเมลจาก 150 ผู้ใช้</t>
  </si>
  <si>
    <t>กำหนดการวัดประสิทธิภาพพื้นฐานด้วยสูตร Detection rate และ False positive rate ผ่านค่า TP, FP, FN, TN</t>
  </si>
  <si>
    <t>ไม่มีการอธิบายวิธีการแบ่งชุดข้อมูลหรือเปรียบเทียบกับ Baselines อื่นอย่างชัดเจน ทำให้เสี่ยงต่อ Evaluation Bias หากมองในมุมมองการประเมินแบบ ML</t>
  </si>
  <si>
    <t>ขาดรายละเอียดการทำ Train/Test Split, Cross-validation และการจัดการ Data Leakage (ในแง่ของ Train-test contamination)</t>
  </si>
  <si>
    <t>กรอบการทำงาน TAB สามารถเพิ่มความโปร่งใสและตรวจสอบได้สำหรับบริการ Third-party authority โดยใช้เทคโนโลยี Blockchain</t>
  </si>
  <si>
    <t>การประเมินผลบน Rinkeby test network แสดงให้เห็นว่าฟังก์ชันส่วนใหญ่ของ Smart contract ใช้เวลาทดสอบน้อยกว่า 100ms และมีต้นทุน Gas ต่ำ</t>
  </si>
  <si>
    <t>การนำ TAB ไปประยุกต์ใช้ร่วมกับระบบ Federated Learning (FL) มีผลกระทบต่อเวลาในการประมวลผลของโมเดลเพียงเล็กน้อย</t>
  </si>
  <si>
    <t>การทดสอบถูกจำกัดอยู่บนเครือข่ายทดสอบแบบจำลองด้วยชุดข้อมูลขนาดเล็ก (MNIST) และไม่เกี่ยวข้องกับการตรวจจับ APT แต่อย่างใด</t>
  </si>
  <si>
    <t>RealityCapture ให้ความแม่นยำสูงสุด (คลาดเคลื่อน 1-10 มม.) และเก็บรายละเอียดรูปทรงได้ดีภายใต้สภาวะพื้นผิวสะท้อนแสงที่ซับซ้อน</t>
  </si>
  <si>
    <t>LumaAI มีความสามารถในการประมวลผลข้อมูลที่รวดเร็วและใช้เทคโนโลยี NeRF แต่ไม่เหมาะสมสำหรับการใช้งานโครงสร้างพื้นฐานชั้นความลับเนื่องจากความเสี่ยงด้านข้อมูลรั่วไหลสู่เซิร์ฟเวอร์ภายนอก</t>
  </si>
  <si>
    <t>โปรแกรม Meshroom และ Pix4D ประสบปัญหาล้มเหลวในการสร้าง Point Cloud เนื่องจากจำนวนเฟรมข้อมูลและข้อจำกัดของอัลกอริทึม</t>
  </si>
  <si>
    <t>AI และ ML ช่วยเพิ่มประสิทธิภาพในการตรวจจับความผิดปกติ (Anomaly detection) ผ่านการจดจำรูปแบบพฤติกรรมในเครือข่าย IoT ได้ดีกว่าระบบ Signature-based แบบดั้งเดิม</t>
  </si>
  <si>
    <t>สถาปัตยกรรม IoT ความปลอดภัยแบบหลายชั้นควรครอบคลุม 4 ระดับ ได้แก่ Perception layer, Network layer, Support layer และ Application layer</t>
  </si>
  <si>
    <t>AI นำมาซึ่งความสามารถด้าน Predictive Security Analytics และ Behavioural Analysis ช่วยให้องค์กรสามารถคาดการณ์ความเสี่ยงและบรรเทาการโจมตีได้แบบเรียลไทม์ (Real-time)</t>
  </si>
  <si>
    <t>การใช้ SMOTE และ Undersampling บนชุดข้อมูล NSL-KDD ช่วยเพิ่มความแม่นยำได้เพียงเล็กน้อย (81.21% และ 79.77%) เนื่องจากมีปัญหา Concept Drift ที่เด่นชัดระหว่าง train และ test set</t>
  </si>
  <si>
    <t>การเสนอเฟรมเวิร์ก ADWISE ที่นำ Adaptive Sliding Window มาประยุกต์ใช้ร่วมกับ Random Search Hyperparameter Optimization สามารถจัดการกับ Concept Drift ได้ดี</t>
  </si>
  <si>
    <t>โมเดลที่นำเสนอสามารถทำความแม่นยำได้ถึง 98.27% ในสภาพแวดล้อมที่ถูกจำลองให้เป็น real-time สตรีมมิ่ง</t>
  </si>
  <si>
    <t>การนำข้อมูล tabular ที่ถูกเตรียมไว้สำหรับ offline classification มาจำลองเป็น data stream อาจไม่สะท้อนถึงการตรวจจับที่แท้จริงของเครือข่าย</t>
  </si>
  <si>
    <t>ไม่พบการประเมินเพื่อป้องกัน Data Leakage และไม่มีการใช้ชุดข้อมูลแบบ Graph หรือระบุถึง Advanced Persistent Threats (APTs) ตามบริบทของเป้าหมายหลัก</t>
  </si>
  <si>
    <t>โมเดล SVM และ Random Forest สามารถใช้แยกแยะ Plus Apps ออกจากแอปปกติได้ด้วยความแม่นยำสูงถึง 96.6% และ 95.8% ตามลำดับ</t>
  </si>
  <si>
    <t>การคัดเลือก Feature ด้วยเทคนิค Information Gain (InfGain) และ Correlation Coefficient (CorEvel) สามารถระบุ 30 อันดับแรกของ permission ที่เป็นความเสี่ยงได้</t>
  </si>
  <si>
    <t>พฤติกรรมของ Plus Apps มีการเรียกใช้ permission ในกลุ่มการปรับเปลี่ยนระบบและการดึงข้อมูล (เช่น KILL_BACKGROUND_PROCESSES) มากกว่าแอปทั่วไปอย่างมีนัยสำคัญ</t>
  </si>
  <si>
    <t>มีการตระหนักถึงปัญหา Data leakage จากการซ้ำซ้อนของข้อมูลในชุดทดสอบ จึงแก้ปัญหาด้วยการคัดกรองแอปที่ซ้ำกันออกด้วยค่า MD5 Hash แต่การทำ CV แบบดั้งเดิมอาจยังมีความเสี่ยงจาก Time-leakage</t>
  </si>
  <si>
    <t>ไม่มีการพิจารณาการประเมินผลแบบ Time-aware split ขาดการใช้ชุดข้อมูลแบบ public benchmarks เพื่อการเปรียบเทียบที่ยุติธรรม</t>
  </si>
  <si>
    <t>เทคนิคการดึงคุณลักษณะจากกราฟ (เช่น CFG, FCG, PDG) ร่วมกับ Graph Neural Networks (GNNs) ช่วยให้โมเดลสามารถจับความสัมพันธ์และลักษณะทางพฤติกรรมเชิงลึกของมัลแวร์ได้ดีขึ้น</t>
  </si>
  <si>
    <t>การรวมคุณลักษณะจากหลายแหล่ง (Multi-source feature fusion) เช่น ภาพนิ่ง, กราฟพฤติกรรมแบบไดนามิก และข้อมูลทางสถิติ เป็นแนวทางที่นิยมในการเพิ่ม generalization ability</t>
  </si>
  <si>
    <t>รวบรวมและเปรียบเทียบชุดข้อมูลมัลแวร์ถึง 26 ชุด แต่พบว่าปัญหาหลักคือการขาดข้อมูลอัปเดตสำหรับ Zero-day attacks และ APTs</t>
  </si>
  <si>
    <t>ผู้แต่งระบุว่าการประเมินผลกับ dataset เดิมมักให้ prior knowledge แก่โมเดล ทำให้เทคนิคการตรวจจับตามไม่ทัน malware variants ใหม่ๆ หรือ APTs ในสถานการณ์จริง (แสดงถึงปัญหา Data Leakage ในระดับ dataset)</t>
  </si>
  <si>
    <t>ขาดการอภิปรายวิธีการแบ่งข้อมูลแบบ temporal split อย่างเป็นรูปธรรมในงานวิจัยส่วนใหญ่ที่ถูกอ้างอิง และขาดกลไกที่แน่ชัดในการควบคุม bias จากการทำ data augmentation ในกราฟ</t>
  </si>
  <si>
    <t>การบูรณาการความปลอดภัยทางไซเบอร์เข้ากับกระบวนการตัดสินใจลงทุนช่วยลดความเสี่ยงและเพิ่มผลตอบแทนของการพัฒนาโครงสร้างพื้นฐานในชนบทได้</t>
  </si>
  <si>
    <t>ระบบสนับสนุนการตัดสินใจที่ใช้เทคโนโลยี Big Data และ AI สามารถวิเคราะห์และประเมินประสิทธิภาพรวมถึงความเสี่ยงของการลงทุนได้อย่างแม่นยำขึ้น</t>
  </si>
  <si>
    <t>มีแบบแผนความสัมพันธ์เชิงสัดส่วนระหว่างขนาดของเงินลงทุนรวมรายปีกับระดับความเสี่ยงในการดำเนินงานของระบบโครงสร้างพื้นฐาน</t>
  </si>
  <si>
    <t>การประเมินผลอัลกอริทึม (Table 1) ไม่มีการอธิบายวิธีการแบ่งชุดข้อมูล Train/Test ทั้งที่ใช้ข้อมูลแบบอนุกรมเวลา ส่งผลให้ความน่าเชื่อถือของผลลัพธ์ที่สูงถึง 95.85% เป็นที่น่าสงสัย</t>
  </si>
  <si>
    <t>ขาดรายละเอียดของชุดข้อมูลที่ชัดเจน วิธีการแบ่งข้อมูล (Split strategy) แบบจำลองเปรียบเทียบ (Baselines) ที่ระบุชื่อชัดเจน รวมถึงไม่มีการกล่าวถึงการควบคุม Data Leakage</t>
  </si>
  <si>
    <t>โมเดล CNN (3-layer) มีประสิทธิภาพสูงที่สุดในการทำ Intrusion Detection โดยให้ค่า Accuracy (92.3%), Recall (89.4%) และ F1 Score (90.5%) ซึ่งเหนือกว่าอัลกอริทึมดั้งเดิมอย่าง DT, SVM และ RF</t>
  </si>
  <si>
    <t>กระบวนการ Data Preprocessing ที่ใช้ Wavelet Transform ในการทำ Denoising และการใช้ PCA ในการลดมิติข้อมูล ช่วยเพิ่มประสิทธิภาพในการสกัดฟีเจอร์</t>
  </si>
  <si>
    <t>โมเดล CNN สามารถเรียนรู้ลักษณะเฉพาะขั้นลึกของข้อมูล (Deep features) ได้อัตโนมัติ ทำให้มี Representation และ Generalization ability ที่ดี</t>
  </si>
  <si>
    <t>ผู้วิจัยกล่าวถึงเพียงการลบข้อมูลซ้ำ (removing duplicate items) แต่ไม่ปรากฏการควบคุม Data Leakage รูปแบบอื่น หรือการประเมินผลเชิงเวลา (Temporal evaluation) ซึ่งมักเป็นปัญหาหลักในระบบ Network IDS</t>
  </si>
  <si>
    <t>ขาดการทดสอบบนชุดข้อมูลสมัยใหม่, ไม่มีการประเมินผลบน Out-of-distribution (OOD) data และไม่ใช้วิธี Chronological split</t>
  </si>
  <si>
    <t>ระบุช่องโหว่หลักใน Cloud Computing ได้แก่ Cloud misconfigurations, Data leakage, Shared technology vulnerabilities และ Insecure interfaces/APIs</t>
  </si>
  <si>
    <t>นำเสนอเทคนิคการประเมินความปลอดภัย ได้แก่ Penetration testing (Black-box, White-box, Gray-box) และ Vulnerability scanning</t>
  </si>
  <si>
    <t>คาดการณ์แนวโน้มในอนาคตของการรักษาความปลอดภัยบนคลาวด์ เช่น การใช้ AI/ML, Zero Trust Architecture และ Blockchain</t>
  </si>
  <si>
    <t>โมเดล xDeepFM ให้ประสิทธิภาพดีที่สุดในการทำ Outlier detection สำหรับ DoH Tunneling โดยมีค่า F1-score อยู่ที่ 0.995</t>
  </si>
  <si>
    <t>ฟีเจอร์พื้นฐานเชิงสถิติ (Packet size และ Request duration) มีความสัมพันธ์อย่างมีนัยสำคัญกับการระบุทราฟฟิกที่เป็น Tunneling</t>
  </si>
  <si>
    <t>สถาปัตยกรรมแบบ Hybrid (Factorization Machines ควบคู่กับ Deep Neural Networks) ช่วยเรียนรู้ Feature interactions ในระดับสูงได้ดี ทำให้แยกแยะข้อมูลที่มีความผิดปกติได้</t>
  </si>
  <si>
    <t>การประเมินผลขาดความชัดเจนเรื่อง Dataset split และอาจเกิด Data leakage จากการสุ่มตัวอย่างโดยไม่พิจารณาความเป็นอนุกรมเวลา (Temporal dynamics) ของทราฟฟิกเครือข่าย</t>
  </si>
  <si>
    <t>ไม่มีการทดสอบบนชุดข้อมูลที่ถูกแบ่งตามช่วงเวลา (Chronological split) เพื่อทดสอบความคงทนต่อพฤติกรรมการโจมตีใหม่ๆ</t>
  </si>
  <si>
    <t>ทบทวนและเปรียบเทียบ Data Privacy Models 4 แบบหลัก ได้แก่ K-Anonymity, l-Diversity, t-Closeness และ Differential Privacy</t>
  </si>
  <si>
    <t>วิเคราะห์ข้อดี ข้อเสีย และรูปแบบการโจมตีความเป็นส่วนตัวที่แต่ละโมเดลยังคงมีจุดอ่อน เช่น Background knowledge attack และ Similarity attack</t>
  </si>
  <si>
    <t>การนำ Machine Learning และ Deep Learning มาใช้สามารถช่วยเรื่องความปลอดภัยของข้อมูลได้ แต่ก็ยังมีความเสี่ยงด้านความสามารถในการขยายขนาด (Scalability)</t>
  </si>
  <si>
    <t>Minority-class recall เป็นตัวชี้วัดที่เหมาะสมกว่า Overall accuracy สำหรับการตรวจจับ Concept drift ในสภาพแวดล้อมที่ข้อมูลไม่สมดุล</t>
  </si>
  <si>
    <t>นำเสนอเทคนิค DDM-OCI ซึ่งติดตามการลดลงของ Recall บนคลาสชนกลุ่มน้อย (Minority class) เพื่อระบุการเกิด Concept drift</t>
  </si>
  <si>
    <t>โมเดลที่ใช้ DDM-OCI ตอบสนองต่อ Concept ใหม่ได้เร็วกว่า DDM แบบดั้งเดิมในกรณีส่วนใหญ่ แม้จะมีปัญหา False alarms เกิดขึ้นบ้าง</t>
  </si>
  <si>
    <t>การประเมินผลมีการรีเซ็ตค่า Performance ให้เป็น 0 เมื่อเกิดการ Drift (Time step 500) เพื่อป้องกันไม่ให้ประสิทธิภาพก่อนเกิด Drift มากระทบต่อการประเมิน (Preventing evaluation bias from old concepts)</t>
  </si>
  <si>
    <t>ขาดการทดสอบกับชุดข้อมูลจริงด้าน Security ที่มีความซับซ้อน เช่น โครงสร้างเชิงกราฟ (Graph-based structured data)</t>
  </si>
  <si>
    <t>การใช้เทคนิค ensemble feature selection (โดยเฉพาะ Mutual Information) ช่วยเพิ่มความแม่นยำของโมเดล Deep Learning ได้อย่างมาก (สูงถึง 99.91% สำหรับ GRU)</t>
  </si>
  <si>
    <t>ระบบ Centralized learning ให้ผลลัพธ์ที่ดีกว่า Federated Learning (FL) เล็กน้อย แต่ FL มีข้อดีในการรักษาความเป็นส่วนตัวของข้อมูลโดยไม่ต้องส่งข้อมูลดิบ</t>
  </si>
  <si>
    <t>เมื่อเพิ่มจำนวน Client ในแพลตฟอร์ม FL ความแม่นยำจะลดลง เนื่องจากความหลากหลายทางสถิติของข้อมูล (Non-IID) ในแต่ละ Client</t>
  </si>
  <si>
    <t>ไม่มีการตรวจสอบหรือพูดถึง train-test contamination หรือ evaluation bias ที่เกิดจากความต่อเนื่องทางเวลา (Temporal leakage)</t>
  </si>
  <si>
    <t>การแบ่งข้อมูลตามเวลา (Chronological split) เพื่อจำลองสถานการณ์การตรวจจับการโจมตีแบบ Zero-day ในระบบเครือข่ายจริง</t>
  </si>
  <si>
    <t>โมเดล Multi-Agent System สามารถลด energy consumption ได้ 43% และลด packet loss rate ได้ 40% เมื่อเทียบกับ existing solutions</t>
  </si>
  <si>
    <t>การใช้ Genetic Algorithm ควบคู่กับการคำนวณ Trust score ช่วยให้หลีกเลี่ยงโหนดที่ไม่น่าเชื่อถือและบรรเทาการโจมตีประเภท DoS ได้ดีขึ้น</t>
  </si>
  <si>
    <t>การวิเคราะห์ multi-metric ยกระดับ anomaly detection ratio ถึง 46% และลด false positive rate ได้อย่างมีนัยสำคัญ</t>
  </si>
  <si>
    <t>การประเมินผลมีลักษณะผสมระหว่าง NS-3 simulation และ dataset (IoT-23) แต่ขาดรายละเอียดว่านำข้อมูลมา train/evaluate อย่างไร ทำให้เสี่ยงต่อ dataset artifacts และ evaluation bias</t>
  </si>
  <si>
    <t>การแบ่งข้อมูล (train/test splits) เชิงเวลา, การควบคุม evaluation leakage, และรายละเอียดกระบวนการ sampling</t>
  </si>
  <si>
    <t>กรอบการทำงาน TAB สามารถเพิ่มความโปร่งใสและตรวจสอบได้ของ Third-party Authority (TPA) ผ่านเทคโนโลยี Ethereum blockchain</t>
  </si>
  <si>
    <t>การรวม TAB เข้ากับแอปพลิเคชัน Federated Learning มีผลกระทบต่อเวลาประสิทธิภาพเพียงเล็กน้อยเมื่อเทียบกับเวลาที่ใช้เทรนโมเดล</t>
  </si>
  <si>
    <t>การนำกลไกจูงใจ (Incentive Mechanism) ผ่าน Smart Contract มาใช้ ช่วยกระตุ้นให้ผู้ใช้อยากตรวจสอบและลงโทษพฤติกรรมที่ไม่พึงประสงค์</t>
  </si>
  <si>
    <t>ไม่มีการสังเกตเรื่อง Evaluation Bias เนื่องจากบทความมุ่งเน้นที่การวัดต้นทุนของ Gas และเวลาประมวลผล (Overhead) มากกว่าความแม่นยำของโมเดลทางสถิติ</t>
  </si>
  <si>
    <t>ไม่มีการประเมินประสิทธิภาพในแง่ของ Graph-based Threat Detection หรือ APT detection เลย</t>
  </si>
  <si>
    <t>โมเดล CusTFL-AN ทำความแม่นยำสูงถึง 99.2% (UNSW-NB15), 99.5% (Edge-IIoT) และ 99.25% (BoT-IoT) โดยเอาชนะ baseline ด้วยเทคนิค Adversarial Minority Augmentation (AMA)</t>
  </si>
  <si>
    <t>การใช้ Temporal Convolutional Networks (TCNs) พร้อมด้วย Causal Dilated Convolutions สามารถสกัดความสัมพันธ์เชิงเวลาโดยไม่ทำให้เกิดข้อมูลรั่วไหลจากอนาคต (Future data leakage)</t>
  </si>
  <si>
    <t>มีการประยุกต์ใช้เทคนิคอธิบายผล SHAP (SHapley Additive exPlanations) แบบ Post-hoc เพื่ออธิบายความสำคัญของฟีเจอร์ เช่น Traffic Volume และ Time Intervals</t>
  </si>
  <si>
    <t>ไม่มีการชี้แจงเทคนิคการแบ่งข้อมูล Train/Test ว่าอิงตามช่วงเวลา (Chronological split) หรือไม่ ซึ่งอาจทำให้ผลประเมินสูงเกินจริงในบริบทการทำงานเชิงเวลาของ IoT</t>
  </si>
  <si>
    <t>ขาดการทดสอบการจำแนกข้อมูลในสภาวะแวดล้อมจริงที่เป็นสตรีมมิ่ง (Real-world testing) และไม่มีการกล่าวถึงการลบข้อมูลซ้ำหรือควบคุมความทับซ้อนของ Entity ระหว่าง Train/Test</t>
  </si>
  <si>
    <t>วิธีการเรียนรู้ Automata ของงานวิจัยนี้สามารถสร้างโมเดลที่เรียบง่ายกว่า (จำนวน State และ Transition น้อยกว่า) เมื่อเทียบกับ Synoptic</t>
  </si>
  <si>
    <t>การรวมข้อมูล IP address เป็น Orgname (Organization Name) ช่วยให้โมเดลมีความยืดหยุ่นต่อการเปลี่ยนแปลงของ IP ปลายทาง</t>
  </si>
  <si>
    <t>Precision ของโมเดลขึ้นอยู่กับลักษณะพฤติกรรมการเรียกใช้งานเซอร์วิสของแอปพลิเคชันนั้นๆ มากกว่าขึ้นอยู่กับอัลกอริทึมในการสร้างโมเดล Automata</t>
  </si>
  <si>
    <t>การทดสอบไม่ได้ประเมิน Generalization ของโมเดลต่อข้อมูล Unseen ของแอปพลิเคชันเดียวกัน แต่ใช้แอปพลิเคชันอื่นเป็นตัวแทนข้อมูลแปลกปลอม (Foreign traffic) ทั้งหมด</t>
  </si>
  <si>
    <t>ไม่มีการทำ Temporal split ขาดการประเมินด้าน False Positive บนพฤติกรรมปกติที่อาจเปลี่ยนแปลงตามเวลา และไม่มีรายละเอียดของการควบคุม Data leakage</t>
  </si>
  <si>
    <t>มีการจัดกลุ่มโซลูชัน DLP ตามสถานะของข้อมูล (DAR, DIU, DIM) และวิธีการตรวจจับหลักแบ่งเป็น Content-based และ Context-based analysis</t>
  </si>
  <si>
    <t>การตรวจจับการใช้งานฐานข้อมูลที่ผิดปกติ (Misuse Detection) มีทั้งแนวทาง syntax-oriented และ data-oriented</t>
  </si>
  <si>
    <t>ระบุความท้าทายหลักในปัจจุบัน เช่น ความซับซ้อนของสภาพแวดล้อมดิจิทัล ปริมาณและความเร็วของข้อมูล และการเข้ารหัสข้อมูลที่ทำให้การตรวจสอบทำได้ยากขึ้น</t>
  </si>
  <si>
    <t>นำเสนอ Taxonomy ความเสี่ยงด้าน Cognitive Security ในระบบ GenAI ทางการศึกษา โดยแบ่งเป็น 3 ระดับ ได้แก่ Internal, Interactional และ External security</t>
  </si>
  <si>
    <t>รวบรวมเทคนิคการโจมตีและช่องโหว่ (เช่น Jailbreaks, Backdoors, Data poisoning, Hallucination) รวมถึงวิธีป้องกันที่เกี่ยวข้องกับ GenAI</t>
  </si>
  <si>
    <t>นำเสนอกรอบการกำกับดูแลความปลอดภัย (Security governance framework) และแนวทางการประเมินความเสี่ยงสำหรับผู้บริหารสถาบันการศึกษา</t>
  </si>
  <si>
    <t>ไม่มีการทดลองเพื่อประเมินประสิทธิภาพโมเดล จึงไม่มีข้อสังเกตเรื่อง Evaluation Bias</t>
  </si>
  <si>
    <t>ไม่มีการระบุถึง dataset splits, leakage prevention, หรือ sampling strategies เนื่องจากไม่ใช่บทความเชิงทดลองทาง Machine Learning</t>
  </si>
  <si>
    <t>การรวม CNN, LSTM, และ AutoEncoder ทำงานร่วมกับ Attention mechanism ช่วยเพิ่มความแม่นยำในการตรวจจับ side-channel attacks สูงถึง 98.65%</t>
  </si>
  <si>
    <t>Attention mechanism ช่วยให้โมเดลสามารถเน้นไปที่ส่วนสำคัญของ power traces และคัดกรองสัญญาณรบกวน (noise) ในคลาวด์ออกได้</t>
  </si>
  <si>
    <t>การทำ Data augmentation เช่น jittering, scaling, และ shifting ช่วยเพิ่มความแปรปรวนของข้อมูลและทำให้โมเดลทนทานต่อ noise มากขึ้น</t>
  </si>
  <si>
    <t>มีการระบุถึงความจำเป็นในการใช้ข้อมูลที่แยกจากกันอย่างเด็ดขาดเพื่อป้องกัน data leakage แต่อาจยังมี bias จากการแบ่งแบบ random แทนแบบ temporal</t>
  </si>
  <si>
    <t>ขาดการประเมินผลประสิทธิภาพในแง่ของ cross-device หรือ cross-environment แบบชัดเจน รวมถึงไม่พบการแยกชุดข้อมูลทดสอบแบบ out-of-time</t>
  </si>
  <si>
    <t>นำเสนอการวิเคราะห์เส้นทางการโจมตีที่อาจเกิดขึ้นในระหว่างการทำงานและบำรุงรักษา (O&amp;M) ของ Remote Terminal Units (RTUs) เช่น เส้นทาง edge-to-cloud, edge-to-edge, และ edge-to-device</t>
  </si>
  <si>
    <t>เสนอ Optimization Model แบบ Combinatorial เพื่อจำลองเส้นทางความเสี่ยงโดยมีเป้าหมายเพื่อลดความเสียหายจากการโจมตีให้เหลือน้อยที่สุด</t>
  </si>
  <si>
    <t>ออกแบบโปรโตคอลการพิสูจน์ตัวตนและการเข้ารหัสแบบไดนามิก (DAEP) ที่ใช้อัลกอริทึม Lightweight Cryptography เพื่อรักษาความปลอดภัยของ Bluetooth</t>
  </si>
  <si>
    <t>ไม่มีการทดลองหรือประเมินผลบนชุดข้อมูลจริง จึงไม่มีประเด็นด้าน Evaluation Bias หรือ Dataset Artifacts ให้วิเคราะห์</t>
  </si>
  <si>
    <t>ขาดการจำลองสถานการณ์จริง (Empirical Evaluation) หรือการเปรียบเทียบเชิงตัวเลขกับ Baseline เพื่อวัดประสิทธิภาพความรวดเร็วและความถูกต้องของการตรวจจับความผิดปกติ</t>
  </si>
  <si>
    <t>โมเดล Multimodal fusion (LSTM+CNN+Mamba) สามารถดึงคุณลักษณะทั้งเชิงพื้นที่และเวลาของข้อมูล CAN bus ได้พร้อมกัน</t>
  </si>
  <si>
    <t>การผสานโมเดล Mamba เข้ามาช่วยเพิ่มประสิทธิภาพในการจัดการลำดับข้อมูลที่ยาวด้วย Linear time complexity และหลีกเลี่ยงปัญหาของ Transformer</t>
  </si>
  <si>
    <t>โมเดลที่นำเสนอสามารถทำคะแนน Accuracy, Precision, Recall และ F1-score ได้ถึง 100% บนชุดข้อมูล CAR-hacking</t>
  </si>
  <si>
    <t>พบความเสี่ยงสูงของการเกิด Train-test contamination เนื่องจากมีการแบ่งข้อมูลแบบ 7:3 หลังจากการทำ Sliding window ที่มีการเหลื่อมซ้อนกัน (Overlap) โดยไม่มีมาตรการควบคุม Temporal leakage</t>
  </si>
  <si>
    <t>ขาดการประเมินผลด้วย Chronological split สำหรับข้อมูลอนุกรมเวลา และไม่มีการอภิปรายถึงความเสี่ยงจาก Overlapping window</t>
  </si>
  <si>
    <t>นำเสนอวิธีการประเมินช่องโหว่ความปลอดภัยทางไซเบอร์ของ Medical Software โดยอิงตามมาตรฐานสากล IEC TS 60601-4-5 ซึ่งประกอบด้วย Threat Modeling, Vulnerability Scanning และ Penetration Testing</t>
  </si>
  <si>
    <t>ภัยคุกคามหลักที่สำคัญ ได้แก่ Ransomware, Data Leaks, การแฮ็กอุปกรณ์การแพทย์ และ Privilege Abuse</t>
  </si>
  <si>
    <t>เสนอมาตรการตอบสนองต่อช่องโหว่ เช่น การอัปเดต Security Patches, การทำ Network Isolation, การเข้ารหัสข้อมูล (Data Encryption) และการตรวจสอบความปลอดภัยอย่างต่อเนื่อง</t>
  </si>
  <si>
    <t>โมเดล MPRLDroid ใช้ Reinforcement Learning สร้าง meta-path แบบ adaptive ช่วยให้สามารถระบุพฤติกรรมของมัลแวร์ได้ดีกว่า meta-path ที่สร้างโดยมนุษย์</t>
  </si>
  <si>
    <t>MPRLDroid ให้ผลลัพธ์ที่เหนือกว่า Baseline ทั้ง Machine Learning แบบดั้งเดิมและ Graph Neural Networks (เช่น GAT, GCN, HAN, HAWK)</t>
  </si>
  <si>
    <t>การนำเสนอ Graph Node ในรูปแบบ HIN และเรียนรู้ด้วย RL ช่วยให้โมเดลมีความทนทาน (Robustness) ต่อเทคนิค Obfuscation ได้ดียิ่งขึ้น</t>
  </si>
  <si>
    <t>ไม่ได้กล่าวถึง Evaluation Bias โดยตรง แต่ใช้ข้อมูลช่วงปี 2013-2021 แยกประเมินผลตามปีเพื่อยืนยันประสิทธิภาพของโมเดลเมื่อพฤติกรรมมัลแวร์เปลี่ยนไปตามกาลเวลา</t>
  </si>
  <si>
    <t>การควบคุม Dataset Artifacts หรือโครงสร้าง API ที่อาจซ้ำซ้อนข้ามช่วงเวลา (Temporal Leakage แบบ Entity Overlap)</t>
  </si>
  <si>
    <t>เสนอการออกแบบ Hardware Trojan (HT) แบบ bus-based ที่ฝังอยู่ใน Wishbone Interconnect เพื่อดักจับข้อมูลและระบุ IP core ที่ส่งข้อมูลเข้ารหัสแบบปกปิด</t>
  </si>
  <si>
    <t>ประยุกต์ใช้โมเดล Multi-Layer Perceptron (MLP) ในการแยกแยะระหว่างข้อมูล plain text และ encrypted data (AES) โดยทำความแม่นยำในการทดสอบที่ 92.93%</t>
  </si>
  <si>
    <t>ตัว HT สามารถระบุที่อยู่ (address) ของอุปกรณ์ที่ทำการเข้ารหัสได้โดยไม่รบกวนการทำงานของโปรเซสเซอร์ RISC-V และอุปกรณ์ต่อพ่วง</t>
  </si>
  <si>
    <t>ไม่มีการรายงานวิธีการแบ่งชุดข้อมูล (Train/Test Split ratio) หรือเทคนิคในการจัดการประเด็น Data Leakage ในระหว่างการประเมินผลโมเดล MLP</t>
  </si>
  <si>
    <t>รายละเอียดเกี่ยวกับกลยุทธ์การแบ่งชุดข้อมูล, วิธีการสุ่มตัวอย่างในรายละเอียดเชิงลึก (นอกจากจำนวน 5000 samples), หรือการควบคุม Bias</t>
  </si>
  <si>
    <t>โมเดลที่นำเสนอ (CNN + LSTM) มีความแม่นยำสูงถึง 96.8% ในการตรวจจับความผิดปกติของเครือข่าย</t>
  </si>
  <si>
    <t>ระบบใช้ Adaptive security protection strategy ที่สามารถประเมินภัยคุกคามและปรับนโยบายความปลอดภัยตามระดับความรุนแรงได้แบบไดนามิก</t>
  </si>
  <si>
    <t>Response time ของโมเดลจะเพิ่มขึ้นอย่างค่อยเป็นค่อยไปเมื่อ Network load สูงขึ้น</t>
  </si>
  <si>
    <t>ไม่มีการพูดถึง Data leakage หรือกระบวนการคัดกรองความซ้ำซ้อนระหว่างชุดฝึกสอนและชุดทดสอบ</t>
  </si>
  <si>
    <t>ขาดรายละเอียดเกี่ยวกับกระบวนการแบ่งข้อมูล (Train/Test split proportion) และไม่ได้ประเมินความสามารถด้าน Temporal generalization อย่างชัดเจน</t>
  </si>
  <si>
    <t>นำเสนอกรอบแนวคิดระบบยืนยันตัวตนแบบ DNA-based authentication สำหรับระบบคลาวด์เพื่อป้องกันการโจมตีทางไซเบอร์</t>
  </si>
  <si>
    <t>ออกแบบโปรโตคอลการเข้ารหัสด้วย DNA One-Time Pad, การตรวจสอบอุปกรณ์ด้วย PCR และการแลกเปลี่ยนคีย์</t>
  </si>
  <si>
    <t>การใช้โครงสร้างทางชีวเคมีที่ซับซ้อนของ DNA มีศักยภาพต้านทานการโจมตีแบบ brute-force และ man-in-the-middle ได้ดีกว่ารหัสผ่านทั่วไป</t>
  </si>
  <si>
    <t>ขาดการทดลองเชิงประจักษ์ (Empirical evaluation) บนชุดข้อมูลจริง ไม่มีตัวชี้วัดประสิทธิภาพ (Metrics) หรือเปรียบเทียบกับ Baseline algorithms</t>
  </si>
  <si>
    <t>การผสมผสาน Differential Privacy (DP), Zero-knowledge proof (ZKP) และ median aggregation สามารถปกป้องการฝึกฝน Federated Learning จาก Data/Model Poisoning ได้สำเร็จ</t>
  </si>
  <si>
    <t>วิธีที่นำเสนอช่วยเพิ่มค่า Global Accuracy ขึ้น 10%-30% เมื่อเปรียบเทียบกับวิธี PPFL อื่นๆ เช่น PHE, FHE และ SMPC</t>
  </si>
  <si>
    <t>Schnorr's protocol สำหรับการยืนยันตัวตนใช้เวลาในระดับไมโครวินาที ทำให้สถาปัตยกรรมนี้ใช้ทรัพยากรน้อยและทำงานได้รวดเร็วมาก</t>
  </si>
  <si>
    <t>การประเมินไม่ได้พิจารณาถึงลำดับเวลาในการเกิดเหตุการณ์ของชุดข้อมูล ทำให้การสุ่มแยกข้อมูลแบบสัดส่วนอาจก่อให้เกิดปัญหาการรั่วไหลทางเวลา (Temporal Leakage)</t>
  </si>
  <si>
    <t>ขาดการจัดกลุ่มเหตุการณ์แบบ Chronological split หรือ Entity-aware split ทำให้ไม่สามารถรับประกันความเสถียรของโมเดลเมื่อเจอกับพฤติกรรมการโจมตีใหม่ๆ ในอนาคต</t>
  </si>
  <si>
    <t>งานวิจัยนำเสนอแพลตฟอร์มความปลอดภัยแบบหลายระดับบนระบบปฏิบัติการ Android ครอบคลุมการป้องกัน Data Leakage, Rogue Access Point และมัลแวร์</t>
  </si>
  <si>
    <t>ระบบสามารถป้องกันมัลแวร์ที่รู้จักได้ 100% และมัลแวร์ที่ยังไม่รู้จักได้ 85% ผ่านการตรวจจับด้วย Machine Learning</t>
  </si>
  <si>
    <t>อัลกอริทึม Two-Class Decision Forest ให้ค่า Accuracy สูงสุด (0.851) เมื่อเปรียบเทียบกับ Support Vector Machine และ Logistic Regression</t>
  </si>
  <si>
    <t>การประเมินผลขาดการอธิบายเกี่ยวกับที่มาของข้อมูล (Dataset provenance) และโครงสร้างการแบ่งข้อมูลเพื่อทดสอบโมเดล ทำให้ผลลัพธ์ที่ได้อาจเผชิญกับ Evaluation Bias หรือ Overfitting แบบแอบแฝงได้</t>
  </si>
  <si>
    <t>ไม่ระบุชื่อชุดข้อมูล จำนวนตัวอย่าง (Sample size) อัตราส่วนการแบ่ง Train/Test รวมทั้งไม่พูดถึงความพยายามขจัดความซ้ำซ้อนหรือควบคุมเวลาของข้อมูล</t>
  </si>
  <si>
    <t>ความตระหนักรู้สาธารณะเกี่ยวกับฟิชชิงในประเทศอินโดนีเซียยังมีระดับที่ต่ำมาก โดยงานวิจัยหลายชิ้นไม่ได้ให้คำนิยามหรือคำอธิบายที่ชัดเจนเกี่ยวกับฟิชชิง</t>
  </si>
  <si>
    <t>ปัจจัยทางประชากรศาสตร์ เช่น อายุ ระดับการศึกษา และรายได้ มีผลกระทบอย่างมีนัยสำคัญต่อระดับความรู้ความเข้าใจเกี่ยวกับการโจมตีแบบฟิชชิง</t>
  </si>
  <si>
    <t>วิธีการเพิ่มความตระหนักรู้ที่มีประสิทธิภาพสูงสุด คือการให้การศึกษาและการฝึกอบรมผ่านการจำลองสถานการณ์การโจมตีจริง (real scenario)</t>
  </si>
  <si>
    <t>ไม่มีการประเมิน Bias ในเชิงของ Machine Learning (Data Leakage) เนื่องจากงานวิจัยเน้นไปที่การสำรวจและรวบรวมข้อมูลจากวรรณกรรมเพื่อวิเคราะห์ปัจจัยทางสังคมและประชากรศาสตร์</t>
  </si>
  <si>
    <t>ขาดการวัดผลโมเดลการตรวจจับภัยคุกคาม และไม่มีการทดลองทางเทคนิคใดๆ ที่เกี่ยวข้องกับ Graph-based APT Detection หรือ Machine Learning</t>
  </si>
  <si>
    <t>แฮ็กเกอร์สามารถเข้าถึงระบบข้อมูลผู้มีสิทธิเลือกตั้ง (Sidalih) ของ KPU ได้อย่างผิดกฎหมายเพื่อนำข้อมูลไปขาย สะท้อนให้เห็นถึงช่องโหว่ในระบบรักษาความปลอดภัย</t>
  </si>
  <si>
    <t>รูปแบบและแรงจูงใจของการขโมยข้อมูลส่วนบุคคลมีทั้งผลประโยชน์ทางตรงและทางอ้อม โดยอาศัยกลไกที่ซับซ้อนและเว็บไซต์ผิดกฎหมายเพื่อให้ยากต่อการตรวจสอบ</t>
  </si>
  <si>
    <t>การจัดการกับการรั่วไหลของข้อมูลจำเป็นต้องมีการบูรณาการกฎหมายคุ้มครองข้อมูลส่วนบุคคล (PDP Law) อย่างเคร่งครัด และตั้งหน่วยงานเฉพาะทางที่ดูแลความเป็นอิสระ</t>
  </si>
  <si>
    <t>นำเสนอภาพรวมของปัญหาความปลอดภัยและความเป็นส่วนตัวใน Mobile Social Networks (MSNs)</t>
  </si>
  <si>
    <t>วิเคราะห์บทบาทของ AI เช่น Machine Learning ในการใช้เป็นเครื่องมือตรวจจับภัยคุกคาม มัลแวร์ การเข้าถึงข้อมูลโดยไม่ได้รับอนุญาต</t>
  </si>
  <si>
    <t>เน้นย้ำถึงข้อควรระวังในการใช้ AI เช่น ปัญหาจริยธรรม ความโปร่งใสของนโยบายความเป็นส่วนตัว</t>
  </si>
  <si>
    <t>ไม่มีข้อมูลเนื่องจากเป็นบทความเชิงบรรยายภาพรวม ไม่ได้นำเสนอโมเดลหรือผลการทดลอง</t>
  </si>
  <si>
    <t>ขาดการประเมินผลเชิงปริมาณ (Quantitative Evaluation) ชุดข้อมูล และตัวชี้วัดประสิทธิภาพโมเดล</t>
  </si>
  <si>
    <t>มีการสำรวจเทคนิค Covert channel 6 ประเภท (Acoustic, Electromagnetic, Magnetic, Optical, Power, Thermal) ที่ใช้เจาะระบบข้อมูลใน Air-gapped ICS</t>
  </si>
  <si>
    <t>วิเคราะห์มัลแวร์ 25 ชนิดที่ใช้ในการสร้างช่องทางลับ โดยแจกแจงฮาร์ดแวร์ต้นทาง-ปลายทาง อัตราการส่งข้อมูล (Bandwidth) และระยะทางที่ทำได้</t>
  </si>
  <si>
    <t>นำเสนอสถานการณ์จำลองการโจมตีในโรงงานอุตสาหกรรมและสรุปมาตรการป้องกันเชิงกายภาพและซอฟต์แวร์เพื่อรับมือช่องโหว่ดังกล่าว</t>
  </si>
  <si>
    <t>นำเสนอแนวทางการวิเคราะห์การโจมตี (Attack Scenario) โดยแปลงจาก Threat Model ตามหลัก STRIDE เข้ากับ Data Flow Diagram (DFD) อย่างเป็นระบบ</t>
  </si>
  <si>
    <t>เครื่องมือสามารถสร้าง Attack Scenarios ได้ 3,100 รูปแบบในกรณีศึกษาระบบรถขับเคลื่อนอัตโนมัติ (AGVs)</t>
  </si>
  <si>
    <t>การโจมตีประเภท Impersonation ถูกพบมากที่สุดถึง 17% จากจำนวนเส้นทางการโจมตีทั้งหมดที่ตรวจพบในกรณีศึกษา</t>
  </si>
  <si>
    <t>การประเมินจำกัดอยู่เพียงความสามารถในการจำลองเชิงโครงสร้าง (Conceptual path generation) ไม่ได้มีการวัดประสิทธิภาพการตรวจจับด้วยข้อมูลจริงหรืออภิปรายเรื่อง Train-Test contamination</t>
  </si>
  <si>
    <t>ไม่มีการทดสอบด้วยข้อมูล Traffic หรือ Log การทำงานจริงเพื่อคำนวณ Quantitative ML Metrics เช่น Precision, Recall, False Positive Rate รวมถึงไม่ได้วัดประสิทธิภาพเชิงเวลา (Time efficiency) ในบทความนี้</t>
  </si>
  <si>
    <t>นำเสนอระบบ Forensics และ Traceability โดยใช้ Blockchain (Fabric) ร่วมกับ IPFS และ Bloom Filter เพื่อลดปัญหาการรวมศูนย์และการถูกปลอมแปลงข้อมูล</t>
  </si>
  <si>
    <t>ใช้ Bloom Filter ในการสร้าง Index library (BMerkle tree) เพื่อเพิ่มประสิทธิภาพในการสืบค้นข้อมูล (Traceability index process)</t>
  </si>
  <si>
    <t>ผลการประเมินเชิงฟังก์ชัน (Functional Analysis) อ้างว่าระบบมีความปลอดภัย (Security) และความสมบูรณ์ (Integrity) สูงกว่างานวิจัยเปรียบเทียบอื่น ๆ ที่ไม่ใช้ Blockchain</t>
  </si>
  <si>
    <t>การประเมินผลขาดการทดลองเชิงปริมาณ (Quantitative Experiments) เช่น ความแม่นยำในการตรวจจับ หรือ Latency ในการสืบค้น ใช้เพียงตารางเปรียบเทียบคุณสมบัติ (Feature comparison) เท่านั้น</t>
  </si>
  <si>
    <t>ขาดรายละเอียดเกี่ยวกับ Dataset ที่ใช้ทดสอบ (ถ้ามี), Metrics เชิงตัวเลข, และการทดสอบประสิทธิภาพ (Performance evaluation) ที่จับต้องได้</t>
  </si>
  <si>
    <t>โมเดล MPRLDroid ใช้ Reinforcement Learning ในการสร้าง Meta-path แบบปรับตัวได้ (Adaptive) ซึ่งให้ผลลัพธ์ดีกว่า Meta-path ที่กำหนดโดยมนุษย์ (Hand-designed)</t>
  </si>
  <si>
    <t>MPRLDroid มีค่า F1 Score สูงกว่าโมเดลพื้นฐาน (Baselines) เช่น HAWK และ HinDroid ในชุดข้อมูล CICAndMal2017 และ MPMal2023</t>
  </si>
  <si>
    <t>โมเดลแสดงความทนทาน (Robustness) ต่อเทคนิค Obfuscation ได้ดีกว่าโมเดลเปรียบเทียบ โดยมีประสิทธิภาพลดลงน้อยกว่าเมื่อทดสอบกับตัวอย่างที่ถูก Obfuscate</t>
  </si>
  <si>
    <t>การทดลองใช้การสุ่มตัวอย่าง (Random sampling) และ 5-fold CV บนข้อมูลที่มีความสัมพันธ์กับเวลา (2013-2021) ซึ่งอาจทำให้ผลลัพธ์ดูดีเกินจริงเพราะโมเดลได้เรียนรู้จากข้อมูลในอนาคต</t>
  </si>
  <si>
    <t>ขาดการประเมินแบบ Temporal Split หรือการทดสอบกับ Malware ปีใหม่ๆ โดยใช้โมเดลที่เทรนจากปีเก่าๆ เพื่อวัดความสามารถในการตรวจจับ Zero-day</t>
  </si>
  <si>
    <t>การใช้เทคนิค RECORD (Randomized Encoding) กับวงจร Combinational สามารถสร้างความสุ่ม (Randomization) ได้มากกว่า 50% และกู้คืนข้อมูล (Recovery) ได้ 100%</t>
  </si>
  <si>
    <t>เมื่อประยุกต์ใช้กับวงจร Sequential (เช่น D Flip Flop) โดยใช้ 1 random bit จะได้ความสุ่ม 40% และการกู้คืน 100%</t>
  </si>
  <si>
    <t>การเพิ่มจำนวน Random bit เป็น 2 bits ในวงจร Sequential ช่วยเพิ่มความซับซ้อนและลดโอกาสที่ผู้โจมตีจะอนุมานค่า Random bit ได้</t>
  </si>
  <si>
    <t>บทความนี้ไม่ได้ทำการทดลองกับข้อมูลการโจมตีจริง (Real-world attack data) หรือ Dataset มาตรฐาน แต่ใช้การจำลอง Logic Simulation เท่านั้น ซึ่งอยู่นอกขอบเขตของ Graph-based APT Detection</t>
  </si>
  <si>
    <t>นำเสนอระบบ uitMultiClandroid ที่แปลงไฟล์ APK เป็นรูปภาพ (Image-based) เพื่อใช้กับโมเดล CNN</t>
  </si>
  <si>
    <t>จากการทดสอบ 19 โมเดล พบว่า MobileNet_v2 ให้ประสิทธิภาพสูงสุดด้วย Accuracy 98%</t>
  </si>
  <si>
    <t>การปรับจูน (Finetuning) ด้วย SGD optimizer ที่ learning rate 0.01 ช่วยเพิ่ม Accuracy เป็น 99%</t>
  </si>
  <si>
    <t>Dataset มีความไม่สมดุลในทิศทางตรงข้ามกับความเป็นจริง (Malware 12,685 ตัวอย่าง vs Benign 4,039 ตัวอย่าง) และใช้วิธี Random split ซึ่งอาจไม่สะท้อนความสามารถในการตรวจจับ Malware ใหม่ๆ ในอนาคต</t>
  </si>
  <si>
    <t>ขาดการวิเคราะห์เรื่อง Data Leakage, ไม่มีการแบ่งข้อมูลตามช่วงเวลา (Temporal Split), และไม่มีการทดสอบกับ Concept Drift</t>
  </si>
  <si>
    <t>โมเดล CNN สำหรับตรวจจับมัลแวร์มีความแม่นยำ 95.8% โดยมี False Alarm Rate 2.1%</t>
  </si>
  <si>
    <t>โมเดล LSTM สำหรับตรวจจับพฤติกรรมผิดปกติในเครือข่ายมีความแม่นยำ 93.5% โดยมี False Alarm Rate 3.4%</t>
  </si>
  <si>
    <t>การใช้ Q-learning ปรับปรุงกลยุทธ์การป้องกันช่วยลดจำนวนการโจมตีที่สำเร็จได้ประมาณ 30% (จาก 152.3 เหลือ 106.4)</t>
  </si>
  <si>
    <t>การประเมินผลขาดการเปรียบเทียบกับ Baseline ที่ชัดเจน และไม่ได้ระบุวิธีการจัดการกับการรั่วไหลของข้อมูลระหว่าง Time segments ใน Sliding Window</t>
  </si>
  <si>
    <t>ขาดรายละเอียดของการแบ่ง Dataset และการทดสอบความทนทานต่อ Time decay หรือ Concept drift</t>
  </si>
  <si>
    <t>Generalization มีผลกระทบต่อประสิทธิภาพระบบน้อยที่สุด (ประมาณ 5-7%) เนื่องจากความซับซ้อนในการคำนวณต่ำ</t>
  </si>
  <si>
    <t>Differential Privacy มีผลกระทบต่อประสิทธิภาพสูงสุด (ประมาณ 20%) เนื่องจากการคำนวณ noise ในการ query แบบ real-time</t>
  </si>
  <si>
    <t>Pseudonymization ส่งผลให้ประสิทธิภาพลดลงประมาณ 15% เนื่องจากต้องมีการ mapping ค่ากลับไปกลับมา</t>
  </si>
  <si>
    <t>ขาดการประเมินในบริบทของการตรวจจับการโจมตี (Detection performance) เนื่องจากเป้าหมายคือการวัด Overhead ของระบบป้องกันข้อมูล (Privacy)</t>
  </si>
  <si>
    <t>Random Forest (RF) ให้ประสิทธิภาพการทำงานโดยรวมดีที่สุด (Accuracy ~99.94%) และมีการ Generalization ที่ดีกว่า Logistic Regression (LR)</t>
  </si>
  <si>
    <t>Logistic Regression (LR) มีความเสี่ยงในการ Overfit สูง โดยให้ Precision สูงแต่ Recall ต่ำกว่า Ensemble methods</t>
  </si>
  <si>
    <t>Gradient Boosting (GB) เป็นทางเลือกที่มีความสมดุล (Balanced performance) ใกล้เคียงกับ RF แต่ใช้ทรัพยากรในการเทรนมากกว่า</t>
  </si>
  <si>
    <t>ผู้เขียนระบุความเสี่ยงเรื่อง Overfitting จาก Dataset ที่สะอาดเกินไป (Cleanliness) และขาดความหลากหลาย (Lack of real-world diversity)</t>
  </si>
  <si>
    <t>ขาดการประเมินแบบ Temporal Split เพื่อทดสอบกับ Future Attacks และไม่ได้ใช้วิธีการ Graph-based ตามหัวข้อ SLR</t>
  </si>
  <si>
    <t>โมเดล Stacked Integration (REXD) ที่ใช้ Random Forest, Extreme Trees, และ XGBoost เป็น Base models และ Decision Tree เป็น Meta-model ให้ประสิทธิภาพสูงสุดเมื่อเทียบกับโมเดลเดี่ยว</t>
  </si>
  <si>
    <t>โมเดล Stacked ทำค่า Accuracy, Precision, Recall, F1 ได้ 0.92 และ AUC 0.95 บนชุดข้อมูล Kaggle</t>
  </si>
  <si>
    <t>การรวมโมเดล (Ensemble) ช่วยเพิ่มความแม่นยำประมาณ 5% เมื่อเทียบกับ Single model แต่ใช้เวลาในการเทรนและทดสอบนานขึ้น (จาก 255.35 วินาที เป็น 624.13 วินาที)</t>
  </si>
  <si>
    <t>การทดลองใช้ 5-fold cross-validation และสุ่มแบ่งข้อมูลแบบ 8:2 โดยไม่คำนึงถึงเวลา (Time-based split) ซึ่งอาจไม่สะท้อนสถานการณ์จริงที่ URL อันตรายเปลี่ยนแปลงตามกาลเวลา</t>
  </si>
  <si>
    <t>ขาดการวิเคราะห์ Temporal drift และไม่มีการระบุถึงการจัดการข้อมูลซ้ำซ้อน (Deduplication) หรือการป้องกัน Data leakage ระหว่าง Train/Test</t>
  </si>
  <si>
    <t>Federated Learning (FL) ด้วย XGBoost สามารถให้ความแม่นยำ (Accuracy) ที่สูงเทียบเท่าหรือดีกว่าแบบ Centralized ใน datasets CICIoMT2024, ECU-IoHT และ WUSTL-EHMS</t>
  </si>
  <si>
    <t>การใช้ Bayesian Optimization ช่วยปรับปรุงประสิทธิภาพของ local models ในแต่ละ client ก่อนทำการ aggregation</t>
  </si>
  <si>
    <t>ผลการทดลองแสดงให้เห็นว่า FL model รักษาความเป็นส่วนตัวของข้อมูล (Privacy) โดยไม่ต้องส่งข้อมูลดิบออกจากอุปกรณ์ แต่ยังคงตรวจจับการโจมตีได้แม่นยำ (สูงกว่า 99% ในบางกรณี)</t>
  </si>
  <si>
    <t>การแบ่งข้อมูล (Data Partitioning) ถูกระบุเพียงว่า 'dividing the datasets into training and test sets' โดยไม่ได้กล่าวถึงลำดับเวลา (Temporal order) หรือการแยก Flow ที่สัมพันธ์กัน ซึ่งอาจนำไปสู่ Data Leakage และผลลัพธ์ที่สูงเกินจริง (Over-optimistic results) ในบริบทของ Intrusion Detection</t>
  </si>
  <si>
    <t>ขาดการวิเคราะห์เรื่อง Temporal Leakage และไม่มีการเปรียบเทียบกับ Graph-based methods หรือ Deep Learning baselines ที่ซับซ้อนใน Paper นี้</t>
  </si>
  <si>
    <t>การใช้ Laplace noise ในกระบวนการ Differential Privacy ให้ผลลัพธ์ความแม่นยำของ Global Model ดีกว่า Gaussian noise ในบริบทของ Intrusion Detection</t>
  </si>
  <si>
    <t>โมเดลยังคงรักษาความแม่นยำได้สูงถึง 90% แม้จะมีการใส่ noise เพื่อรักษาความเป็นส่วนตัว (Privacy Budget epsilon = 0.3)</t>
  </si>
  <si>
    <t>Federated Learning ช่วยลดความเสี่ยงข้อมูลรั่วไหลโดยเก็บข้อมูลไว้ที่ Edge แต่ยังต้องการ DP เพื่อป้องกัน Inference attacks จาก Gradient updates</t>
  </si>
  <si>
    <t>การแบ่งข้อมูลแบบ 70:20:10 โดยไม่ระบุถึงการจัดการด้านเวลา (Temporal) หรือการแยกตาม Flow อาจทำให้เกิด Evaluation Bias เนื่องจากข้อมูล Network packet มักมีความสัมพันธ์ต่อเนื่องกัน</t>
  </si>
  <si>
    <t>ขาดการวิเคราะห์ผลกระทบของการแบ่งข้อมูลแบบ Temporal และไม่ได้ระบุถึงการตรวจสอบ Data Leakage ระหว่าง Train/Test set</t>
  </si>
  <si>
    <t>วิธีการ Packet-level Bloom-filter &amp; Similarity search (PBS) สามารถระบุไฟล์สำคัญได้แม่นยำ (False Positive/Negative เป็น 0 ในการทดลอง) โดยไม่ต้อง Reassemble packets</t>
  </si>
  <si>
    <t>การใช้ Content-based chunking (AE chunking) ช่วยแก้ปัญหา boundary-shift ในแพ็กเก็ตได้ดีเมื่อเทียบกับ Fixed-size chunking</t>
  </si>
  <si>
    <t>PBS มีประสิทธิภาพดีกว่า Zeek ในแง่ของการรองรับ Unknown protocols และใช้ทรัพยากรน้อยกว่าเนื่องจากใช้ Inverted Index และ Bloom Filter</t>
  </si>
  <si>
    <t>การทดลองใช้ไฟล์จำนวนจำกัด (100 ไฟล์ต่อกลุ่มทดสอบ) และสร้างสถานการณ์จำลอง (Identical/Similar/Different) อย่างชัดเจน อาจไม่สะท้อนความซับซ้อนของ Traffic จริงที่มี Noise สูงกว่านี้</t>
  </si>
  <si>
    <t>ขาดการเปรียบเทียบกับเทคนิค Learning-based หรือ Graph-based สมัยใหม่อื่นๆ เน้นเทียบกับ Zeek ซึ่งเป็น Signature/Protocol parser tool</t>
  </si>
  <si>
    <t>Identified 6 authorization-data leakage flaws in 6 popular IoT clouds (ThingsBoard, Kaa, JetLinks, etc.), allowing attackers to emulate devices or gain unauthorized access.</t>
  </si>
  <si>
    <t>Proposed SecHARE, an automated tool using Aspect-Oriented Programming (AspectJ) to patch vulnerable IoT clouds by hiding authorization data via a shadow data mapping scheme.</t>
  </si>
  <si>
    <t>SecHARE introduces negligible performance overhead (e.g., 0.14% CPU increase, ~14ms latency for device control) and effectively mitigates the identified flaws.</t>
  </si>
  <si>
    <t>Not Applicable (Not an ML paper).</t>
  </si>
  <si>
    <t>Risk-based access control models (เช่น Fuzzy MLS, RAdAC) นำเสนอโซลูชันสำหรับการจัดการความเสี่ยงในสภาพแวดล้อม dynamic cloud แต่ยังขาดฟีเจอร์ที่ปรับตัวได้ (adaptive features) ในหลายโมเดล</t>
  </si>
  <si>
    <t>Traditional models (DAC, MAC, RBAC) ไม่เพียงพอสำหรับ Cloud Computing เนื่องจากไม่รองรับ dynamic environments และขาดการประเมินความเสี่ยงแบบ real-time</t>
  </si>
  <si>
    <t>การใช้งาน Risk-based models ใน Cloud ยังมีความท้าทายเรื่องการวัดค่าความเสี่ยงเชิงปริมาณ (quantitative risk measurement) และความเป็นส่วนตัวของผู้ใช้</t>
  </si>
  <si>
    <t>Not Reported (บทความนี้เป็น Literature Review/Survey เกี่ยวกับ Access Control Models ไม่มีการทดลองเชิงประจักษ์หรือการเทรนโมเดล ML)</t>
  </si>
  <si>
    <t>Not Reported (ไม่มีการทดลอง)</t>
  </si>
  <si>
    <t>อัลกอริทึมที่นำเสนอ (Vote Classifier ร่วมกับ NLP features) ได้ F1-score สูงถึง 99% ในการทดสอบทั่วไป</t>
  </si>
  <si>
    <t>ภายใต้การโจมตีแบบ Structural Evasion วิธีที่นำเสนอมีความทนทาน (Robust) มากกว่าวิธีการ CNN และ SGD โดยรักษาค่า F1-score ไว้ได้สูงกว่า 0.90 ในขณะที่ CNN ลดลงเหลือ 0.55 ในบางกรณี</t>
  </si>
  <si>
    <t>การใช้ Spelling Correction (Yazım Düzeltimi) ช่วยเพิ่มประสิทธิภาพการจำแนกเอกสารภายใต้การโจมตีแบบ Modification</t>
  </si>
  <si>
    <t>การแบ่งข้อมูลใช้แบบสุ่ม (70% train / 30% test) ซึ่งอาจไม่สะท้อนสถานการณ์จริงที่มัลแวร์มีการเปลี่ยนแปลงตามเวลา</t>
  </si>
  <si>
    <t>ขาดการประเมินแบบ Temporal Split และไม่มีการระบุถึงการป้องกัน Data Leakage ระหว่าง Train/Test set อย่างชัดเจน</t>
  </si>
  <si>
    <t>ระบบ DeepAuditor สามารถตรวจจับ Botnet Intrusion ได้แม่นยำถึง 98.9% โดยใช้ Power Side-channel</t>
  </si>
  <si>
    <t>การใช้ 1-D CNN ที่ออกแบบมาเฉพาะ (DeepAuditor) ให้ผลดีกว่า Baseline (CHASE'19) อย่างมีนัยสำคัญในการทดสอบแบบ Leave-one-out (เช่น ทดสอบกับ Router ที่ไม่เคยเห็นมาก่อน)</t>
  </si>
  <si>
    <t>โปรโตคอล Privacy-preserving (Homomorphic Encryption) สามารถป้องกันข้อมูลรั่วไหลระหว่าง Client และ Cloud ได้โดยยังคงประสิทธิภาพ Real-time (latency ~500ms)</t>
  </si>
  <si>
    <t>งานวิจัยตระหนักถึงปัญหา Overfitting เมื่อทดสอบข้ามอุปกรณ์ (Cross-device) และข้ามประเภทบอตเน็ต (Cross-botnet) จึงออกแบบการทดลองเพื่อวัดความทนทาน (Robustness) ต่อ Unseen patterns</t>
  </si>
  <si>
    <t>ขาดการทดสอบในสภาพแวดล้อมจริงที่มีอุปกรณ์ IoT จำนวนมากและมีความหลากหลายทางไฟฟ้าสูง (Wild setting)</t>
  </si>
  <si>
    <t>นำเสนอวิธีการสื่อสารลับ (Covert Communication) ผ่าน Gradient ใน Federated Learning โดยใช้ LSB steganography</t>
  </si>
  <si>
    <t>การฝังข้อมูลลับขนาด 1 bit ลงในพารามิเตอร์โมเดลส่งผลกระทบต่อ Accuracy และ Loss ของ Global Model น้อยมากจนละเลยได้</t>
  </si>
  <si>
    <t>การทดลองใช้ชุดข้อมูล MNIST กับโมเดล CNN แสดงให้เห็นว่าสามารถกู้คืนข้อมูลลับได้ถูกต้องที่เซิร์ฟเวอร์กลาง</t>
  </si>
  <si>
    <t>การทดลองใช้ Random Split ข้อมูล MNIST ไปยัง Clients ซึ่งเป็น Standard สำหรับ FL แต่ไม่ได้สะท้อนความซับซ้อนของ APT หรือ Graph Data</t>
  </si>
  <si>
    <t>ขาดการประเมินในบริบทของ Network Security จริง หรือ Graph-based data; เป็นงานด้าน Image/FL Privacy</t>
  </si>
  <si>
    <t>นำเสนอกรอบการทำงาน Transactive Energy System (TES) ที่รักษาความเป็นส่วนตัวและตรวจจับการโจมตีด้วยวิธีทางคริปโทกราฟี (Paillier encryption/signature)</t>
  </si>
  <si>
    <t>Block design ที่นำเสนอช่วยลดเวลาการคำนวณ (Computational overhead) ได้อย่างมีนัยสำคัญเมื่อเทียบกับการเข้ารหัสแบบ point-wise</t>
  </si>
  <si>
    <t>กลไกการตรวจจับที่พัฒนาขึ้น (Stamp concatenation) สามารถตรวจจับการโจมตีแบบ replace และ reorder attacks ได้ ซึ่งวิธีมาตรฐานเดิมทำไม่ได้</t>
  </si>
  <si>
    <t>งานวิจัยนี้ไม่ได้ใช้วิธี Machine Learning ในการตรวจจับ แต่ใช้วิธีตรวจสอบทางคณิตศาสตร์ (Cryptographic Verification) ดังนั้นประเด็นเรื่อง Evaluation Bias ในบริบทของ ML (เช่น Data Leakage หรือ Split Strategy) จึงไม่สามารถนำมาวิเคราะห์ได้โดยตรง</t>
  </si>
  <si>
    <t>ขาดการทดสอบกับ dataset การโจมตีทางไซเบอร์จริง (Real-world APT datasets) เนื่องจากเป็นการจำลองระบบไฟฟ้าและการโจมตีแบบสังเคราะห์ (Synthetic attacks) ในสภาพแวดล้อม Simulation</t>
  </si>
  <si>
    <t>นำเสนอระบบ Uncuffed ซึ่งเป็นระบบส่งข้อความปลอดภัยบนพื้นฐาน Blockchain (Bitcoin protocol) เพื่อป้องกัน data leakage.</t>
  </si>
  <si>
    <t>ระบบใช้ Proof of Work ในการตรวจสอบธุรกรรมและข้อความ โดยมีผู้ใช้สองกลุ่มคือ Miners และ Clients.</t>
  </si>
  <si>
    <t>รองรับ payload หลายประเภท ได้แก่ Plain Text, Encrypted Message, Image Message และ Encrypted Image.</t>
  </si>
  <si>
    <t>เอกสารฉบับนี้เป็นการนำเสนอสถาปัตยกรรมระบบ (System Proposal/Simulation) ไม่ใช่งานวิจัยด้าน ML/Deep Learning สำหรับการตรวจจับ APT จึงไม่มีการประเมิน dataset, split strategy หรือ detection metrics.</t>
  </si>
  <si>
    <t>อัลกอริทึมที่นำเสนอ (Intelligent Recommendation) มีประสิทธิภาพในการบีบอัดข้อมูลและประมวลผลดีกว่าวิธีดั้งเดิม โดยเฉพาะเมื่อปริมาณข้อมูลเพิ่มขึ้น</t>
  </si>
  <si>
    <t>ค่าความผิดพลาดเฉลี่ย (MAE) ของอัลกอริทึมที่นำเสนอต่ำกว่าวิธีดั้งเดิม ซึ่งแสดงถึงความแม่นยำที่สูงขึ้นในการแนะนำงาน</t>
  </si>
  <si>
    <t>การจับคู่ตำแหน่งงานมีความสัมพันธ์กับภูมิลำเนา (Urban vs Township) และปัจจัยครอบครัว</t>
  </si>
  <si>
    <t>การประเมินผลใช้ข้อมูลส่วนตัว (Private Data) และวิธีการสุ่มตัวอย่างแบบ 'uniform interval' ซึ่งไม่สะท้อนถึง Temporal distribution หรือ Adversarial scenarios ที่จำเป็นสำหรับงานด้านความปลอดภัย</t>
  </si>
  <si>
    <t>ขาดรายละเอียดเกี่ยวกับ Dataset, การแบ่ง Train/Test ที่ชัดเจน, และการทดสอบด้าน Security detection (บทความเน้น Recommendation performance)</t>
  </si>
  <si>
    <t>องค์กรในบัลแกเรียที่มีพนักงานมากกว่า 250 คน มีสัดส่วนสูงสุด (57%) ที่มีเอกสารนโยบายความมั่นคงปลอดภัยสารสนเทศ</t>
  </si>
  <si>
    <t>แนวทางการจัดการความมั่นคงปลอดภัยแบ่งเป็น 2 กลุ่มหลักตามรูปแบบการสื่อสาร: Network Communication (ใช้ Firewall, IDS, IPS) และ Hierarchical Organizational Communication (ใช้ DLP, Data Classification)</t>
  </si>
  <si>
    <t>การประยุกต์ใช้แนวทางความมั่นคงปลอดภัยแบ่งเป็นพื้นที่: External network, Network Perimeter, Internal network, Computer equipment, Applications และ Data</t>
  </si>
  <si>
    <t>บทความนี้ไม่มีการทดลองทางเทคนิค (Technical Experiment) หรือการประเมินอัลกอริทึม</t>
  </si>
  <si>
    <t>DLP solutions แบ่งตาม state ของข้อมูล: Data-at-Rest (DAR), Data-in-Use (DIU), และ Data-in-Motion (DIM)</t>
  </si>
  <si>
    <t>เทคนิคการตรวจจับแบ่งเป็น Content-based (fingerprinting, regex) และ Context-based (metadata, behavior analysis)</t>
  </si>
  <si>
    <t>การวิจัยในโดเมนนี้เผชิญความท้าทายเรื่อง Encryption, Insider Threats และความซับซ้อนของ Digital Environments</t>
  </si>
  <si>
    <t>โมเดล MOMBD-CDD ที่นำเสนอ (ใช้ GSO-SMOTE, STEPD และ Bi-LSTM) ทำคะแนนได้สูงสุด (Accuracy 97.45% บน NSL-KDD) เมื่อเทียบกับ baseline อื่นๆ</t>
  </si>
  <si>
    <t>การใช้ GSO-SMOTE เพิ่มจำนวนตัวอย่างใน NSL-KDD จาก 125,973 เป็น 129,843 ตัวอย่างเพื่อแก้ปัญหา class imbalance</t>
  </si>
  <si>
    <t>STEPD ถูกใช้เพื่อตรวจจับ concept drift ในข้อมูลแบบ streaming โดยใช้ sliding windows</t>
  </si>
  <si>
    <t>มีสัญญาณของ Data Leakage อย่างชัดเจน เนื่องจาก Workflow (Fig. 1) ระบุว่าขั้นตอน 'Class Imbalance Handling using GSO-SMOTE' เกิดขึ้นก่อนการสร้าง 'Data Stream' และการแบ่งข้อมูล ซึ่งหมายความว่าข้อมูลสังเคราะห์ถูกสร้างขึ้นจากภาพรวมทั้งหมดก่อนการทดสอบ</t>
  </si>
  <si>
    <t>ขาดรายละเอียดของการแบ่งชุดข้อมูล (Train/Test split) ที่ชัดเจน และไม่มีการระบุว่ามีการแยก Test set ออกก่อนทำ SMOTE หรือไม่ (ซึ่งตัวเลข 125,973 ตรงกับจำนวน NSL-KDD Train set พอดี ทำให้เชื่อได้ว่า Test บน Train ที่ถูก oversample)</t>
  </si>
  <si>
    <t>อัลกอริทึม BCG (Best-classification groups) ให้ผลลัพธ์ที่ดีที่สุดใน 89.1% ของกรณีทดสอบทั้งหมด โดยมีค่าเฉลี่ย gap เพียง 0.001</t>
  </si>
  <si>
    <t>ปัญหาการจัดตารางเวลา (Scheduling) เพื่อป้องกันข้อมูลรั่วไหลผ่านเราเตอร์สองตัวภายใต้ข้อจำกัดด้านความปลอดภัยเป็นปัญหา NP-hard</t>
  </si>
  <si>
    <t>การเปรียบเทียบกับอัลกอริทึมในวรรณกรรม (Literature) พบว่า BCG ทำงานได้ดีกว่าหรือเท่ากับอัลกอริทึม RLT ในกรณีส่วนใหญ่</t>
  </si>
  <si>
    <t>การประเมินผลใช้วิธีสร้างข้อมูลจำลอง (Synthetic) และข้อมูลขนาดไฟล์วิดีโอ (Real Dataset) ซึ่งไม่ใช่ข้อมูลการโจมตีทางไซเบอร์จริง (APT traces) ทำให้ไม่สะท้อนความสามารถในการตรวจจับภัยคุกคามในบริบท Graph-based APT</t>
  </si>
  <si>
    <t>ขาดการทดสอบกับ dataset ที่มีพฤติกรรมการโจมตีจริง หรือโครงสร้างกราฟที่ซับซ้อน (Provenance/Interaction graphs)</t>
  </si>
  <si>
    <t>นำเสนอระบบ Uncuffed ที่ใช้โครงสร้าง Blockchain และ Proof of Work แบบจำลอง (Simulation) เพื่อการส่งข้อความที่ปลอดภัย</t>
  </si>
  <si>
    <t>ระบบใช้โครงสร้าง UTXO (Unspent Transaction Outputs) ในการจัดการธุรกรรมและข้อความ เพื่อป้องกัน Double Spending และยืนยันความถูกต้องแบบ Decentralized</t>
  </si>
  <si>
    <t>รองรับ Message Payload หลายรูปแบบ ทั้ง Plain Text, Encrypted Message และรูปภาพ โดยฝังลงใน Transaction Output</t>
  </si>
  <si>
    <t>ขาดการทดลองวัดประสิทธิภาพ (Experimental Evaluation) ในเชิง Detection Rate หรือ Performance Metrics เนื่องจากเป็นงานนำเสนอการออกแบบระบบ (System Design) มากกว่างาน AI/ML</t>
  </si>
  <si>
    <t>Gap_Statements</t>
  </si>
  <si>
    <t>Future_Work_Suggestions</t>
  </si>
  <si>
    <t>Implication_for_Field</t>
  </si>
  <si>
    <t>Supports_Leakage_aware_Strategic_Sampling_Support_Level</t>
  </si>
  <si>
    <t>Supports_Leakage_aware_Strategic_Sampling_How_it_supports</t>
  </si>
  <si>
    <t>Supports_Intrinsic_Explainable_Dynamic_Hetero_Graph_Support_Level</t>
  </si>
  <si>
    <t>Supports_Intrinsic_Explainable_Dynamic_Hetero_Graph_How_it_supports</t>
  </si>
  <si>
    <t>vendor solutions that are offered today that rely on expensive hardware and software solutions that may lack flexibility</t>
  </si>
  <si>
    <t>Expansion of Lookup Tables; Implementation of User Searches and Filtering of Scan Result; Headless Communication with Remotely Deployed Pi Sensors; Correlation of Results from a Swarm of Pi Sensors</t>
  </si>
  <si>
    <t>เอกสารไม่ได้กล่าวถึง Sampling Strategy หรือ Data Leakage ในบริบทของ Machine Learning</t>
  </si>
  <si>
    <t>เอกสารเน้น Packet Capture และ Basic Profiling ไม่ใช่ Graph Neural Networks</t>
  </si>
  <si>
    <t>Communication overhead needs reduction; Vulnerabilities to model poisoning and adversarial attacks in FL</t>
  </si>
  <si>
    <t>Implementing model averaging with local fine-tuning; Explore security vulnerabilities in Federated Learning; Investigate mitigation strategies for model poisoning</t>
  </si>
  <si>
    <t>แสดงให้เห็นศักยภาพของ Federated Learning ร่วมกับ CNN ในการตรวจจับการบุกรุกบน IoT โดยไม่ต้องส่งข้อมูลดิบเข้า server กลาง</t>
  </si>
  <si>
    <t>บทความไม่ได้ใช้เทคนิคการสุ่มตัวอย่างเชิงกลยุทธ์เพื่อลดการรั่วไหลของข้อมูลในการประเมินผล</t>
  </si>
  <si>
    <t>งานวิจัยใช้ 1D CNN บนข้อมูลจราจรเครือข่าย ไม่ได้ใช้วิธีการทาง Graph Neural Networks</t>
  </si>
  <si>
    <t>Though there are many user authentication methods – they all cannot be used for securing the device.</t>
  </si>
  <si>
    <t>Implement the mentioned methods on a home automation system to find out which method is more secure to use.; Further research is required into the specific dangers that various home automation system types represent.</t>
  </si>
  <si>
    <t>Provides a high-level overview of authentication options for smart homes but does not contribute to graph-based detection or APT research.</t>
  </si>
  <si>
    <t>Existing research focuses on accuracy, ignoring limited resources in ICS.; Traditional VAE reconstruction can sometimes reconstruct anomalies too well if they are similar to normal data.</t>
  </si>
  <si>
    <t>Test on other public ICS datasets to determine generalization.; Distinguish anomalies caused by intrusion intentions vs hardware failures.; Improve utility in different industrial scenarios.</t>
  </si>
  <si>
    <t>เน้นความสำคัญของการออกแบบ Lightweight model สำหรับ ICS และการใช้ preprocessing (SR) เพื่อช่วยให้ generative model แยกแยะ anomaly ได้ดีขึ้น</t>
  </si>
  <si>
    <t>มีการระบุเรื่อง sliding window shift ที่แตกต่างกันระหว่าง training (shift=1) และ testing (shift=w_size) เพื่อประสิทธิภาพ แต่ไม่ได้เชื่อมโยงกับ graph sampling</t>
  </si>
  <si>
    <t>งานวิจัยนี้เป็น Time-series Anomaly Detection ไม่ใช่ Graph-based method</t>
  </si>
  <si>
    <t>The sensitivity of learning accuracy, in class imbalance, is based on the distribution of minority classes and degree of overlap among the classes.; Concept drift denotes the modifications in distributed samples due to major problems in stream data examination.</t>
  </si>
  <si>
    <t>In future, the performance can be increased through clustering and feature selection techniques.</t>
  </si>
  <si>
    <t>Addressing security concerns demands a robust strategy encompassing encryption, authentication, and regulatory compliance.; Safeguarding individual privacy and system security is essential for maximizing the transformative potential of RIS technology.</t>
  </si>
  <si>
    <t>Developing new physical layer security techniques that account for the unique characteristics and capabilities of RISs.; Research on identifying and separating affected paths in time domain for manipulation attacks.</t>
  </si>
  <si>
    <t>งานวิจัยนี้ชี้ให้เห็นความสำคัญของการรักษาความปลอดภัยในระดับฮาร์ดแวร์และสัญญาณ (Physical Layer) สำหรับโครงสร้างพื้นฐาน 6G ซึ่งอาจเป็นส่วนประกอบหนึ่งในระบบตรวจจับการบุกรุกที่ซับซ้อนขึ้นในอนาคต แต่ไม่เกี่ยวข้องโดยตรงกับ Graph-based APT detection</t>
  </si>
  <si>
    <t>เนื้อหาเน้น Wireless Communication และ Signal Processing ไม่เกี่ยวข้องกับ Data Sampling ใน Machine Learning</t>
  </si>
  <si>
    <t>ไม่มีการกล่าวถึง Graph-based methods หรือ Explainability ในบริบทของ AI/ML</t>
  </si>
  <si>
    <t>Existing watermarking methods are mainly designed for traditional internet environments and are not directly applicable to high-dynamic, low-latency edge DT communication scenarios.</t>
  </si>
  <si>
    <t>Apply the framework to specific digital twin scenarios such as digital healthcare and intelligent transportation.; Develop more efficient watermark embedding algorithms and detection methods to improve scalability in large-scale network environments.</t>
  </si>
  <si>
    <t>การใช้ Deep Learning (TabNet) ช่วยเพิ่มความแม่นยำในการตรวจจับ Watermark ในสภาวะเครือข่ายที่ไม่เสถียร แต่ยังไม่ใช่ Graph-based approach</t>
  </si>
  <si>
    <t>มีการใช้ TabNet ซึ่งมีกลไก Attention (Attentive Transformer) เพื่อเลือกฟีเจอร์ที่สำคัญ (Feature selection mask) ช่วยในการอธิบายผลลัพธ์ (Interpretability) แต่ไม่ใช่บน Graph structure</t>
  </si>
  <si>
    <t>Evaluate performance of behavioral characteristics from each dimension during ORF classification model training</t>
  </si>
  <si>
    <t>การนำเสนอแนวคิด Behavioral Portrait ช่วยในการอธิบายลักษณะของมัลแวร์ (Explainability) ผ่านการ Visualization แต่ในเชิงระเบียบวิธีวิจัยยังขาดความรัดกุมเรื่อง Temporal Evaluation</t>
  </si>
  <si>
    <t>งานวิจัยใช้ Random Sampling และ Random Split มาตรฐาน ไม่ได้มีการออกแบบเพื่อป้องกัน Leakage</t>
  </si>
  <si>
    <t>มีการนำเสนอ 'Behavioral Portrait' ที่แสดงความสัมพันธ์ระหว่าง behavioral tags คล้ายกราฟ (Figure 4, 9) เพื่อช่วยเรื่อง Explainability แต่กระบวนการเรียนรู้หลักทำบน Feature Vectors ไม่ใช่ Graph Neural Networks</t>
  </si>
  <si>
    <t>The increase in the complexity of communications... lead to new and stricter requirements for the protection of the information resources</t>
  </si>
  <si>
    <t>Effective combination of traditional IS approaches within network and hierarchical organizational communication, as well as the addition of innovative IS approaches</t>
  </si>
  <si>
    <t>เน้นย้ำความสำคัญของการผสมผสานเครื่องมือความปลอดภัยทั้งระดับเครือข่าย (เช่น Firewall, IDS) และระดับองค์กร (เช่น DLP) เข้าด้วยกัน</t>
  </si>
  <si>
    <t>บทความไม่ได้กล่าวถึงการสุ่มตัวอย่างข้อมูลสำหรับการฝึกสอนโมเดล</t>
  </si>
  <si>
    <t>บทความไม่ได้นำเสนอโมเดลกราฟ แต่กล่าวถึง Network communication ในบริบทของการเชื่อมต่อทั่วไป</t>
  </si>
  <si>
    <t>Mocking up an entire OS manually is a major effort; State space explosion problem for model checking; Cannot handle hybrid apps that include native code; Implicit information flow is not handled</t>
  </si>
  <si>
    <t>Apply partial order reduction and interface reduction to cope with state space explosion; Use symbolic execution to generate data input; Employ more advanced solutions such as DTA++ for implicit flow</t>
  </si>
  <si>
    <t>งานวิจัยนี้แสดงให้เห็นว่า Model Checking สามารถใช้ตรวจสอบความปลอดภัยของแอป Android ได้อย่างแม่นยำและสร้างหลักฐาน (Counter-example) ที่ชัดเจน แต่ยังมีข้อจำกัดเรื่อง Scalability และความซับซ้อนในการจำลองสภาพแวดล้อม</t>
  </si>
  <si>
    <t>นำเสนอกระบวนการสร้าง DFA (Deterministic Finite Automata) เพื่อจำลองความสัมพันธ์ของเหตุการณ์ (Dependency-Constrained Event Permutation) ซึ่งเป็นรูปแบบหนึ่งของ Dynamic Graph ที่ช่วยอธิบายลำดับการทำงานที่นำไปสู่ช่องโหว่ (Explainability through traces)</t>
  </si>
  <si>
    <t>Traditional data management systems cannot handle massive data.; Not enough research and investment in this domain exist despite the need to use such a solution.</t>
  </si>
  <si>
    <t>Enhancement of proposed algorithms by applying several metaheuristics.; Applying proposed algorithms to other network problems.; Develop an exact solution using mathematical formulation or solver Cplex.</t>
  </si>
  <si>
    <t>นำเสนอแนวทางจัดตารางส่งข้อมูล (Scheduling) ผ่าน 2 routers เพื่อป้องกันการส่งข้อมูลชั้นความลับเดียวกันพร้อมกัน ช่วยลดโอกาสข้อมูลรั่วไหลในระดับสถาปัตยกรรม</t>
  </si>
  <si>
    <t>This study primarily concentrates on the interactions among the government, security crowdsourcing platforms, and security personnel, neglecting a comprehensive examination of seekers’ behavior... and the potential roles of third-party industry organizations; The government reward and punishment mechanism proposed in this study is static</t>
  </si>
  <si>
    <t>Develop a multi-stage, dynamic governance game model involving four-party entities; Explore the effects of various reward and punishment mechanisms on the governance</t>
  </si>
  <si>
    <t>เสนอกรอบแนวคิดทางทฤษฎีเกมเพื่อการจัดการนโยบายความปลอดภัยไซเบอร์ในระบบ Crowdsourcing ซึ่งอาจเป็นประโยชน์ในการออกแบบ Incentive สำหรับระบบตรวจจับที่ใช้มนุษย์ร่วมด้วย</t>
  </si>
  <si>
    <t>งานวิจัยไม่เกี่ยวข้องกับการสุ่มตัวอย่างข้อมูลสำหรับโมเดลการเรียนรู้</t>
  </si>
  <si>
    <t>งานวิจัยไม่เกี่ยวข้องกับ Graph Neural Networks หรือ Graph-based Detection</t>
  </si>
  <si>
    <t>Critical limitations were identified for Meshroom (inefficiency with large frame sets) and Pix4D; Sanction-related deployment challenges for RealityCapture in the Russian Federation</t>
  </si>
  <si>
    <t>Development of domestic hybrid methodologies combining classical SfM/MVS algorithms with neural network approaches; Creation of solutions emphasizing data security</t>
  </si>
  <si>
    <t>บทความเน้นเรื่อง Photogrammetry และ Data Privacy Leakage ไม่ใช่ Data Leakage ในการทดลอง Machine Learning</t>
  </si>
  <si>
    <t>ไม่มีการใช้งาน Graph Learning หรือ Explainable AI ในบริบทการตรวจจับภัยคุกคาม</t>
  </si>
  <si>
    <t>The proposed model only measures the classification performance for the MITRE ATT&amp;CK type and cannot distinguish between normal and attack logs.</t>
  </si>
  <si>
    <t>Develop a real-world test environment with CPU and memory configurations; Consider explainable AI techniques; Examine scalability, latency, and hardware constraints</t>
  </si>
  <si>
    <t>การนำ Federated Learning มาใช้กับ APT Detection ใน IIoT ช่วยเรื่อง Privacy แต่จำเป็นต้องคำนึงถึงลักษณะข้อมูลแบบ Time-series ของ APT มากขึ้น</t>
  </si>
  <si>
    <t>งานวิจัยนี้เน้น Privacy leakage ไม่ใช่ Data leakage ในเชิง Evaluation bias ของ Graph/Time-series</t>
  </si>
  <si>
    <t>ไม่ได้ใช้ Graph-based approach</t>
  </si>
  <si>
    <t>Existing solutions (Symantec, McAfee, Forcepoint) have limitations in customization, scalability, and high false positive rates.</t>
  </si>
  <si>
    <t>Reducing false positive rate further by training on larger datasets, particularly from health organizations.</t>
  </si>
  <si>
    <t>แสดงให้เห็นถึงประสิทธิภาพของการนำ NLP (BERT) มาใช้แทน Signature-based แบบเดิมในงาน DLP แต่ยังไม่เกี่ยวข้องกับ Graph-based APT</t>
  </si>
  <si>
    <t>งานวิจัยนี้เน้น Text Classification ไม่มีการอภิปรายเรื่อง Sampling Strategy สำหรับ Graph หรือ APT</t>
  </si>
  <si>
    <t>งานวิจัยใช้ BERT (Text-based) ไม่ใช่ Graph-based model</t>
  </si>
  <si>
    <t>Scalability remains a challenge. Our dependency checking model requires evaluating the joint probability mass function for all possible subsets, resulting in complexity limits.; Requires designer's expertise to formally representing security features in property assertions (comparison with formal verification).</t>
  </si>
  <si>
    <t>Explore entropy approximation techniques that can address the computational challenges of analyzing large encryption modules without relying on redundancy.; Extend the QuEST framework to verify vulnerabilities in general-purpose processors.</t>
  </si>
  <si>
    <t>เสนอแนวทาง Statistical Dependency Checking ที่ให้ค่าเชิงปริมาณ (Quantitative) แทนการตรวจสอบแบบ Binary (ผ่าน/ไม่ผ่าน) ของวิธีดั้งเดิม ช่วยให้เข้าใจระดับความรุนแรงของการรั่วไหลข้อมูลได้ดีขึ้น</t>
  </si>
  <si>
    <t>Lack of knowledge about how to manage data and secure it properly.; Need for regulations to provide legal protection for victims who experience theft of personal data.</t>
  </si>
  <si>
    <t>Risk management analysis is needed in order to deal with cybercriminal attacks.; Hospitals should optimize security systems and integrate electronic medical recording.</t>
  </si>
  <si>
    <t>Highlights the legal and procedural necessity of data security in healthcare, but offers no technical graph-based solutions.</t>
  </si>
  <si>
    <t>Irrelevant to sampling strategies in graph learning.</t>
  </si>
  <si>
    <t>Irrelevant to graph-based explainability.</t>
  </si>
  <si>
    <t>95% of businesses struggle to manage unstructured data</t>
  </si>
  <si>
    <t>Implementing and assess the quantifiable security compliances for big data and its analytic tools</t>
  </si>
  <si>
    <t>เน้นย้ำความสำคัญของการจัดการข้อมูล Unstructured และการใช้มาตรการความปลอดภัยพื้นฐาน (Encryption/Access Control) ในระบบ Healthcare</t>
  </si>
  <si>
    <t>บทความไม่ได้กล่าวถึงการสุ่มตัวอย่างข้อมูล (Sampling) ในบริบทของการเรียนรู้ของเครื่อง (Machine Learning) หรือ Graph Learning</t>
  </si>
  <si>
    <t>บทความกล่าวถึง Anomaly Detection ทั่วไป แต่ไม่ได้เจาะจงเทคนิค Graph-based หรือ Explainability ในเชิงลึก</t>
  </si>
  <si>
    <t>QIF-Verilog is shown to be unreliable in the identification of certain design vulnerabilities; non-interference property... is shown to be too inflexible for many applications</t>
  </si>
  <si>
    <t>เสนอแนวทาง Quantitative Information Flow (QIF) แบบใหม่ที่ใช้ Graph analysis บน RTL code เพื่อลด False Negatives ในการตรวจจับ Hardware Trojans</t>
  </si>
  <si>
    <t>งานวิจัยนี้เป็น Analytical approach ไม่ใช่ Data-driven ML จึงไม่ได้ใช้ Sampling strategy</t>
  </si>
  <si>
    <t>มีการใช้ Graph of binds เพื่ออธิบาย dependency ของสัญญาณ (Explainability) แต่เป็น Static analysis ไม่ใช่ Dynamic graph learning</t>
  </si>
  <si>
    <t>Existing privacy models fail to preserve privacy against the comprehensive background knowledge adversarial model</t>
  </si>
  <si>
    <t>Incorporating privacy and utility trade-offs to achieve application-specific data privacy solutions</t>
  </si>
  <si>
    <t>งานวิจัยนี้ชี้ให้เห็นว่าการป้องกันข้อมูลแบบเดิมไม่เพียงพอหากผู้โจมตีรวมข้อมูลจากหลายแหล่ง (รวมถึงกราฟสังคม) แต่เนื้อหาเน้น Privacy Preservation มากกว่า Threat Detection</t>
  </si>
  <si>
    <t>บทความเน้นการป้องกัน Privacy Leakage จาก Background Knowledge ในมุมมองของการเผยแพร่ข้อมูล ไม่ใช่ Data Leakage ในกระบวนการ Train ML</t>
  </si>
  <si>
    <t>มีการกล่าวถึง Cohesive Knowledge จาก Social Networks ซึ่งเป็นข้อมูลแบบกราฟที่ช่วยอธิบายความสัมพันธ์ในการระบุตัวตน (Explainability ในบริบท Privacy)</t>
  </si>
  <si>
    <t>dataset that is not representative of the variability of a realistic traffic; adversarial behaviours ... would be underrepresented; policies were not stress-tested on fully non-IID federated splits</t>
  </si>
  <si>
    <t>scaling the architecture to non-IID federated data; testing the trade-offs of full computations in non-IID real deployment</t>
  </si>
  <si>
    <t>Proposed a unified pipeline of Quantum-inspired FS, Edge AI, and RL-based defense for IoT, emphasizing low false positives.</t>
  </si>
  <si>
    <t>Focuses on feature selection and RL thresholds rather than sampling strategies for evaluation.</t>
  </si>
  <si>
    <t>Mentions 'IoT graph' and 'trust-weighted federated aggregation' but the core learning is on flow tensors, not graph structural learning for explainability.</t>
  </si>
  <si>
    <t>Currently, data leakage is the biggest security concern faced by organizations using BYOD.</t>
  </si>
  <si>
    <t>Future research will focus on implementing the approaches and building an algorithm for the BYOD Trust Model to minimise data leakage.</t>
  </si>
  <si>
    <t>เสนอแนวทางการใช้ Blockchain ร่วมกับ Device Trust Model เพื่อแก้ปัญหา Security/Forensics ใน BYOD</t>
  </si>
  <si>
    <t>บทความไม่ได้เน้นการสร้าง Model ML หรือ Sampling Strategy</t>
  </si>
  <si>
    <t>แม้จะมีการกล่าวถึง Blockchain (ซึ่งมีโครงสร้างกราฟ) แต่ไม่ได้นำมาใช้ในบริบทของ Graph Learning สำหรับ APT Detection</t>
  </si>
  <si>
    <t>Existing deep-learning models trained with coarse-grained power trace data contain inaccurate or duplicate information</t>
  </si>
  <si>
    <t>Optimization of noise reduction modules and their placement within the model</t>
  </si>
  <si>
    <t>การใช้ Side-channel (Power) ในระดับ Fine-grained เป็นทางเลือกที่มีประสิทธิภาพสำหรับอุปกรณ์ IoT ที่มีทรัพยากรจำกัด</t>
  </si>
  <si>
    <t>งานวิจัยกล่าวถึงปัญหาของ 'duplicate information' ในข้อมูลแบบ coarse-grained ซึ่งทำให้เกิด false positives แต่วิธีแก้ปัญหาเน้นที่ feature extraction มากกว่า sampling strategy</t>
  </si>
  <si>
    <t>งานวิจัยนี้เป็น Signal Processing/Deep Learning (CNN/LSTM) บนข้อมูล 1D Time-series ไม่ใช่ Graph-based approach</t>
  </si>
  <si>
    <t>Traditional BYOD design does not have cloud security analyses; BYOD traffic exits from same gateway in ideal case, so BYOD design and cloud security with Software define WAN need to studied in depth</t>
  </si>
  <si>
    <t>Study BYOD environment in connection of Cloud Security; Software define WAN (SD-WAN) integration with BYOD security</t>
  </si>
  <si>
    <t>เน้นความสำคัญของการออกแบบ Network Segmentation และการใช้ Certificate-based Authentication ในองค์กร</t>
  </si>
  <si>
    <t>บทความไม่เกี่ยวข้องกับ Machine Learning หรือ Sampling Strategy</t>
  </si>
  <si>
    <t>บทความไม่เกี่ยวข้องกับ Graph Learning หรือ Explainability</t>
  </si>
  <si>
    <t>Detecting fraud quickly to prevent significant financial losses in streaming environment with concept drift</t>
  </si>
  <si>
    <t>Improve the model to attain higher performance metrics with other datasets</t>
  </si>
  <si>
    <t>มีการกล่าวถึง Undersampling (Algorithm 2) เพื่อจัดการ Imbalance ใน window แต่ไม่ได้เน้นเรื่อง Sampling เพื่อลด Leakage โดยตรง</t>
  </si>
  <si>
    <t>งานวิจัยนี้ใช้ XGBoost ซึ่งเป็น Tree-based method และจัดการข้อมูลแบบ Vector/Stream ไม่มีการสร้างหรือวิเคราะห์ Graph Structure (GNN/Graph Embedding) จึงไม่สนับสนุนหัวข้อ Graph-based APT</t>
  </si>
  <si>
    <t>Threats are polymorphic and in different variants will become untraceable challenges.</t>
  </si>
  <si>
    <t>Behavioral analysis, deep learning, machine learning and intelligence based system can be developed to secure systems.</t>
  </si>
  <si>
    <t>เน้นย้ำความจำเป็นของการรวม Data leakage analysis เข้ากับ Network IDS ในอุปกรณ์เคลื่อนที่</t>
  </si>
  <si>
    <t>Datasets used do not include obfuscated or polymorphic malware samples.; Evaluation may not fully reflect detection challenges posed by advanced evasion techniques.; Does not capture system-level challenges in real-world distributed scenarios like industrial IoT.</t>
  </si>
  <si>
    <t>Incorporate advanced evasion techniques to construct more realistic evaluation scenarios.; Extend framework to encompass network-level adversarial patterns like coordinated multi-stage attacks.; Integrate differentially private federated learning.</t>
  </si>
  <si>
    <t>เน้นย้ำความสำคัญของการป้องกัน Privacy ควบคู่กับ Robustness แต่ยังขาดการประเมินผลที่คำนึงถึงบริบทของ Graph หรือ Temporal structure ของข้อมูลเครือข่ายอย่างแท้จริง</t>
  </si>
  <si>
    <t>มีการพูดถึง Data Leakage ในบริบทของ Privacy (Inferring training data) และใช้ DP เพื่อแก้ปัญหา แต่ไม่ได้พูดถึง Sampling เพื่อลด Evaluation Leakage</t>
  </si>
  <si>
    <t>งานวิจัยนี้ใช้ Tree-based models (LightGBM) และ MLP ไม่ได้ใช้ Graph-based methods</t>
  </si>
  <si>
    <t>researchers still struggle to define the problem, much less demonstrate the operational validity of their solutions</t>
  </si>
  <si>
    <t>Insider threat detection requires holistic socio-technical approaches rather than purely technical ones.</t>
  </si>
  <si>
    <t>Not enough companies are fully aware of fraud, compliance, and cybersecurity controls.</t>
  </si>
  <si>
    <t>Apply the self-assessment model effectively in their own company.</t>
  </si>
  <si>
    <t>เสนอกรอบการประเมินความพร้อม (Maturity Model) สำหรับองค์กรการเงินเพื่อป้องกันข้อมูลรั่วไหล โดยอิงตาม NIST</t>
  </si>
  <si>
    <t>เอกสารเป็นงานวิจัยเชิงนโยบาย/การจัดการ (Management/Policy) ไม่เกี่ยวข้องกับการสุ่มตัวอย่างข้อมูลสำหรับกราฟ</t>
  </si>
  <si>
    <t>ไม่เกี่ยวข้องกับ Graph Learning หรือ Explainability ของโมเดล AI</t>
  </si>
  <si>
    <t>The existing literature on LLMs is mostly focused on system design and lacks dedicated research on investigating privacy and security issues.</t>
  </si>
  <si>
    <t>Understand the threats is crucial to finding ways to reduce them and using LLMs responsibly.; Identify potential risks and point a direction for further research in threat defense.</t>
  </si>
  <si>
    <t>เน้นย้ำความจำเป็นในการทำ Threat Modeling สำหรับระบบ AI/LLM ตั้งแต่ขั้นตอนการออกแบบ และชี้ให้เห็นช่องโหว่ใหม่ๆ เช่น Plugin Vulnerabilities</t>
  </si>
  <si>
    <t>บทความไม่ได้กล่าวถึงการสุ่มตัวอย่างข้อมูล (Sampling) หรือ Data Leakage ในบริบทของการแบ่งชุดข้อมูลสำหรับ Train/Test</t>
  </si>
  <si>
    <t>บทความไม่ได้กล่าวถึง Graph-based detection หรือ Heterogeneous Graphs แต่อย่างใด</t>
  </si>
  <si>
    <t>Deploying high-security biometric systems raises major privacy concerns since... compromised biometric data cannot be changed.</t>
  </si>
  <si>
    <t>Refining secure, privacy-preserving authentication systems in mission-critical contexts.; Investigation of timing and cache side-channel mitigation.</t>
  </si>
  <si>
    <t>แสดงให้เห็นถึงความเป็นไปได้ในการใช้งาน Post-Quantum Cryptography (HE) กับระบบ Biometric จริง โดยรักษาความแม่นยำไว้ได้</t>
  </si>
  <si>
    <t>มีการกล่าวถึงการแยก Subject set ระหว่าง modalities เพื่อป้องกัน correlation bias ซึ่งเป็นแนวคิดเดียวกับการป้องกัน leakage แต่อยู่คนละโดเมน (Biometrics vs APT).</t>
  </si>
  <si>
    <t>ไม่เกี่ยวข้องกับ Graph learning.</t>
  </si>
  <si>
    <t>The process of ensuring compliance is manual and document-intensive; LLMs... pose serious security risks, such as information leakage if sensitive data is accessed by third parties; Output was not easily interpretable for non-experts</t>
  </si>
  <si>
    <t>Deeply analyze and refine our AI system to be in comply with EU AI Act</t>
  </si>
  <si>
    <t>งานนี้แสดงตัวอย่างการใช้ Knowledge Graph เพื่อเพิ่มความน่าเชื่อถือ (Trustworthiness) และความสามารถในการอธิบาย (Explainability) ให้กับ LLM ในบริบทความปลอดภัยทางไซเบอร์ ซึ่งเป็นแนวทางสำคัญสำหรับการปฏิบัติตามกฎหมาย AI Act</t>
  </si>
  <si>
    <t>Strong</t>
  </si>
  <si>
    <t>งานวิจัยนี้นำเสนอการใช้ Knowledge Graph (Ontology) เพื่อให้บริบทที่มีโครงสร้าง (Structured context) แก่ LLM ทำให้สามารถอธิบายที่มาของคำตอบได้ (Transparency/Explainability) และช่วยลดปัญหา Hallucination ซึ่งสนับสนุนแนวคิด Graph-based Explainability</t>
  </si>
  <si>
    <t>Existing source code analysis techniques have detection blind spots and privacy leakage risks.; Whole-process discontinuity in ICS component lifecycle.; Lack of trust anchor points in supply chain.</t>
  </si>
  <si>
    <t>Explore the use of this model for source code detection in different scenarios (e.g., obfuscation).; Investigate the use of large language models in source code detection to identify unusual or malicious ICS source code.</t>
  </si>
  <si>
    <t>เสนอแนวทางใหม่ในการตรวจสอบความปลอดภัยของ Supply Chain ใน ICS โดยใช้ Blockchain และ Privacy-preserving sampling แทนการวิเคราะห์แบบรวมศูนย์ที่เสี่ยงต่อข้อมูลรั่วไหล</t>
  </si>
  <si>
    <t>บทความใช้ DBSCAN เพื่อทำ 'Intelligent Sampling' (Abstract) โดยเลือกตัวแทนจาก Cluster ที่มีความซับซ้อนต่างกัน (Page 9) ซึ่งเป็นแนวคิดที่สามารถนำมาปรับใช้กับการสุ่มตัวอย่างใน Graph-based detection เพื่อลดความซ้ำซ้อนและเพิ่มความครอบคลุม</t>
  </si>
  <si>
    <t>มีการสร้าง 'detection element graph' (Page 2) และใช้ 'function-controlled flow graph' (Page 9) ในการคำนวณ metrics แต่ไม่ได้ใช้ Graph Learning เพื่อการตรวจจับโดยตรง</t>
  </si>
  <si>
    <t>The current prototype relies on the hard-coded set of the actions extracted from the set of predefined attack scenarios.</t>
  </si>
  <si>
    <t>Experimental evaluation of the risk boundaries is enabling further fine-tuning of the calculation model to achieve automatic risks assessment.; Perform several iterations of the model values refinement through the data obtained during the trials.; Identification of a process on effective allocation and association of the mitigation actions.</t>
  </si>
  <si>
    <t>งานวิจัยนี้เน้นกรอบการประเมินความเสี่ยง (Risk Assessment Framework) ที่ทำงานร่วมกับโมเดลตรวจจับภัยคุกคาม แต่ไม่ได้นำเสนอเทคนิคการตรวจจับแบบ Graph-based โดยตรง</t>
  </si>
  <si>
    <t>Does not yet contain a mechanism to deal with transactions that have temporal constraints (e.g. end-of-year activity); White box approach might make the solutions more easily attackable by insiders (Evasion)</t>
  </si>
  <si>
    <t>Add automatic scope definition based on organization threats; Add rule-based approach alongside behavioral profiles; Deal with temporal constraints (seasonality)</t>
  </si>
  <si>
    <t>แสดงให้เห็นว่า Explainable models (Histogram) สามารถมีประสิทธิภาพเทียบเท่าหรือดีกว่า Black-box ในบางบริบท และช่วยให้ตรวจสอบ False Positives ได้ง่ายขึ้น</t>
  </si>
  <si>
    <t>มีการใช้ Temporal Split อย่างชัดเจน (Footnote 6) ซึ่งสนับสนุนแนวทางการประเมินผลที่คำนึงถึงเวลา (Time-aware evaluation)</t>
  </si>
  <si>
    <t>นำเสนอแนวคิด White-box profiling ที่เน้นความสามารถในการอธิบาย (Explainability) และ Feedback loop ซึ่งเป็นองค์ประกอบสำคัญของ Explainable systems แม้จะไม่ได้ใช้ Graph neural networks</t>
  </si>
  <si>
    <t>Network analytics methods have not been used to improve cybersecurity awareness of the students on online learning systems.</t>
  </si>
  <si>
    <t>Future functions will include a recommender to suggest highly influential students with desirable traits; We will analyse the longitudinal data about the changes in terms of the students’ level of cybersecurity awareness during and after the diffusion.</t>
  </si>
  <si>
    <t>เสนอแนวทางใหม่ในการใช้ Social Graph เพื่อการจัดการด้าน Cybersecurity Awareness แทนการตรวจจับภัยคุกคามทางเทคนิคโดยตรง</t>
  </si>
  <si>
    <t>มีการใช้ค่า Centrality ในการอธิบาย 'อิทธิพล' ของโหนด (Explainability ในบริบทสังคม) แต่ไม่ใช่ในบริบทของการตรวจจับ APT</t>
  </si>
  <si>
    <t>Existing methods only focus on the source IP and the destination IP, ignoring all other IPs which the communication data may flow through (path-IP).; Limitations: Cannot detect vulnerabilities like Address Range Overlap (#7), Failure to Disable Reserved Bits (#10), etc., if they originate from design flaws rather than runtime violations.</t>
  </si>
  <si>
    <t>เน้นย้ำความสำคัญของการตรวจสอบ Path-IP (Intermediary nodes) ใน SoC graph ซึ่งอาจประยุกต์ใช้แนวคิดนี้กับการตรวจจับ path-based attacks ใน network graphs ได้</t>
  </si>
  <si>
    <t>Challenges remain in optimizing performance, privacy, and computational efficiency.; Hardware availability limits Quantum-enhanced models.</t>
  </si>
  <si>
    <t>Explore lightweight AI models for edge devices.; Integration of quantum computing for secure high-accuracy analysis.; Fusion-based approaches for improved context awareness.</t>
  </si>
  <si>
    <t>เน้นย้ำความสำคัญของการสร้างสมดุลระหว่างความเป็นส่วนตัว (Privacy) และประสิทธิภาพ (Accuracy) ในระบบ Healthcare IoT</t>
  </si>
  <si>
    <t>Paper focuses on privacy preservation (data leakage to adversaries), not data leakage in ML evaluation.</t>
  </si>
  <si>
    <t>Paper reviews CNN, LSTM, and Q-Learning; does not utilize Graph Neural Networks or dynamic heterogeneous graphs.</t>
  </si>
  <si>
    <t>Realize centralized management of various countries’ ICT assets; Secure device management in which corporate and personal data are separated (BYOD context)</t>
  </si>
  <si>
    <t>บทความเน้นความสำคัญของการรวบรวม Log และ Asset Management ซึ่งเป็นขั้นตอน Pre-processing สำคัญสำหรับระบบ Graph-based detection ในอนาคต แต่ตัวบทความเองไม่ได้นำเสนอเทคนิคการตรวจจับ</t>
  </si>
  <si>
    <t>Identifying the destination of data leaks to determine actual risk; Malware developers have incorporated different techniques to evade analysis by security tools</t>
  </si>
  <si>
    <t>Discover the destination of these data leaks; Test framework such as DroidForce that uses policies to control the flow of data; Use taint analysis based on the latest emulator available through the Android SDK to mitigate evasion issues</t>
  </si>
  <si>
    <t>การตรวจจับ APT หรือ Malware ต้องคำนึงถึงเทคนิค Evasion ที่ตัวอย่าง (Sample) สามารถรับรู้สภาพแวดล้อมการทดสอบและเปลี่ยนแปลงพฤติกรรมได้ ซึ่งเป็นความท้าทายในการรวบรวม Dataset ที่ถูกต้อง</t>
  </si>
  <si>
    <t>แม้ไม่ได้พูดเรื่อง Sampling สำหรับ ML โดยตรง แต่ชี้ให้เห็นว่า Dataset ที่รวบรวมใน Sandbox อาจไม่สะท้อนพฤติกรรมจริงหากไม่มีการจัดการเรื่อง Anti-evasion (Data Quality Issue)</t>
  </si>
  <si>
    <t>Security approaches lack effective methods to achieve data protection alongside real-time threat discovery; Previous methods data leakage problems, detecting intelligent threats and providing insufficient privacy</t>
  </si>
  <si>
    <t>Focus on blockchain-based models for data management, access control, and privacy-preserving authentication; Investigate AI-enhanced smart contracts for easier privacy protection</t>
  </si>
  <si>
    <t>การรวม Blockchain และ AES-GCM เข้ากับ ML ช่วยเรื่อง Privacy-preserving NIDS แต่ยังไม่ใช่วิธีการตรวจจับ APT ขั้นสูงด้วยกราฟพฤติกรรม</t>
  </si>
  <si>
    <t>ไม่ได้กล่าวถึง Sampling strategy เพื่อลด Bias หรือ Leakage ในบริบทการเรียนรู้ของเครื่อง</t>
  </si>
  <si>
    <t>ใช้ Merkle Tree (Hash Tree) สำหรับ Integrity check เท่านั้น ไม่ได้ใช้ Graph Neural Networks หรือ Provenance Graphs ในการตรวจจับ</t>
  </si>
  <si>
    <t>Lack of skilled workers is affecting almost every industry.; Most organisations continue to fail badly at preventing data leakage despite its importance.; Standard, off-the-shelf methods are not sufficient for safeguarding data.</t>
  </si>
  <si>
    <t>Organizations need to adopt a data-centric security approach rather than relying solely on perimeter controls.</t>
  </si>
  <si>
    <t>The paper discusses 'Data Leakage' as a security threat, not as a machine learning evaluation issue (data leakage between train/test).</t>
  </si>
  <si>
    <t>No graph-based methods discussed.</t>
  </si>
  <si>
    <t>SOTA FL systems still confront intrinsic challenges such as trust deficits among participants... and susceptibility to adversarial disruptions.</t>
  </si>
  <si>
    <t>Expand capabilities to encompass multi-modal learning (textual, tabular lab results, MRI/CT scans); Enhance ability to conduct in-depth, multifaceted disease analysis</t>
  </si>
  <si>
    <t>การนำ Blockchain มาใช้ใน Federated Learning ช่วยแก้ปัญหาความเชื่อถือและความเป็นส่วนตัวในการแชร์ข้อมูลทางการแพทย์ แต่ยังไม่ถูกนำมาใช้ในบริบท APT detection</t>
  </si>
  <si>
    <t>งานวิจัยเน้น Medical Imaging ไม่ได้กล่าวถึง Sampling strategy สำหรับ Security logs</t>
  </si>
  <si>
    <t>งานวิจัยไม่ได้ใช้ Graph-based learning model (ใช้ ResNet) จึงไม่สนับสนุนหัวข้อนี้</t>
  </si>
  <si>
    <t>Subjects from the west region is more than 50%; Participants were not introduced to security concepts... they might skip answering some questions; Survey is too long</t>
  </si>
  <si>
    <t>Balancing subjects among all regions; Adding description of most important terminology; Constructing a shorter survey</t>
  </si>
  <si>
    <t>Highlights the need for increased cybersecurity awareness programs and better communication from authorities like Saudi CERT.</t>
  </si>
  <si>
    <t>Paper is unrelated to sampling strategies for graph-based detection.</t>
  </si>
  <si>
    <t>Paper does not utilize graph-based methods.</t>
  </si>
  <si>
    <t>challenges of imbalanced datasets which leads to poor performance</t>
  </si>
  <si>
    <t>design a multi-layered privacy system for both traffic monitoring and anomaly detection</t>
  </si>
  <si>
    <t>การลดความซ้ำซ้อนของข้อมูล (Data Redundancy) ในชุดข้อมูล IoT ขนาดใหญ่เป็นสิ่งจำเป็นสำหรับการปรับปรุงประสิทธิภาพการฝึกโมเดล</t>
  </si>
  <si>
    <t>มีการกล่าวถึงการหลีกเลี่ยง Test data leakage ผ่านการ Normalization แต่ไม่ได้เน้นเรื่อง Sampling strategy โดยตรง</t>
  </si>
  <si>
    <t>งานวิจัยนี้เน้น Feature-based ANN/RF แบบดั้งเดิม ไม่เกี่ยวข้องกับ Graph-based methods</t>
  </si>
  <si>
    <t>Existing methodologies... must manually apply noise to the input source; Transparency is limited. Users could not select the appropriate features</t>
  </si>
  <si>
    <t>Future techniques should devise solutions that can use existing solutions and combine with other techniques such as cryptography and differential privacy</t>
  </si>
  <si>
    <t>เน้นย้ำความสำคัญของการสร้างสมดุลระหว่าง Data Privacy (Differential Privacy) และ Utility ในกราฟเครือข่ายสังคมออนไลน์ แต่วิธีการประเมินผลด้านความปลอดภัยยังไม่ชัดเจน</t>
  </si>
  <si>
    <t>บทความไม่ได้อภิปรายเรื่อง Sampling หรือ Leakage ในบริบทของการเรียนรู้ของเครื่อง (Machine Learning Evaluation)</t>
  </si>
  <si>
    <t>มีการใช้ Bipartite graph และ Heterogeneous data (users, attributes) ในการคำนวณ Trust และ Privacy แต่ไม่ได้เน้นเรื่อง Explainability ของโมเดล AI โดยตรง</t>
  </si>
  <si>
    <t>Extends the RECORD defense strategy against hardware Trojans from combinational to sequential circuits using randomized encoding and split manufacturing.</t>
  </si>
  <si>
    <t>The paper focuses on hardware circuit design and 'data leakage' as a security threat (side-channel), not as a dataset evaluation issue.</t>
  </si>
  <si>
    <t>No graph-based learning or APT detection techniques are discussed.</t>
  </si>
  <si>
    <t>Existing benchmarks that do not reflect the real complexity.; None of them [Trust-Hub benchmarks] is applied to a pipelined processor similar to the ones used in the real life.</t>
  </si>
  <si>
    <t>Developing the HT Benchmarks Library even further.; Developing a new, fast and efficient method for detecting such Trojans, based on both static and dynamic analyses.</t>
  </si>
  <si>
    <t>Provides a more realistic testbed (pipelined RISC core) for evaluating Hardware Trojan detection mechanisms, moving away from simple 8051-based benchmarks.</t>
  </si>
  <si>
    <t>This study primarily concentrates on the interactions among the government, security crowdsourcing platforms, and security personnel, neglecting... seekers' behavior... and third-party industry organizations; The government reward and punishment mechanism proposed in this study is static</t>
  </si>
  <si>
    <t>Develop a multi-stage, dynamic governance game model involving four-party entities; Explore the effects of various reward and punishment mechanisms (dynamic vs static)</t>
  </si>
  <si>
    <t>เสนอแนวทาง Credit Supervision เพื่อแก้ปัญหา Governance ในระบบ Security Crowdsourcing แต่งานวิจัยนี้ไม่เกี่ยวข้องโดยตรงกับ Graph-based APT Detection</t>
  </si>
  <si>
    <t>งานวิจัยนี้เป็น Game Theory modeling ไม่เกี่ยวกับการสุ่มตัวอย่างข้อมูล (Sampling) สำหรับการเรียนรู้ของเครื่อง</t>
  </si>
  <si>
    <t>ไม่มีการนำเสนอ Graph-based Model สำหรับการตรวจจับภัยคุกคาม</t>
  </si>
  <si>
    <t>We have not captured real-world data in this work.; We have not explored or evaluated exfiltrated encrypted data.</t>
  </si>
  <si>
    <t>Integrate identifying and comparing exfiltrated encrypted data.; Involve industry collaborators to monitor naive network activity.; Consider actively gathering real-world APT data.</t>
  </si>
  <si>
    <t>เสนอวิธีการตรวจสอบ Data Leakage ที่เน้น Content-based comparison ผ่าน Network Fingerprints แทนการใช้ Graph-based detection แบบงานอื่น ๆ</t>
  </si>
  <si>
    <t>มีการใช้ Temporal Split (Day 1/Day 2) ซึ่งเป็นแนวทางพื้นฐานของการเลี่ยง Temporal Leakage</t>
  </si>
  <si>
    <t>งานวิจัยนี้ไม่ได้ใช้วิธีการ Graph-based approach แต่ใช้วิธี Set Theory และ String Matching</t>
  </si>
  <si>
    <t>The system strongly depends on the quality of the clustering process.; The scalability of our system under high user numbers will be investigated as a next step.</t>
  </si>
  <si>
    <t>Improve cluster border detection using rest-periods and user pause times.; Develop a module for analysis of user behavior to interrupt connections over a defined threshold.</t>
  </si>
  <si>
    <t>แสดงให้เห็นความเป็นไปได้ในการระบุตัวตนผู้ใช้ใน Encrypted Traffic โดยไม่ต้องถอดรหัส (Non-intrusive) แต่ยังต้องการการพัฒนาด้าน Scalability</t>
  </si>
  <si>
    <t>งานวิจัยนี้ไม่ได้ใช้วิธีการ Graph-based learning จึงไม่สนับสนุนโดยตรง</t>
  </si>
  <si>
    <t>บทความนี้เน้นการสรุปภาพรวมภัยคุกคามความปลอดภัยบนคลาวด์สำหรับผู้เริ่มต้น มากกว่าการนำเสนอเทคนิคการตรวจจับใหม่</t>
  </si>
  <si>
    <t>บทความไม่ได้กล่าวถึงการสุ่มตัวอย่างข้อมูลหรือการทดลองทาง Machine Learning</t>
  </si>
  <si>
    <t>บทความไม่ได้ใช้เทคนิค Graph-based learning</t>
  </si>
  <si>
    <t>Formal verification of complex security functions remains challenging.; Complexity of BDD-based modeling may constitute an obstacle to large-scale deployment.; Time/Memory consumption grows with chain size.</t>
  </si>
  <si>
    <t>Extension to support more complex and advanced rules associated to security functions.; Optimization of formal models generated automatically.; Integration into an automated management framework.</t>
  </si>
  <si>
    <t>แสดงให้เห็นถึงความเป็นไปได้ในการใช้ Formal Verification ร่วมกับ SDN เพื่อตรวจสอบความถูกต้องของ Security Chains ก่อนการ deploy แต่ยังมีข้อจำกัดเรื่อง scalability</t>
  </si>
  <si>
    <t>งานวิจัยนี้เป็นเรื่อง Formal Methods ไม่เกี่ยวข้องกับ Sampling หรือ ML Evaluation</t>
  </si>
  <si>
    <t>แม้มีการใช้ Automata (Graph) แต่ไม่ได้ใช้ในบริบทของ Explainable AI หรือ Heterogeneous Graph Learning สำหรับ APT</t>
  </si>
  <si>
    <t>Unfortunately, the hardware security verification process is not well defined.; Threat models are wide ranging and often challenging to precisely specify.; Current EDA tools are not capable of effectively assessing the vulnerability of hardware designs against fault-injection attacks.</t>
  </si>
  <si>
    <t>Standard and portable security models to be understood by development team and EDA tools; EDA vendors will provide multiple tools and many options for Design for Security and Security Assurance</t>
  </si>
  <si>
    <t>This work emphasizes the need for automation (CAD) and standardization (SA-EDI) in hardware security to match the maturity of functional verification.</t>
  </si>
  <si>
    <t>Mentions Information Flow Tracking (IFT) which implicitly uses graph-like flows for security verification, but does not explicitly address graph neural networks or explainability in an ML context.</t>
  </si>
  <si>
    <t>Lack of rigorous analysis of intrinsic interactions among participants in confrontational environment in prior federated learning solutions.</t>
  </si>
  <si>
    <t>Concentrate on other GT-oriented and other DRL-aided cyber defence models (e.g., mean field game, A3C).; Learn from TRPO (Trust Region Policy Optimization) and introduce action embedding.</t>
  </si>
  <si>
    <t>การใช้ Game Theory ร่วมกับ DRL ช่วยแก้ปัญหาการตัดสินใจในสภาพแวดล้อมที่มีการโต้ตอบแบบ dynamic ได้ดีกว่า deep learning แบบดั้งเดิม</t>
  </si>
  <si>
    <t>ไม่ได้กล่าวถึง Sampling ในบริบทของ Graph Detection หรือ Data Leakage แต่เน้น Sampling ใน Experience Replay ของ RL</t>
  </si>
  <si>
    <t>ไม่ได้ใช้วิธีการ Graph Learning หรือ Explainability บนกราฟ</t>
  </si>
  <si>
    <t>Due to the adoption of a relatively complex mechanism, AdaOB does not hold an advantage in terms of time efficiency; Noise has a significant impact on online learning algorithms, especially during the sampling process</t>
  </si>
  <si>
    <t>Conduct further research to provide a more concise solution (improve time efficiency); Explore noise handling mechanisms to enhance the algorithm’s robustness</t>
  </si>
  <si>
    <t>แสดงให้เห็นถึงความสำคัญของการใช้ Sampling Strategy ที่ปรับตัวได้ตาม Concept Drift และ Imbalance Ratio ในสภาพแวดล้อม Online Learning</t>
  </si>
  <si>
    <t>นำเสนอ 'Adaptive Sampling Strategy' ที่ปรับค่า Poisson parameter ตาม Performance และ Class Weight ซึ่งเป็นแนวทาง Strategic Sampling ที่ดี แม้จะไม่ได้แก้ปัญหา Leakage โดยตรง</t>
  </si>
  <si>
    <t>งานวิจัยนี้เป็น Stream Classification บน Tabular Data ไม่ได้ใช้ Graph</t>
  </si>
  <si>
    <t>Current DLP systems suffer from high false positive rates and poor generalizability to new attack types.; Static and signature-based tools lack adaptability.; ML models struggle with optimal feature selection and parameter tuning.</t>
  </si>
  <si>
    <t>Incorporate deep learning classifiers.; Explore hybrid optimization strategies.; Implement real-time feedback loops in live cloud infrastructures.; Extend detection to ransomware and insider threats.</t>
  </si>
  <si>
    <t>การนำอัลกอริทึม Swarm Intelligence (GJO) มาใช้ปรับจูนระบบความปลอดภัยบนคลาวด์ช่วยเพิ่มประสิทธิภาพได้ดีกว่าการใช้ค่าเริ่มต้น แต่ควรระวังเรื่องความซับซ้อนในการคำนวณ</t>
  </si>
  <si>
    <t>บทความไม่ได้กล่าวถึงกลยุทธ์การสุ่มตัวอย่างเพื่อลด Data Leakage</t>
  </si>
  <si>
    <t>บทความไม่ได้ใช้วิธีการ Graph-based</t>
  </si>
  <si>
    <t>Existing covert channels have several limitations... The channels are covert in the sense that the malware is not easy to detect, but the wireless signal itself can be identified as a malicious anomaly by spectrum monitoring tools.</t>
  </si>
  <si>
    <t>A few probable countermeasures have been proposed to prevent data leakage.</t>
  </si>
  <si>
    <t>นำเสนอเทคนิคการโจมตี Air-gap แบบใหม่ที่เน้นความแนบเนียนในระดับคลื่นความถี่ (Spectrum Stealthiness) ซึ่งท้าทายเครื่องมือตรวจจับที่มีอยู่</t>
  </si>
  <si>
    <t>บทความนี้เกี่ยวกับการสร้างช่องทางโจมตีฮาร์ดแวร์ ไม่ใช่การประเมิน ML Model จึงไม่มีประเด็นเรื่อง Sampling Strategy สำหรับการตรวจจับ</t>
  </si>
  <si>
    <t>ไม่มีการใช้งาน Graph-based methods ในบทความนี้</t>
  </si>
  <si>
    <t>Most current works base their definition of sensitive data on either implicit intuition, a custom definition... or the Android permission system.; existing approaches do not provide a clear, concise and thorough definition on which data shall be considered sensitive</t>
  </si>
  <si>
    <t>We invite other researchers and practitioners to join our effort and complete this list – for Android, for other Java frameworks</t>
  </si>
  <si>
    <t>ช่วยให้เครื่องมือ Static Analysis และ Taint Analysis มีมาตรฐานกลางในการระบุจุดรั่วไหลของข้อมูล (Sources) ที่แม่นยำขึ้น</t>
  </si>
  <si>
    <t>Existing approaches make strong assumptions with respect to data distributions.; Traditional batch learning... could lead to an inflated performance because of unveiling unseen data in the future</t>
  </si>
  <si>
    <t>Explore the generalization of RDCAL to applications in other domains.</t>
  </si>
  <si>
    <t>การประเมินผลด้านความปลอดภัยทางไซเบอร์ต้องคำนึงถึงมิติของเวลา (Temporal dependency) และ Label delay มิฉะนั้นผลลัพธ์จะสูงเกินจริง</t>
  </si>
  <si>
    <t>งานวิจัยนี้เป็นตัวอย่างที่ดีของการจัดการ Temporal Leakage และ Class Imbalance ที่เปลี่ยนแปลงตามเวลา โดยใช้ Sampling แบบ Sliding Window</t>
  </si>
  <si>
    <t>ไม่ได้ใช้งาน Graph-based methods</t>
  </si>
  <si>
    <t>Survey data can only investigate self-reported instead of actual behaviors.; Cross-sectional survey data limits causal inference.; China was not included due to data collection difficulties.</t>
  </si>
  <si>
    <t>Studies examining actual behaviors of privacy protection in experimental settings should be more valuable.</t>
  </si>
  <si>
    <t>บทความนี้ไม่ได้เกี่ยวข้องกับ Data Sampling ในบริบทของ Machine Learning สำหรับการตรวจจับภัยคุกคาม</t>
  </si>
  <si>
    <t>บทความนี้ไม่ได้นำเสนอเทคนิคที่เกี่ยวกับ Graph Neural Networks หรือ Explainability ในเชิงโมเดล</t>
  </si>
  <si>
    <t>ไม่ได้ประยุกต์ใช้กับข้อมูลแบบ Graph หรือ Heterogeneous data; ขาดการวิเคราะห์ผลกระทบของการทำ Oversampling ต่อการรั่วไหลของข้อมูล (Data Leakage) เมื่อใช้ร่วมกับ CV</t>
  </si>
  <si>
    <t>Improved using feature selection and clustering techniques</t>
  </si>
  <si>
    <t>แสดงให้เห็นถึงการประยุกต์ใช้ Stacked Autoencoder ร่วมกับกลไก Drift Detection บนข้อมูล Tabular แต่มีข้อควรระวังเรื่องระเบียบวิธีวิจัยในการแบ่งข้อมูล</t>
  </si>
  <si>
    <t>มีการใช้ ADASYN ซึ่งเป็น Strategic Sampling แบบหนึ่ง แต่การนำไปใช้ร่วมกับ 10-fold CV อาจสร้าง Bias มากกว่าช่วยลด Bias</t>
  </si>
  <si>
    <t>งานนี้เน้น Tabular Data และ Deep Learning ทั่วไป (SAE) ไม่ได้ใช้ Graph-based approach</t>
  </si>
  <si>
    <t>Traditional IDS struggle to balance privacy protection, computational efficiency, and detection accuracy.; Homomorphic encryption overhead severely impacts model training efficiency in large-scale IoV.</t>
  </si>
  <si>
    <t>Explore adaptive quantization strategies.; Real-time implementation on embedded in-vehicle hardware.</t>
  </si>
  <si>
    <t>เสนอแนวทาง Federated XGBoost ที่มีประสิทธิภาพสูงขึ้นสำหรับ IVN โดยลด overhead ของการเข้ารหัส ซึ่งอาจนำไปประยุกต์ใช้ในระบบที่มีทรัพยากรจำกัดได้</t>
  </si>
  <si>
    <t>งานวิจัยนี้เป็น Tree-based (XGBoost) บนข้อมูล Tabular ไม่ได้ใช้วิธีการทาง Graph หรือ Explainable Graph AI</t>
  </si>
  <si>
    <t>เครื่องมือวิเคราะห์แบบ Static Analysis เดิม (เช่น DidFail) มักละเลยการตรวจสอบเงื่อนไข Permission Constraints ทำให้เกิด False Positives สูง; การวิเคราะห์ ICC Flow มักพิจารณาแค่ Intent Matching (Action/Category) โดยไม่ตรวจสอบสิทธิ์การเข้าถึง (Access Control)</t>
  </si>
  <si>
    <t>การรวมกฎ Permission-based เข้ากับ Taint Analysis Graph ช่วยเพิ่มความแม่นยำในการระบุเส้นทางการโจมตีที่เป็นไปได้จริง (Feasible Paths)</t>
  </si>
  <si>
    <t>งานวิจัยใช้ Graph ของ ICC Links เพื่ออธิบายเส้นทางการรั่วไหล (Explainability ในเชิง Forensics) แต่เป็น Static Graph ไม่ใช่ Dynamic Heterogeneous Graph สำหรับ ML</t>
  </si>
  <si>
    <t>AI-based approaches... suffer from limitations related to immutability, scalability, and centralization; Reliance on specific blockchain platforms... can limit scalability; Lack of Privacy Preserving techniques... to protect sensitive data</t>
  </si>
  <si>
    <t>Exploring alternative blockchain platforms; Developing privacy-preserving techniques; Establishing reliable evaluation mechanisms; Evaluate the performance and scalability... in real-world scenarios</t>
  </si>
  <si>
    <t>Future research in mobile security analysis should integrate Blockchain for integrity but must address the latency and privacy overheads involved.</t>
  </si>
  <si>
    <t>The paper focuses on architectural integration of AI and Blockchain, not on data sampling or leakage strategies.</t>
  </si>
  <si>
    <t>The paper does not discuss graph-based methods.</t>
  </si>
  <si>
    <t>further exploring the application of emerging technologies in cyber security, such as blockchain technology and AI-driven security detection</t>
  </si>
  <si>
    <t>Not Applicable (Out of Scope for APT Detection)</t>
  </si>
  <si>
    <t>System performance is one of the key considerations... this brings potential risk to systems security</t>
  </si>
  <si>
    <t>นำเสนอแนวทาง Trade-off ระหว่าง Performance และ Security ในการออกแบบ MPSoC โดยใช้ Graph Theory</t>
  </si>
  <si>
    <t>งานนี้ไม่ได้ใช้วิธีการ Learning หรือ Sampling data เพื่อ train model</t>
  </si>
  <si>
    <t>มีการใช้ Graph (ECCG, VCG) เพื่ออธิบายข้อขัดแย้ง (Conflict) และการจัดสรรทรัพยากร ซึ่งอาจประยุกต์ใช้แนวคิดเรื่อง Conflict Graph ในการอธิบายความสัมพันธ์ใน Security Graph ได้</t>
  </si>
  <si>
    <t>Generating labelled datasets for studying data leakage using machine learning would be an interesting direction to pursue.; Further analysis on the structure of the data could also be an area that could shed more light into the analysis of data leakage</t>
  </si>
  <si>
    <t>Study parameter tuning and sensitivity of different classifiers; Generate accurately labelled datasets specifically for data leakage studies</t>
  </si>
  <si>
    <t>งานวิจัยนี้ชี้ให้เห็นว่า Payload ที่เข้ารหัสยังสามารถถูกจัดหมวดหมู่ได้ด้วย Supervised Learning หากใช้วิธีการเข้ารหัสที่ไม่แข็งแกร่งพอ (เช่น ECB) หรือ Key size ต่ำ แต่ไม่ได้เชื่อมโยงกับ Graph-based APT</t>
  </si>
  <si>
    <t>มีการกล่าวถึงการทำ Class balancing เพื่อลด Bias แต่ไม่ได้ลงลึกถึง Sampling strategy ที่ซับซ้อนกว่านั้น</t>
  </si>
  <si>
    <t>งานวิจัยนี้ใช้เทคนิค N-grams และ TF-IDF บน Text ไม่ได้ใช้ Graph หรือ Explainable AI ในบริบทของ Graph</t>
  </si>
  <si>
    <t>Adversaries can design Trojans that only activate under rare conditions and remain undetected during the test phase.</t>
  </si>
  <si>
    <t>Highlights vulnerabilities in SRAM peripherals (WLUD/NBL) that can be exploited for data leakage, irrelevant to Graph-based APT detection methods.</t>
  </si>
  <si>
    <t>Paper focuses on hardware circuit simulation, not data sampling for learning.</t>
  </si>
  <si>
    <t>No graph-based methods used.</t>
  </si>
  <si>
    <t>Training set was too sparse for Slowhttptest and slowloris attacks</t>
  </si>
  <si>
    <t>Integrate proactive warning, timely handling, and supplementary vulnerability fixing; Use big data technology to analyze, mine, and visualize security situational information</t>
  </si>
  <si>
    <t>การประยุกต์ใช้ Sequence Modeling (Transformer-based) กับข้อมูลจราจรเครือข่ายในอุตสาหกรรมเฉพาะทาง (Shipping)</t>
  </si>
  <si>
    <t>Current methods suffer from serious limitations, especially when the confidential data is evolving; Detection techniques require extensive analysis that includes deep content inspection and comprehensive indexing; Data leakage detection and prevention methods are inadequately studied</t>
  </si>
  <si>
    <t>Developing content analysis techniques that can preserve data semantics; Focusing on mitigating insider threats and data leakage through mobile devices; Using robust contextual analysis with an auditing system on data usage</t>
  </si>
  <si>
    <t>จำเป็นต้องมีระบบ DLP ที่สามารถเข้าใจความหมาย (Semantics) ของข้อมูลได้ แม้ข้อมูลจะถูกดัดแปลง (Obfuscation) และต้องผสาน Context awareness เพื่อลด False Positives</t>
  </si>
  <si>
    <t>กล่าวถึงปัญหา False positives จาก short history ใน dataset (Enron) ซึ่งบ่งชี้อ้อมๆ ถึงความสำคัญของ Sampling ที่ดี</t>
  </si>
  <si>
    <t>สนับสนุนการใช้ Graph ในบริบท 'Social and behaviour analysis' และ 'Neural Dependency and Inference Graph' สำหรับ Insider threat ซึ่งต้องการความสามารถในการอธิบาย (Explainability) พฤติกรรมผู้ใช้</t>
  </si>
  <si>
    <t>Further research is needed to fully understand the nature and extent of these risks, as well as to develop effective strategies for mitigating them.</t>
  </si>
  <si>
    <t>Developing new security models and frameworks; Developing more ethical and transparent algorithms that can detect and correct bias</t>
  </si>
  <si>
    <t>เน้นย้ำความสำคัญของการรักษาความปลอดภัยและความเป็นส่วนตัวในระบบ Conversational AI แต่ไม่เกี่ยวข้องโดยตรงกับ Graph-based APT detection</t>
  </si>
  <si>
    <t>บทความไม่ได้กล่าวถึง Sampling strategy หรือ Data leakage ในบริบทของการเรียนรู้ของเครื่อง</t>
  </si>
  <si>
    <t>บทความไม่ได้กล่าวถึง Graph-based methods</t>
  </si>
  <si>
    <t>The tool provides minimal additional information to support further conjecture about malicious nature</t>
  </si>
  <si>
    <t>Investigate the use of the cloud to propagate the malware to other mobile devices; Investigate the amalgamation of artificial intelligence algorithms regarding investigation processes</t>
  </si>
  <si>
    <t>กระบวนการทางนิติวิทยาศาสตร์ดิจิทัลจำเป็นต้องพัฒนาเพื่อรองรับหลักฐานที่อยู่บน Cloud และ Malware ที่มีความสามารถในการ Cross-platform</t>
  </si>
  <si>
    <t>มีการกล่าวถึงความจำเป็นของ 'Intelligent digital forensics' และ AI ในส่วน Future Work แต่ไม่ได้นำเสนอ Graph-based method โดยตรง</t>
  </si>
  <si>
    <t>The vast majority of transaction labels are not made available until a few days later</t>
  </si>
  <si>
    <t>try to improve the model to attain higher performance metrics with other datasets</t>
  </si>
  <si>
    <t>แนวทางการตรวจจับ Fraud ในสภาพแวดล้อม Streaming จำเป็นต้องมีกลไกตรวจจับ Drift และอัปเดตโมเดลอย่างต่อเนื่อง</t>
  </si>
  <si>
    <t>สนับสนุนแนวคิดเรื่อง Sampling โดยมีการระบุการใช้ Undersampling ใน Algorithm 2 เพื่อจัดการ Class Imbalance ใน Static window</t>
  </si>
  <si>
    <t>งานวิจัยนี้ไม่ได้ใช้ Graph-based approach แต่ใช้ Tree-based (XGBoost)</t>
  </si>
  <si>
    <t>The evaluation is limited to a simulation of 19 machines.; Lack of comparison with existing graph-based or ML-based intrusion detection systems.; Weights in the Trust Score algorithm appear manually defined rather than learned.</t>
  </si>
  <si>
    <t>Conduct research with the participation of more computers.; Expand the simulation to larger networks.</t>
  </si>
  <si>
    <t>งานวิจัยนี้นำเสนอแนวทาง Trust Management ใน M2M แบบ Rule-based บน Graph topology อย่างง่าย (Cluster/Neighbors) ซึ่งอาจเป็นพื้นฐานสำหรับการพัฒนา Graph Neural Networks ในอนาคต แต่ปัจจุบันยังเป็นเพียง Simulation-based heuristics</t>
  </si>
  <si>
    <t>มีการใช้คุณลักษณะทางกราฟพื้นฐาน (Node Degree, Neighbors) ในการคำนวณ Trust Score ซึ่งเชื่อมโยงกับแนวคิด Graph-based detection แต่ไม่ได้ใช้วิธี Deep Learning หรือ Explainable AI ขั้นสูง</t>
  </si>
  <si>
    <t>The recall of attacks was average (0.6559) meaning that the model misses some actual attacks</t>
  </si>
  <si>
    <t>Adapt to evolving malware attack strategies; Encourage actual implementation on the Internet of Things</t>
  </si>
  <si>
    <t>แสดงให้เห็นถึงประสิทธิภาพของการใช้ Generative Models (CGAN) ร่วมกับ Gradient Boosting (LightGBM) ในสภาพแวดล้อม IoT ที่มีข้อจำกัดทรัพยากร</t>
  </si>
  <si>
    <t>มีการกล่าวถึงการตัดฟีเจอร์ IP/Timestamp เพื่อลด Bias แต่การแบ่งข้อมูลยังเป็น Random sampling</t>
  </si>
  <si>
    <t>งานวิจัยนี้เป็น Tabular-based (LightGBM) ไม่ได้ใช้วิธี Graph-based</t>
  </si>
  <si>
    <t>FREDY เพิ่มภาระทางคำนวณ (Computational overhead) และอาจทำให้การ convergence ช้าลงเนื่องจากการใส่ Noise; ยังไม่มีการทดสอบในบริบท Federated Learning ที่ข้อมูลมีความหลากหลายสูง (Non-IID) หรือสถานการณ์จริงทาง Cybersecurity นอกเหนือจาก Image Classification</t>
  </si>
  <si>
    <t>ปรับจูนค่า Noise parameter ให้แม่นยำยิ่งขึ้นเพื่อสมดุลระหว่าง Privacy และ Accuracy; จัดการกับ Computational trade-off ในสภาพแวดล้อมขนาดใหญ่</t>
  </si>
  <si>
    <t>นำเสนอแนวทางป้องกัน Privacy Leakage ใน Federated Learning ผ่าน Teacher-Student model ซึ่งอาจนำไปประยุกต์ใช้กับการแชร์ Threat Intelligence ได้ แต่ต้องปรับปรุงเรื่องประสิทธิภาพ</t>
  </si>
  <si>
    <t>มีการพูดถึงการแบ่ง Partition ข้อมูลสำหรับ Teacher แต่เป็นเพียงการแบ่ง Random เพื่อจำลอง Federated Clients ไม่ได้เน้นการ Sampling เพื่อลด Leakage ในบริบทของ Graph Structure</t>
  </si>
  <si>
    <t>งานวิจัยนี้ใช้ CNN กับข้อมูลรูปภาพ ไม่เกี่ยวข้องกับ Dynamic Heterogeneous Graph</t>
  </si>
  <si>
    <t>Traditional intrusion detection models have difficulty dealing with the scarcity of attack samples; Existing methods ignore the complex characteristics of distributed network environments</t>
  </si>
  <si>
    <t>Continue to optimize the model to improve its robustness</t>
  </si>
  <si>
    <t>แสดงให้เห็นประสิทธิภาพของ GAN ในการแก้ปัญหา Imbalance Data ในระบบ Federated Learning สำหรับ IoT Security</t>
  </si>
  <si>
    <t>งานวิจัยเน้นแก้ปัญหา Imbalance ด้วย GAN แต่ไม่ได้พูดถึง Sampling เพื่อลด Leakage</t>
  </si>
  <si>
    <t>ไม่ได้ใช้งาน Graph Neural Networks หรือ Graph Representation</t>
  </si>
  <si>
    <t>A lack of real-world deployment has limited information about which attacks are most likely or feasible; Insufficient focus on privacy within the TE literature; Lack of consideration for 51% attacks in the TE literature</t>
  </si>
  <si>
    <t>Develop proactive attack detection and mitigation measures within the TE market/application layer; Design FDIA countermeasures robust to algorithm divergence; Investigate privacy preserving techniques that balance anonymity with trust/accountability</t>
  </si>
  <si>
    <t>The paper does not discuss sampling strategies for machine learning or graph detection.</t>
  </si>
  <si>
    <t>The paper does not discuss graph-based detection models or explainability in that context.</t>
  </si>
  <si>
    <t>Existing DLP systems do not monitor keyboard LEDs.</t>
  </si>
  <si>
    <t>แสดงให้เห็นว่า Air-gapped networks ยังคงมีความเสี่ยงต่อการรั่วไหลของข้อมูลผ่านช่องทาง Optical แม้ไม่มีอุปกรณ์เครือข่าย</t>
  </si>
  <si>
    <t>บทความเน้นเทคนิคการโจมตี (Attack) ไม่ได้นำเสนอวิธีการสุ่มตัวอย่างข้อมูลสำหรับการเรียนรู้ของเครื่อง</t>
  </si>
  <si>
    <t>Evaluation is limited to a small set of malicious applications.; Reliance on manual analyst input (IP whitelist) for detection.</t>
  </si>
  <si>
    <t>เน้นย้ำประโยชน์ของ Provenance/Activity Graphs ในการทำ Forensic และ Visualization สำหรับ Mobile Security แต่วิธีการยังต้องพึ่งพาผู้เชี่ยวชาญ (Analyst)</t>
  </si>
  <si>
    <t>The paper strongly advocates for graph visualization to explain 'how' data leakage occurs, breaking the black-box view (provenance tracking).</t>
  </si>
  <si>
    <t>Vendor solutions offered today rely on expensive hardware and software solutions that may lack flexibility.</t>
  </si>
  <si>
    <t>Expansion of Lookup Tables (Port, Manufacturer, Country); Implementation of User Searches and Filtering; Headless Communication with Remotely Deployed Pi Sensors; Correlation of Results from a Swarm of Pi Sensors</t>
  </si>
  <si>
    <t>Demonstrates the feasibility of using low-cost, open-source hardware/software for edge-based IoT security monitoring.</t>
  </si>
  <si>
    <t>เอกสารเน้นการสร้างเครื่องมือ (Tool construction) ไม่ได้กล่าวถึงกลยุทธ์การสุ่มตัวอย่างข้อมูลสำหรับการเรียนรู้ของเครื่อง</t>
  </si>
  <si>
    <t>เนื้อหาเน้นการวิเคราะห์ Packet เชิงเส้น (Packet analysis) และ baselining ทั่วไป ไม่ได้ใช้ Graph-based methods</t>
  </si>
  <si>
    <t>Restricted scope of evaluation to homogeneous datasets; Real-world network environments often exhibit heterogeneity not fully explored; Variations in data quality among clients can negatively affect aggregated model</t>
  </si>
  <si>
    <t>Incorporate heterogeneous datasets to assess robustness; Implement on real-world WSN testbeds using physical devices (Raspberry Pi, TelosB); Explore model personalization and enhanced aggregation strategies</t>
  </si>
  <si>
    <t>แสดงให้เห็นว่า Ensemble Method แบบพื้นฐาน (Random Forest) สามารถทำงานได้ดีกว่า Deep Learning ในสภาพแวดล้อม Federated Learning ที่มีข้อจำกัดด้านทรัพยากรและข้อมูลไม่สมดุล</t>
  </si>
  <si>
    <t>มีการใช้ Sampling (SMOTE/RUS) เพื่อแก้ Class Imbalance แต่ไม่ได้เชื่อมโยงกับการลด Leakage หรือ Bias ในการวัดผล</t>
  </si>
  <si>
    <t>งานวิจัยนี้ไม่ได้ใช้วิธีการทาง Graph Learning และไม่ได้เน้นเรื่อง Explainability ของโครงสร้างความสัมพันธ์</t>
  </si>
  <si>
    <t>Existing AGLAs suffer from incomplete attack coverage; Existing AGLAs are detectable by principled checks (D-SNR)</t>
  </si>
  <si>
    <t>Explore further privacy protection mechanisms to counter these emerging security risks</t>
  </si>
  <si>
    <t>แสดงให้เห็นว่า Federated Learning มีความเสี่ยงสูงต่อการถูกขโมยข้อมูลแม้จะมีการตรวจสอบ Model Integrity หาก Server ใช้วิธี Model Poisoning ที่แนบเนียน</t>
  </si>
  <si>
    <t>มีการออกแบบการทดลองโดยแยกชุดข้อมูล Auxiliary และ Target (Target/Client data is private) เพื่อป้องกัน Data Leakage ในขั้นตอนการโจมตี</t>
  </si>
  <si>
    <t>งานวิจัยนี้เน้น Computer Vision และ Federated Learning ไม่เกี่ยวข้องกับ Graph-based APT</t>
  </si>
  <si>
    <t>Existing SW-based security solutions cannot detect manipulation of system library or new mobile malware due to lack of signatures.</t>
  </si>
  <si>
    <t>เน้นความสำคัญของการใช้ Hardware-based root of trust (MTM) เพื่อแก้ปัญหาข้อจำกัดของ Software-based security ในอุปกรณ์มือถือ</t>
  </si>
  <si>
    <t>บทความนี้เน้นสถาปัตยกรรมฮาร์ดแวร์ ไม่เกี่ยวข้องกับ Sampling strategy ของ ML</t>
  </si>
  <si>
    <t>ไม่ใช่งานวิจัยด้าน Graph-based detection</t>
  </si>
  <si>
    <t>Data utilized to train and evaluate these algorithms frequently fails to accurately reflect real-life situations; Conventional approaches... encounter elevated levels of false-positive outcomes</t>
  </si>
  <si>
    <t>Investigate techniques such as cross-validation and leakage detection algorithms; Focus on diverse datasets to verify findings in various IoT environments</t>
  </si>
  <si>
    <t>งานวิจัยนี้ย้ำเตือนให้เห็นถึงความสำคัญของการแยกชุดข้อมูล (Splitting) ก่อนการประมวลผลใดๆ (Preprocessing/Feature Selection) มิฉะนั้นผลลัพธ์ที่ได้จะเชื่อถือไม่ได้</t>
  </si>
  <si>
    <t>บทความนี้เป็นหลักฐานเชิงประจักษ์ (Empirical Evidence) ที่แสดงให้เห็นว่า Sampling หรือ Splitting ที่ไม่ระวังเรื่อง Leakage (ทำ Feature Selection บน Full dataset) นำไปสู่ผลลัพธ์ที่ลวงตา (Inflated Metrics)</t>
  </si>
  <si>
    <t>งานวิจัยเน้นที่ Tabular Data และ Standard ML/DL ไม่ได้กล่าวถึง Graph-based methods</t>
  </si>
  <si>
    <t>Encrypted packets cannot be efficiently inspected without decryption.; The scheme relies on byte-sequence similarity, so completely new malware without shared chunks cannot be detected.</t>
  </si>
  <si>
    <t>Adopting the scheme in Intrusion Detection Systems (IDS) and DLP systems for real-time detection.; Integration with decryption boxes for encrypted traffic.</t>
  </si>
  <si>
    <t>เสนอทางเลือกที่เบากว่า Deep Packet Inspection แบบดั้งเดิม สำหรับการตรวจจับไฟล์ในระดับ Network flow</t>
  </si>
  <si>
    <t>งานวิจัยนี้แสดงตัวอย่างที่ดีของการสร้าง Test Set ที่คำนึงถึง 'Similar Files' (เช่น เวอร์ชันเก่า หรือ Malware variants) แทนที่จะใช้แค่ Random split ซึ่งช่วยลด Bias ในการวัดผลความแม่นยำ</t>
  </si>
  <si>
    <t>งานวิจัยนี้ใช้วิธี Content-based Chunking และ Inverted Index ไม่เกี่ยวข้องกับ Graph-based methods</t>
  </si>
  <si>
    <t>เน้นย้ำถึงความเสี่ยงของ Hardware Supply Chain และความจำเป็นในการตรวจสอบความสมบูรณ์ของฮาร์ดแวร์เพื่อป้องกัน Data Leakage</t>
  </si>
  <si>
    <t>บทความนี้เกี่ยวกับการสร้างการโจมตีทางฮาร์ดแวร์ ไม่ใช่การตรวจจับด้วย ML</t>
  </si>
  <si>
    <t>บทความนี้เกี่ยวกับการสร้างการโจมตีทางฮาร์ดแวร์ ไม่มีการใช้งานกราฟ</t>
  </si>
  <si>
    <t>Insufficient specialised courses and a lack of regular updates to teaching materials (Page 14)</t>
  </si>
  <si>
    <t>Develop and test specialized cybersecurity courses tailored for teacher training programmes (Page 14); Explore interdisciplinary frameworks that integrate cybersecurity education into broader educational contexts (Page 14); Focus on innovative teaching tools, including augmented reality and simulation-based learning (Page 14)</t>
  </si>
  <si>
    <t>เน้นความสำคัญของการพัฒนาหลักสูตรฝึกอบรมครูให้ทันสมัยและเน้นการปฏิบัติจริงเพื่อสร้างบุคลากรที่มีความพร้อมรับมือภัยคุกคามทางไซเบอร์ในบริบทการศึกษา</t>
  </si>
  <si>
    <t>บทความเน้นด้านการศึกษา (Pedagogy) ไม่เกี่ยวข้องกับเทคนิคการสุ่มตัวอย่างข้อมูล (Sampling) สำหรับโมเดลตรวจจับภัยคุกคาม</t>
  </si>
  <si>
    <t>ไม่มีเนื้อหาเกี่ยวกับ Graph-based APT Detection หรือ Explainability ของโมเดล AI</t>
  </si>
  <si>
    <t>Traditional detection methods often depend on the availability of a golden chip</t>
  </si>
  <si>
    <t>develop machine learning-based solutions for detecting HTs directly from gate-level netlists</t>
  </si>
  <si>
    <t>This contest promotes the development of ML/GNN techniques for Hardware Security without reliance on reference models.</t>
  </si>
  <si>
    <t>The problem requires 'identifying and mark specific Trojan gates', which supports explainability (localization) in graph-based analysis.</t>
  </si>
  <si>
    <t>There seems to be a significant lack of real-world studies of phishing campaigns in industrial settings; Most research focuses on click rates rather than detection and response</t>
  </si>
  <si>
    <t>Conducting an experiment in industrial settings would help shed more light on the factors affecting the susceptibility; Determine how organizations react to different phishing campaigns (sites, timings, personalization)</t>
  </si>
  <si>
    <t>เน้นย้ำว่ามาตรการทางเทคนิคและการตอบสนองของทีม IT อาจไม่ทันต่อเหตุการณ์หากผู้ใช้ตอบสนองต่อ Phishing เร็วเกินไป</t>
  </si>
  <si>
    <t>บทความนี้ไม่ได้เกี่ยวข้องกับ Sampling Strategy สำหรับ Machine Learning</t>
  </si>
  <si>
    <t>บทความนี้ไม่ได้ใช้เทคนิค Graph Learning</t>
  </si>
  <si>
    <t>เครื่องมือวิเคราะห์ปัจจุบันส่วนใหญ่ทำงานโดยอิงจากพฤติกรรมในอดีต (prior behavior) ซึ่งอาจไม่เพียงพอต่อการระบุการโจมตีใหม่ๆ; การประเมินความปลอดภัยมักไม่สามารถรับมือกับภัยคุกคามที่เปลี่ยนแปลงตลอดเวลาได้ทันท่วงที</t>
  </si>
  <si>
    <t>งานในอนาคตจะมุ่งเน้นไปที่วิธีการรวบรวมข่าวกรองไซเบอร์ (cyber intelligence collection methods) และอัลกอริทึมการประมวลผล; การศึกษาแนวโน้มพฤติกรรมของผู้โจมตีทางไซเบอร์เพื่อปรับปรุงกิจกรรมการบริหารความเสี่ยง</t>
  </si>
  <si>
    <t>เน้นย้ำความสำคัญของการใช้ Cyber Intelligence ในกระบวนการ Risk Assessment ซึ่งเป็นรากฐานสำหรับระบบตรวจจับในอนาคต</t>
  </si>
  <si>
    <t>บทความไม่ได้กล่าวถึงเทคนิคการสุ่มตัวอย่างข้อมูล</t>
  </si>
  <si>
    <t>บทความไม่ได้นำเสนอโมเดลกราฟ แต่สนับสนุนแนวคิดเรื่องการเชื่อมโยงข้อมูลจากหลายแหล่ง (Internal/External data sources)</t>
  </si>
  <si>
    <t>The current literature does not explore the security challenges faced when developing RPA or IA bots to combat data leakage and digital fraud.; The main limitation of this work is the lack of technical publications regarding RPA security challenges.</t>
  </si>
  <si>
    <t>Develop a Blockchain-based IA for B2B transactions that provide heightened security to its logs through BC’s immutable ledgers.</t>
  </si>
  <si>
    <t>งานวิจัยนี้ชี้ให้เห็นถึงความจำเป็นในการพัฒนาระบบ Logging และ Auditing ที่แข็งแกร่งสำหรับ RPA/IA โดยใช้ Blockchain ซึ่งอาจเกี่ยวข้องกับการสร้าง Immutable logs แต่ไม่ได้นำเสนอ Graph-based detection model โดยตรง</t>
  </si>
  <si>
    <t>บทความนี้เป็น Literature Review ไม่มีการทดลองหรือ dataset sampling</t>
  </si>
  <si>
    <t>แม้ไม่ได้นำเสนอโมเดลกราฟ แต่มีการเสนอให้ใช้ Blockchain (ซึ่งมีโครงสร้างเชื่อมโยง) เพื่อแก้ปัญหา Audit trails และ Logging ซึ่งอาจเป็นพื้นฐานข้อมูลสำหรับสร้าง Provenance Graph ในอนาคต</t>
  </si>
  <si>
    <t>KNN มีความยึดติดกับข้อมูล Training มากเกินไป (Dependency on training data); การโจมตี R2L และ U2R มีความถี่ต่ำมากและมีพฤติกรรมคล้าย Normal Traffic ทำให้ตรวจจับยาก</t>
  </si>
  <si>
    <t>พิจารณาใช้ Parametric classifiers อื่นๆ ที่ยึดติดกับ Training data น้อยกว่า KNN</t>
  </si>
  <si>
    <t>การจัดการ Imbalance data ด้วยการแบ่งกลุ่ม Classifier ย่อย (Divide-and-conquer) มีประสิทธิภาพดีกว่าการใช้ Single Model ในการตรวจจับ Rare Attacks</t>
  </si>
  <si>
    <t>มีการใช้กลยุทธ์แบ่งข้อมูล Training ตามคลาสเพื่อแก้ปัญหา Imbalance แต่ไม่ได้ระบุถึงการป้องกัน Leakage</t>
  </si>
  <si>
    <t>งานวิจัยนี้เป็น Vector-based (KNN) ไม่ได้ใช้ Graph-based approach</t>
  </si>
  <si>
    <t>นำเสนอการใช้ Time-series Autoencoder สำหรับตรวจจับ exfiltration ผ่าน DNS ที่มีปริมาณต่ำ (Low volume)</t>
  </si>
  <si>
    <t>บทความนี้ไม่ได้ใช้วิธีการทาง Graph จึงไม่สนับสนุนหัวข้อนี้โดยตรง</t>
  </si>
  <si>
    <t>Assessing related AV and security system reports and logs for forensic evidence regarding the source and route of the leaked file</t>
  </si>
  <si>
    <t>เสนอแนวคิดใหม่ในการใช้โครงสร้างพื้นฐาน AV ที่มีอยู่แล้วทั่วโลกเพื่อป้องกันข้อมูลรั่วไหล โดยการปลอมแปลงไฟล์สำคัญให้ดูเหมือนมัลแวร์</t>
  </si>
  <si>
    <t>Unfortunately there is no open, public network traffic dataset available for testing covert channel detection schemes.</t>
  </si>
  <si>
    <t>Incorporating entropy calculations or detecting pseudo-random generation; Integration with deep detection algorithms</t>
  </si>
  <si>
    <t>เน้นย้ำถึงความจำเป็นของการมี Standard Dataset สำหรับ Covert Channel และแสดงให้เห็นว่า Statistical Features พื้นฐานยังมีประสิทธิภาพในการกรองเบื้องต้น</t>
  </si>
  <si>
    <t>Existing methods often ignore the imbalance issue of the CERT dataset.; Random over resampling technique may make overfitting more likely, as it duplicates the observations of the minority class.</t>
  </si>
  <si>
    <t>Inspect the performance of the model under more counteractive conditions.; Deploy different effective feature engineering methods and hyperparameters optimization.; Apply deep learning and feature learning techniques.</t>
  </si>
  <si>
    <t>Resampling techniques are critical for standard ML classifiers in Insider Threat Detection, but evaluation methodologies need to move beyond simple random splits to avoid bias.</t>
  </si>
  <si>
    <t>งานวิจัยนี้แสดงให้เห็นผลกระทบของ Sampling Strategy (Under/Over/Hybrid) ต่อประสิทธิภาพโมเดลอย่างชัดเจน แม้จะไม่ได้โฟกัสที่ Leakage control ในบริบทของ Graph แต่เน้นที่ Class Imbalance ซึ่งเป็นส่วนสำคัญของ Strategic Sampling</t>
  </si>
  <si>
    <t>Not Reported (Paper uses tabular ML methods)</t>
  </si>
  <si>
    <t>Current models do not address chain attacks and probabilistic attacks.; Need to focus on attacks targeting caches in NDN.; Efficiency of the innovative method reduces when dealing with large networks.</t>
  </si>
  <si>
    <t>Modeling and verifying alternative access control solutions.; Conduct research on chain attacks and probabilistic attacks.; Focus on attacks targeting caches.</t>
  </si>
  <si>
    <t>Formal verification (CSP/PAT) provides a way to detect logical flaws in security protocols before deployment, complementing empirical ML-based detection.</t>
  </si>
  <si>
    <t>Existing frameworks to combine and automate deception measures are scarce.; Research on the issue of honeytokens issue is very limited [32].</t>
  </si>
  <si>
    <t>งานวิจัยนี้เน้นย้ำความสำคัญของ Deception Technology ในการตรวจจับ Insider Threats และ Perimeter Breaches แต่ไม่ได้นำเสนอวิธีการทาง Graph Learning</t>
  </si>
  <si>
    <t>บทความไม่ได้เกี่ยวข้องกับการทำ Sampling หรือ Machine Learning evaluation</t>
  </si>
  <si>
    <t>บทความไม่ได้ใช้ Graph-based approach</t>
  </si>
  <si>
    <t>The current study is limited to centralized training and evaluation; Leaving important aspects such as scalability, edge deployment, and privacy-preserving learning unaddressed</t>
  </si>
  <si>
    <t>Extend this study to federated learning and on-device inference; Explore lightweight architectures for resource-constrained devices; Use appropriate oversampling techniques for minority classes</t>
  </si>
  <si>
    <t>CNN1D เป็นทางเลือกที่มีประสิทธิภาพสำหรับ IDS บนข้อมูล tabular flow แต่อาจต้องพิจารณาวิธีการ deploy แบบกระจายศูนย์ในอนาคต</t>
  </si>
  <si>
    <t>ไม่ได้ใช้ Graph-based approach และใช้วิธีสุ่มแบ่งข้อมูลแบบดั้งเดิม (Stratified)</t>
  </si>
  <si>
    <t>งานวิจัยนี้ไม่ได้ใช้ Graph-based model</t>
  </si>
  <si>
    <t>Integrating emerging technologies to simplify company operations; New strategies will arise because of AI and frail AIs</t>
  </si>
  <si>
    <t>เน้นย้ำความสำคัญของการผสานรวมเทคโนโลยี AI และ Blockchain เพื่อสร้างระบบความปลอดภัยที่แข็งแกร่งขึ้น แต่ไม่ได้ให้ Technical contribution ที่ชัดเจนในด้าน Graph-based APT Detection</t>
  </si>
  <si>
    <t>SVD provides linear dimension reduction, which may not handle unevenly distributed data well.; The proposed method uses unsupervised techniques (centroids), lacking comparison with supervised classifiers like SVM.</t>
  </si>
  <si>
    <t>Consider using Linear Discrimination Analysis (LDA) to solve uneven distribution.; Test supervised classification algorithms such as Support Vector Machines (SVM).; Address classification speed and system overheads.</t>
  </si>
  <si>
    <t>การใช้ Statistical analysis (TF-IDF/SVD) เป็นทางเลือกที่มีประสิทธิภาพสำหรับ DLP เมื่อเทียบกับ Regular Expressions หรือ Fingerprinting แบบดั้งเดิมที่แพ้ภัยการดัดแปลงข้อมูล</t>
  </si>
  <si>
    <t>บทความไม่ได้เน้นเรื่อง Sampling strategy สำหรับ Graph หรือ APT แต่เน้นเรื่อง Text similarity</t>
  </si>
  <si>
    <t>ใช้ SVD เพื่อการ Visualization เท่านั้น ไม่ได้เกี่ยวข้องกับ Explainable Graph AI</t>
  </si>
  <si>
    <t>Cloud systems run by third-party suppliers might acquire important user information in unsecured formats.; Safety remains a significant difficulty despite ongoing deployment.</t>
  </si>
  <si>
    <t>Organizations may profit from security mechanisms that are required owing to the complexities of the public cloud.</t>
  </si>
  <si>
    <t>บทความนี้เป็นเพียงการทบทวนวรรณกรรมและนิยามศัพท์ (Descriptive Review) ไม่ได้นำเสนอเทคนิคใหม่หรือผลการวิจัยเชิงลึก</t>
  </si>
  <si>
    <t>ไม่เกี่ยวข้อง เนื่องจากไม่มีการพูดถึง Sampling หรือ Evaluation methodology</t>
  </si>
  <si>
    <t>ไม่เกี่ยวข้อง บทความไม่ได้ใช้งาน Graph-based methods</t>
  </si>
  <si>
    <t>Existing studies on smartphone security practices specifically among Indian postgraduate students were lacking.</t>
  </si>
  <si>
    <t>Academic institutions should impart cyber-security awareness and training programs.; Security facilities in devices should be recalibrated.</t>
  </si>
  <si>
    <t>เน้นย้ำถึงความจำเป็นในการสร้างความตระหนักรู้ด้านความปลอดภัย (Security Awareness) ให้กับผู้ใช้งาน เพื่อลดความเสี่ยงจากการรั่วไหลของข้อมูล</t>
  </si>
  <si>
    <t>บทความนี้ไม่เกี่ยวข้องกับเทคนิคการ Sampling หรือ Machine Learning</t>
  </si>
  <si>
    <t>บทความนี้ไม่เกี่ยวข้องกับ Graph-based Detection</t>
  </si>
  <si>
    <t>แสดงให้เห็นประสิทธิภาพของการใช้ Deep Learning (VGG-Net) ร่วมกับเทคนิคการพับข้อมูล (Folding) ในการวิเคราะห์ side-channel แต่ยังขาดการประเมินความทนทานในสภาวะจริง</t>
  </si>
  <si>
    <t>เปเปอร์ไม่ได้โฟกัสที่ graph-based หรือ sampling strategy สำหรับ APT</t>
  </si>
  <si>
    <t>เปเปอร์ใช้วิธี Image Classification (CNN) ไม่เกี่ยวข้องกับ Graph</t>
  </si>
  <si>
    <t>deficiencies in current security practices, such as improper documentation and tracking protocols; behavioral analysis methods may exhibit an increased false alarm rate in healthcare settings; lacks concrete case studies or real-world applications of Blockchain Technology in healthcare</t>
  </si>
  <si>
    <t>Developing robust and standardized security frameworks specifically tailored for healthcare APIs; Conducting in-depth case studies of actual security breaches; Exploring the potential of integrating machine learning and artificial intelligence into healthcare API security; Investigating the impact of existing and potential future regulations</t>
  </si>
  <si>
    <t>Healthcare API security requires specialized frameworks and AI-driven detection that can handle high-stakes patient data with low false positives.</t>
  </si>
  <si>
    <t>The review mentions cited works ([16], [20]) using API call-grams (graphs) for malware detection, noting their relevance but also potential false alarm issues, implying a need for better (possibly explainable/dynamic) models.</t>
  </si>
  <si>
    <t>Current state of the art... is ensembles of decision trees... ill-suited for streaming data; Static ensemble of trees does not adjust to the temporal nature of the data</t>
  </si>
  <si>
    <t>Investigate algorithms specifically designed to handle concept drift coupled with class imbalance; Integrate SMOTE algorithm for generating data-conditional synthetic training samples</t>
  </si>
  <si>
    <t>เน้นย้ำความจำเป็นของการประเมินผลแบบ Time-dependent และการใช้ Class Averaged Accuracy ในงานด้านความปลอดภัย</t>
  </si>
  <si>
    <t>งานวิจัยนี้เป็นตัวอย่างที่ดีของการจัดการ Temporal Leakage โดยใช้การแบ่งชุดข้อมูลตามเวลาจริง (2010-&gt;2011-&gt;2012) และการจำลองความไม่สมดุลของข้อมูลให้เหมือนจริง (thinning test malware)</t>
  </si>
  <si>
    <t>แม้ไม่ใช่ Graph-based แต่สนับสนุนด้าน Dynamic/Streaming evaluation ซึ่งสามารถนำไปประยุกต์ใช้กับ Dynamic Graphs ได้</t>
  </si>
  <si>
    <t>Limit exploration of comprehensive approaches that integrate both data security and disease detection; Susceptibility to highly sophisticated adversarial attacks that may exploit intricate data correlations</t>
  </si>
  <si>
    <t>Enhancing the model's interpretability further; Incorporating domain-specific knowledge; Deploying it in real-time automated disease detection systems</t>
  </si>
  <si>
    <t>งานวิจัยนี้เน้นการป้องกัน Adversarial Attack ในข้อมูล tabular/time-series ของระบบสุขภาพ ไม่ได้เกี่ยวข้องโดยตรงกับ Graph-based APT Detection แต่แสดงถึงการใช้ Crossover ใน MLP เพื่อเพิ่ม robustness</t>
  </si>
  <si>
    <t>งานวิจัยนี้ไม่ได้ใช้ Graph Sampling หรือเทคนิคที่เกี่ยวข้องกับหัวข้อนี้</t>
  </si>
  <si>
    <t>แม้จะมีการกล่าวถึง Explainability ผ่าน Crossover mechanism แต่ไม่ได้ทำบนโครงสร้าง Graph data</t>
  </si>
  <si>
    <t>SecHARE requires manual configuration files to identify sensitive methods.; Current work focuses on single-cloud sharing, but cross-cloud sharing also has risks.</t>
  </si>
  <si>
    <t>Use NLP techniques to automatically locate/identify method/function names in source code to reduce manual configuration.; Extend the defense mechanism to protect cross-cloud device sharing and other programming languages beyond Java.</t>
  </si>
  <si>
    <t>Highlights that authorization data (like device IDs/tokens) is often statically managed and leaked in IoT clouds, requiring dynamic mapping defenses.</t>
  </si>
  <si>
    <t>The paper does not discuss sampling strategies for learning models.</t>
  </si>
  <si>
    <t>The paper does not utilize graph-based learning or explainable AI.</t>
  </si>
  <si>
    <t>Shared N-grams among two or more categories can be ignored to avoid low precision.; Method lacks extended and more comprehensive experiments (only 360 documents tested).; Difficulty in classifying encrypted documents or those using synonyms/obfuscation.</t>
  </si>
  <si>
    <t>Use larger data sets with more diverse topics (medicine, sports, etc.) to establish relevance lines.; Ignore shared N-grams to reduce false positives between related categories.</t>
  </si>
  <si>
    <t>Highlights the limitation of pure frequency-based N-gram analysis for semantic security classification without deeper context or graph structures.</t>
  </si>
  <si>
    <t>The paper does not address sampling strategies for leakage prevention.</t>
  </si>
  <si>
    <t>The paper is text-based (N-grams) and does not utilize graph-based methods.</t>
  </si>
  <si>
    <t>The complexity of database systems presents another difficulty. Multiple components... make up a database.; Effective privacy safeguards in database systems depend on finding a happy medium between data security and data accessibility</t>
  </si>
  <si>
    <t>Organizations can improve... by implementing cloud security measures, using AI/ML approaches, researching blockchain integration; Organizations must reevaluate their security strategy in light of the influence of cloud computing, big data, and the Internet of Things</t>
  </si>
  <si>
    <t>เน้นความสำคัญของการบูรณาการเทคโนโลยีใหม่ (AI, Blockchain) เข้ากับระบบความปลอดภัยฐานข้อมูลเดิมเพื่อรับมือกับภัยคุกคามที่ซับซ้อนขึ้น</t>
  </si>
  <si>
    <t>บทความนี้เป็น Literature Review ทั่วไป ไม่ได้ลงลึกเรื่อง Sampling Strategy สำหรับการตรวจจับ</t>
  </si>
  <si>
    <t>มีการกล่าวถึงความสำคัญของ AI/ML และการตรวจจับพฤติกรรมผิดปกติ (Anomaly detection) แต่ไม่ได้ระบุเจาะจงถึง Graph-based methods หรือ Explainability อย่างชัดเจน</t>
  </si>
  <si>
    <t>Need for digital literacy among civil servants; Lack of clear lines of accountability</t>
  </si>
  <si>
    <t>Developing practical guidelines and best practices for reinforcing security in AI systems</t>
  </si>
  <si>
    <t>บทความนี้เน้นมุมมองด้านนโยบายและกฎหมาย ซึ่งเป็นบริบทแวดล้อม แต่ไม่ได้ให้ข้อมูลเชิงเทคนิคสำหรับการตรวจจับ APT ด้วยกราฟ</t>
  </si>
  <si>
    <t>กล่าวถึงความสำคัญของ 'Explainability' และ 'Transparency' ในระบบ AI ภาครัฐ เพื่อให้ประชาชนเข้าใจเหตุผลของการตัดสินใจ (Page 18)</t>
  </si>
  <si>
    <t>Dataset สาธารณะมักมี Feature ที่ใช้งานจริงไม่ได้ (Unattainable features); การขาดแคลนข้อมูลที่มี Label คุณภาพสูงสำหรับการฝึกสอนในสภาพแวดล้อมจริง</t>
  </si>
  <si>
    <t>ขยายสเกลการ Pretraining บนคอลเลกชันข้อมูล Network จริงขนาดใหญ่และหลากหลาย (Large-scale pre-training); ทดสอบการ Deployment ในสภาพแวดล้อมปฏิบัติการจริง</t>
  </si>
  <si>
    <t>ชี้ให้เห็นว่าการประเมินผลบน Static Graph ด้วย Random Split นั้นไม่เหมาะสมสำหรับ NIDS และเสนอแนวทาง Spatio-Temporal Graph พร้อม Pretraining เป็นทางออกที่ยั่งยืนกว่า</t>
  </si>
  <si>
    <t>สนับสนุนอย่างชัดเจน โดยระบุว่า Random Sampling ก่อให้เกิด Data Leakage และทำลายความสัมพันธ์ทางเวลา งานนี้จึงใช้ Temporal Split ที่เข้มงวดแทน</t>
  </si>
  <si>
    <t>โมเดล PPT-GNN ออกแบบมาเป็น Dynamic Heterogeneous Graph (Flow &amp; IP nodes) ที่เรียนรู้ผ่าน Temporal Sliding Windows เพื่อจับพลวัตของการโจมตี</t>
  </si>
  <si>
    <t>Traditional pre-silicon methods suffer from low coverage; Existing ML-based HT detection methods fail on structurally different circuits (poor cross-design generalization); Many ML-based detectors are fragile against adversarial attacks</t>
  </si>
  <si>
    <t>Explore joint optimization with formal verification; Unsupervised GNN anomaly detection; Hybrid gate-level and RTL modeling</t>
  </si>
  <si>
    <t>แสดงให้เห็นว่า Graph Neural Networks ที่มีการเทรนแบบ Adversarial สามารถแก้ปัญหา Generalization ใน Hardware Security ได้ ซึ่งเป็นแนวทางที่นำไปปรับใช้กับโดเมนอื่นได้</t>
  </si>
  <si>
    <t>งานวิจัยนี้เน้นย้ำเรื่อง 'Cross-design generalization' ซึ่งเป็นรูปแบบหนึ่งของการจัดการ Leakage (Entity separation) และพิสูจน์ว่าโมเดลที่เทรนแบบนี้มีความทนทานกว่า</t>
  </si>
  <si>
    <t>มีการใช้ Edge-annotated graphs และ Dynamic features (VCD traces) เพื่อเพิ่มบริบทให้กับ Node ซึ่งสนับสนุนแนวคิดการใช้ Dynamic/Heterogeneous graphs ในงานความปลอดภัย</t>
  </si>
  <si>
    <t>Deep learning models' inherent opacity, combined with their need for large amounts of data and processing power, lead to enormous challenges.; Certain models have a lower accuracy rate for specific attacks, which frequently results in a significant number of false alarms.; High-dimensionality IoT-based systems fall under this category [need to address high dimensionality].</t>
  </si>
  <si>
    <t>New techniques must be supplied as new attacks keep on being introduced within IoT.; Need to lower false alarm rates and strengthen the models in use.</t>
  </si>
  <si>
    <t>การพัฒนา IDS สำหรับ IoT จำเป็นต้องสมดุลระหว่างความแม่นยำและการใช้ทรัพยากร โดยเทคนิค Hybrid DL และ Explainable AI (XAI) เริ่มได้รับความสนใจ</t>
  </si>
  <si>
    <t>บทความกล่าวถึง XAI (Explainable AI) เล็กน้อยในบริบทของเฟรมเวิร์กใหม่ แต่ไม่ได้เชื่อมโยงกับ Graph-based methods โดยตรง</t>
  </si>
  <si>
    <t>Current scheme controls all network traffic based on app ID but does not distinguish between sensitive and non-sensitive data content.</t>
  </si>
  <si>
    <t>Identify and classify data content to differentiate between sensitive data and common data for more granular control.</t>
  </si>
  <si>
    <t>Not relevant to Graph-based APT detection; contributes to Android kernel-level access control mechanisms.</t>
  </si>
  <si>
    <t>Most AD systems based on fingerprinting are only valid for computers, servers, or smartphones due to data sources monitored and computational cost.; Lack of work using fingerprinting to detect unseen cyberattacks affecting data confidentiality in spectrum sensors.</t>
  </si>
  <si>
    <t>Monitor additional internal dimensions such as system calls to detect small and infrequent data leakages.; Evaluate other ransomware samples affecting data availability.</t>
  </si>
  <si>
    <t>แสดงให้เห็นว่าสามารถใช้ Unsupervised Learning บน Resource-constrained devices (IoT) เพื่อตรวจจับ Data leakage ได้ แต่ยังต้องการ Feature ที่ลึกกว่านี้สำหรับการโจมตีที่แนบเนียน</t>
  </si>
  <si>
    <t>งานวิจัยไม่ได้เน้นเรื่อง Sampling strategy หรือ Leakage control ในบริบทของ Graph</t>
  </si>
  <si>
    <t>งานวิจัยใช้ Vector-based approach (Statistical features) ไม่ได้ใช้ Graph-based approach</t>
  </si>
  <si>
    <t>ECC algorithm still is a challenge to balance encryption strength and system performance during actual deployment.</t>
  </si>
  <si>
    <t>Optimize the application of ECC algorithm.; Explore emerging encryption technologies like lattice cryptography, homomorphic encryption.</t>
  </si>
  <si>
    <t>บทความเน้นการประยุกต์ใช้ Cryptography (ECC) ร่วมกับ Security Policy ในระบบสารสนเทศบุคคล แต่ไม่ได้นำเสนอ Graph-based Learning Model ใหม่</t>
  </si>
  <si>
    <t>Approximations are needed... which introduce mispredictions; QIF-Verilog is shown to be unreliable in the identification of certain design vulnerabilities</t>
  </si>
  <si>
    <t>Work on the bit level of the design</t>
  </si>
  <si>
    <t>นำเสนอวิธีการวิเคราะห์ Information Flow แบบ Static สำหรับ Hardware Design ที่คำนึงถึง Dependencies ของข้อมูลได้ดีขึ้น</t>
  </si>
  <si>
    <t>บทความเน้น Hardware Static Analysis ไม่เกี่ยวข้องกับการสุ่มตัวอย่างข้อมูลสำหรับ Train Model</t>
  </si>
  <si>
    <t>มีการใช้ Graph of binds เพื่อวิเคราะห์ Data Dependency ซึ่งอาจประยุกต์ใช้เป็น Explainable Graph ในบริบทอื่นได้ แต่ไม่ได้ทำ Dynamic/Heterogeneous Graph โดยตรง</t>
  </si>
  <si>
    <t>Existing tools only aggregate one attribute at a time; Need to collect relevant features from other IoT protocols</t>
  </si>
  <si>
    <t>Collect relevant features from other IoT protocols to build a dynamic profile of normal and attack patterns; Create a database of features to facilitate detection of existing and zero-day attacks</t>
  </si>
  <si>
    <t>เน้นย้ำความสำคัญของการออกแบบ Feature Engineering เฉพาะทางสำหรับโปรโตคอล IoT (MQTT/DNS/HTTP) และการใช้ Ensemble Learning เพื่อเพิ่มประสิทธิภาพ NIDS</t>
  </si>
  <si>
    <t>งานวิจัยใช้ Random Split (Cross-validation) แบบดั้งเดิม ไม่ได้สนับสนุนแนวคิด Leakage-aware sampling</t>
  </si>
  <si>
    <t>งานวิจัยนี้เป็น Feature-based/Statistical Approach ไม่ได้ใช้ Graph-based methods</t>
  </si>
  <si>
    <t>The issue with pseudonymization is how to realize privacy-preserving querying; Traditional access control mechanisms are secure as long as the architecture is intact</t>
  </si>
  <si>
    <t>Semantic annotation of specific information such as personal data for automated de-personalization; Automated extraction of useful queryable items from individual document fragments</t>
  </si>
  <si>
    <t>งานวิจัยนี้เน้นด้าน Health Informatics และ Privacy-preserving storage ซึ่งอาจนำแนวคิดเรื่อง Metadata Encryption ไปประยุกต์ใช้ในการปกป้อง Log ของระบบ APT ได้ แต่ไม่ใช่ Direct Contribution ด้าน Detection</t>
  </si>
  <si>
    <t>บทความไม่ได้เกี่ยวข้องกับ Sampling Strategy สำหรับ Machine Learning</t>
  </si>
  <si>
    <t>บทความใช้โครงสร้าง XML Tree สำหรับ Metadata แต่ไม่ได้ใช้ Heterogeneous Graph สำหรับการตรวจจับภัยคุกคาม</t>
  </si>
  <si>
    <t>Existing methods face two major challenges: Concept Drift (CD) and Class Imbalance (CI); Most existing models lack adaptability to evolving threat landscapes due to their static learning mechanisms</t>
  </si>
  <si>
    <t>Incorporating FL-based security models into WO-XGB to enhance adaptability in distributed IoT networks</t>
  </si>
  <si>
    <t>เน้นย้ำความสำคัญของการปรับโมเดลแบบ online หรือ dynamic ensemble ในสภาพแวดล้อม IoT ที่มีการเปลี่ยนแปลงตลอดเวลา แต่ควรระวังเรื่องวิธีการ Split ข้อมูลในการทดลอง</t>
  </si>
  <si>
    <t>Existing methods exhibit low accuracy, high false positive rates (FPR), and a low detection rate.; Existing Methods Demand more Computational time during the Training of Samples</t>
  </si>
  <si>
    <t>Incorporating additional privacy performance metrics and benchmark datasets.</t>
  </si>
  <si>
    <t>เน้นย้ำการใช้ Feature Selection และ Ensemble Learning เพื่อเพิ่มประสิทธิภาพใน Edge Computing แต่ยังใช้วิธีการประเมินแบบดั้งเดิมที่ไม่คำนึงถึง Graph structure หรือ Temporal constraints</t>
  </si>
  <si>
    <t>งานวิจัยใช้วิธี Random Split มาตรฐาน ไม่มีการนำเสนอวิธีสุ่มตัวอย่างเชิงกลยุทธ์เพื่อลด Leakage</t>
  </si>
  <si>
    <t>งานวิจัยนี้เป็น Tabular-based ML (PCA + Ensemble) ไม่มีการใช้งาน Graph structure หรือ Explainability เชิงลึก</t>
  </si>
  <si>
    <t>Challenges related to dataset availability, privacy, true positives, and false negatives</t>
  </si>
  <si>
    <t>The model needs to be executed with the enriched realistic dataset to confirm the generalization; Model can be blended with other cognitive techniques such as fuzzy cognitive maps</t>
  </si>
  <si>
    <t>นำเสนอแนวทางเชื่อมโยงการตรวจจับภัยคุกคามกับการประเมินมูลค่าความเสี่ยง (CVaR) แต่ยังขาดความน่าเชื่อถือในด้าน Experimental Validation</t>
  </si>
  <si>
    <t>งานวิจัยใช้ Random Split บนข้อมูลสังเคราะห์ ไม่ได้ตระหนักถึงปัญหา Leakage หรือ Sampling Strategy ที่ซับซ้อน</t>
  </si>
  <si>
    <t>ไม่ได้ใช้วิธีการทาง Graph หรือ Explainable AI ขั้นสูง (ใช้เพียง Logistic Regression ต่อยอดผลลัพธ์)</t>
  </si>
  <si>
    <t>Currently, there are no ontologies available that are specific to the RPA domain, and existing security ontologies lack RPA-related features.; Research on threats is still fragmented.</t>
  </si>
  <si>
    <t>Can be updated and used... as a checklist for risk management tasks.; Source of information for an expert system.; Calculation in practical application to a specific problem.</t>
  </si>
  <si>
    <t>งานวิจัยนี้ช่วยวางรากฐานด้าน Knowledge Representation สำหรับ RPA Security ซึ่งอาจนำไปใช้เป็น Knowledge Graph ในระบบ Graph-based Detection ได้ในอนาคต แต่ตัวงานเองไม่ได้นำเสนอ Detection Algorithm</t>
  </si>
  <si>
    <t>ไม่เกี่ยวข้อง เนื่องจากไม่ใช่การวิจัยเชิง Machine Learning ที่ต้องใช้ Sampling Strategy</t>
  </si>
  <si>
    <t>สนับสนุนด้าน 'Explainable' และ 'Heterogeneous Graph' โดยการสร้าง Ontology ที่ระบุความสัมพันธ์ชัดเจนระหว่าง Assets, Threats, และ Vulnerabilities ซึ่งสามารถใช้เป็น Ground Truth หรือ Knowledge Graph เพื่อเพิ่มความสามารถในการอธิบาย (Explainability) ให้กับโมเดล AI ในอนาคตได้</t>
  </si>
  <si>
    <t>Conventional approaches are not very effective in generalizing the threats or accurately detecting... high dimensional data</t>
  </si>
  <si>
    <t>Expanding on the procedure for other types of networks; Increasing its affinity to new threats</t>
  </si>
  <si>
    <t>เน้นย้ำความสำคัญของการทำ Feature Selection (Optimization algorithms) ร่วมกับ Deep Learning ในงาน IDS</t>
  </si>
  <si>
    <t>Current method constructs static graphs using fixed time windows, which may not comprehensively capture temporal dependencies.; Potential domain mismatch between public graph datasets and real-world network traffic graphs.</t>
  </si>
  <si>
    <t>Explore dynamic graph modeling to enhance real-time adaptability.; Explore domain adaptation techniques or leverage synthetic graph generators.</t>
  </si>
  <si>
    <t>เน้นย้ำความสำคัญของการแยก Feature และ Structure ใน Federated Learning เพื่อ Privacy แต่อาจต้องปรับปรุงวิธีการประเมินผลให้เหมาะสมกับข้อมูล Time-series มากขึ้น</t>
  </si>
  <si>
    <t>งานวิจัยไม่ได้ตระหนักถึงปัญหา Leakage ในการแบ่งข้อมูล (ใช้ Random split) จึงไม่ได้สนับสนุนแนวคิดนี้โดยตรง</t>
  </si>
  <si>
    <t>มีการกล่าวถึงข้อจำกัดของการใช้ Static graphs และเสนอแนะให้ใช้ Dynamic graph modeling ในอนาคต</t>
  </si>
  <si>
    <t>Legacy systems in many organizations are inflexible and cannot support the integration of existing encryption frameworks; Device heterogeneity creates difficulties in satisfying a baseline security level</t>
  </si>
  <si>
    <t>Use of quantum resistant encryption algorithms; Use of Artificial Intelligence (AI) for anomaly detection and adaptive security; Implementation of Zero Trust Architecture (ZTA)</t>
  </si>
  <si>
    <t>เน้นย้ำความสำคัญของการใช้ Zero Trust และ AI ในการรักษาความปลอดภัยธุรกรรมการเงินไร้สาย แต่ไม่มีผลลัพธ์เชิงทดลองที่ยืนยันประสิทธิภาพของ Graph-based methods โดยตรง</t>
  </si>
  <si>
    <t>บทความไม่ได้ทำการทดลอง Machine Learning จึงไม่มีข้อมูลเกี่ยวกับการสุ่มตัวอย่างหรือการจัดการ Data Leakage</t>
  </si>
  <si>
    <t>บทความไม่ได้ใช้งาน Graph Learning หรือนำเสนอโมเดลที่เกี่ยวข้องกับ Explainability ในบริบทของ Graph Neural Networks</t>
  </si>
  <si>
    <t>Security techniques applied in relational databases cannot be directly applied to the generic databases [EAV/Dynamic Tables] because of the difference in the model.</t>
  </si>
  <si>
    <t>Need to apply effective protection mechanism such as Mandatory Access Control (MAC) and encryption in EAV models.; Evaluate applicability of other access control models (Attribute based, Role based) in EAV and dynamic tables.</t>
  </si>
  <si>
    <t>บทความนี้ชี้ให้เห็นว่าการเลือก Data Model (Relational vs NoSQL/EAV) มีผลโดยตรงต่อพื้นผิวการโจมตี (Attack Surface) โดยเฉพาะ SQL Injection ในระบบ Healthcare</t>
  </si>
  <si>
    <t>บทความไม่ได้เกี่ยวข้องกับการสุ่มตัวอย่างข้อมูล (Sampling) สำหรับการเรียนรู้ของเครื่อง</t>
  </si>
  <si>
    <t>บทความไม่ได้นำเสนอ Graph Neural Networks หรือเทคนิค Explainability สำหรับ AI แต่เน้นที่ Database Schema Security</t>
  </si>
  <si>
    <t>Most proposed cloud security models suffers from this problem in that these models have very limited control over virtualization.</t>
  </si>
  <si>
    <t>As this is an ongoing work, the proposed model and framework will be implemented with Cloudsim as cloud simulator to evaluate how our proposal can meet the security measures of the cloud security.</t>
  </si>
  <si>
    <t>เสนอกรอบแนวคิดในการผสาน IDS เข้ากับ Virtualization Layer เพื่อการตอบสนองต่อภัยคุกคามแบบ Real-time แต่อยังขาดผลลัพธ์ยืนยัน</t>
  </si>
  <si>
    <t>บทความไม่เกี่ยวข้องกับ Machine Learning Sampling หรือ Graph Learning</t>
  </si>
  <si>
    <t>บทความเน้นสถาปัตยกรรม Virtualization Security ไม่มีการใช้ Graph Model</t>
  </si>
  <si>
    <t>Need for further exploration of scalability and performance for large-scale healthcare data; Energy efficiency is a critical concern for resource-constrained IoT devices; Need to ensure interoperability and standardization among various healthcare systems</t>
  </si>
  <si>
    <t>Optimize the system to handle large-scale healthcare data and ensure efficient processing; Develop energy-efficient encryption algorithms; Investigate techniques for preserving patient privacy while maintaining security; Explore integration of AI and ML for anomaly detection and adaptive security</t>
  </si>
  <si>
    <t>งานวิจัยนี้นำเสนอแนวทาง Cryptography ร่วมกับ Blockchain สำหรับ Medical IoT แต่ไม่ได้เกี่ยวข้องโดยตรงกับ Graph-based Intrusion Detection</t>
  </si>
  <si>
    <t>บทความนี้เน้น Cryptography ไม่ได้เกี่ยวข้องกับการสุ่มตัวอย่างข้อมูลสำหรับ Train/Test model</t>
  </si>
  <si>
    <t>ไม่มีการใช้งาน Graph Learning หรือ Explainable AI ในบริบทของการตรวจจับภัยคุกคาม</t>
  </si>
  <si>
    <t>Detection is effective only for abnormal transactions with high risk; cannot detect risks in 'normal' looking transactions.; Computational complexity of standard LOF limits application to large databases.</t>
  </si>
  <si>
    <t>Real-time database security alerting.; Integration with other outlier detection schemes like LSC-Mine.</t>
  </si>
  <si>
    <t>แสดงให้เห็นว่าการลดรูปข้อมูลและการค้นหาเพื่อนบ้านที่ใกล้ที่สุดแบบประมาณค่า (Approximate NN) ช่วยให้สามารถนำอัลกอริทึมที่มีความซับซ้อนสูงอย่าง LOF มาใช้กับข้อมูล Log ขนาดใหญ่ในทางปฏิบัติได้</t>
  </si>
  <si>
    <t>Paper does not use graphs.</t>
  </si>
  <si>
    <t>Current static misuseability scoring approaches suffer... from either high false positive rates... or high false negative rates; Most existing intrusion detection approaches mainly focus on the protection of database systems in stable environments</t>
  </si>
  <si>
    <t>Use a simulation study to numerically evaluate different attack scenarios; Observational evaluation in a business environment in the context of a field study; Evaluate other machine learning models such as gradient tree boosting, artificial neural networks</t>
  </si>
  <si>
    <t>เสนอแนวทางปรับปรุง M-Score ให้มีความยืดหยุ่น (Dynamic) โดยใช้ Machine Learning พื้นฐาน เพื่อรองรับการเปลี่ยนบทบาทหน้าที่ของพนักงานในองค์กร</t>
  </si>
  <si>
    <t>งานวิจัยนี้ไม่ได้ใช้วิธี Graph-based และการแบ่งข้อมูลเป็นแบบ Random split พื้นฐาน ไม่มีการกล่าวถึง Strategic sampling</t>
  </si>
  <si>
    <t>งานวิจัยนี้เน้น Database Query Attributes ไม่ได้ใช้ Graph Structure จึงไม่สนับสนุนหัวข้อ Graph Explainability โดยตรง</t>
  </si>
  <si>
    <t>Previous models rely on outdated datasets like NSL-KDD; Existing frameworks fail to incorporate adaptive intelligence for dynamic threat detection</t>
  </si>
  <si>
    <t>Investigate asynchronous FL to eliminate synchronizing bottlenecks; Integrate incremental or continual learning techniques for real-time model updates</t>
  </si>
  <si>
    <t>แสดงให้เห็นศักยภาพของการใช้ RL ในการบริหารจัดการทรัพยากรของ Federated Learning สำหรับงาน Cybersecurity ในอุปกรณ์ที่มีทรัพยากรจำกัด</t>
  </si>
  <si>
    <t>เอกสารเน้นการทำ Oversampling เพื่อแก้ปัญหา Class Imbalance แต่ไม่ได้กล่าวถึงการสุ่มเพื่อป้องกัน Leakage</t>
  </si>
  <si>
    <t>ไม่ได้ใช้งาน Graph-based method (ใช้ CNN) และไม่ได้เน้น Explainability ในส่วนของ Methodology หลัก</t>
  </si>
  <si>
    <t>The FPI has limitations that allow malicious nodes to easily bypass the same hash detection logic, using the same hash detection technique based on blacklists.</t>
  </si>
  <si>
    <t>Implement and evaluate the FPI/DPI adaptive scheme and whitelist-based FPI scheme.</t>
  </si>
  <si>
    <t>เสนอแนวทางลด Latency ในการตรวจสอบ E2EE Traffic แต่ยังพึ่งพา Signature-based (Hash matching) ซึ่งอาจไม่เพียงพอสำหรับ APT หรือ Unknown attacks</t>
  </si>
  <si>
    <t>Server-side evaluation is misleading and no longer reliable; Certain attacks might be found in the evaluation dataset but absent in the training dataset (unseen attacks)</t>
  </si>
  <si>
    <t>Investigate resilience to detect unseen attacks; Investigate non-IID data specially label distribution skew among local datasets</t>
  </si>
  <si>
    <t>เน้นย้ำความสำคัญของการประเมินผลที่ฝั่ง Client (Local Evaluation) ในระบบ Federated Learning สำหรับงาน Intrusion Detection แทนที่จะพึ่งพา Server-side Metrics เพียงอย่างเดียว</t>
  </si>
  <si>
    <t>สนับสนุนแนวคิดที่ว่าการกระจายตัวของข้อมูล (Data Distribution) ในชุดทดสอบ (Client-side) มีผลอย่างมากต่อความน่าเชื่อถือของการวัดผล และการใช้ข้อมูล non-IID อาจทำให้เกิดความ bias ในการประเมิน</t>
  </si>
  <si>
    <t>งานวิจัยนี้ไม่ได้ใช้โครงสร้างกราฟ (Graph-based) ในการเรียนรู้ แต่ใช้ CNN กับข้อมูลตาราง (Tabular/Flow features)</t>
  </si>
  <si>
    <t>Fujitsu will strive to protect customers’ business environments... and continue providing its unique operational know-how</t>
  </si>
  <si>
    <t>เอกสารเน้นย้ำความสำคัญของการผสานรวม Practical Knowledge เข้ากับระบบอัตโนมัติ (Automation) ในการจัดการ APT แต่ไม่ได้นำเสนอเทคนิค Graph Learning ใหม่</t>
  </si>
  <si>
    <t>Clients in cross-silo FL settings often have limited processing capabilities and heterogeneous data.; Statistical heterogeneity (Non-IID) reduces global model performance and leads to client drift.</t>
  </si>
  <si>
    <t>Test the personalized FL model against poisoning attacks.; Extend the model to a fully secure decentralized FL using blockchain.</t>
  </si>
  <si>
    <t>เสนอแนวทางใช้ Transfer Learning ร่วมกับ Federated Learning เพื่อแก้ปัญหา Data Heterogeneity ในระบบ IoMT Security</t>
  </si>
  <si>
    <t>มีการทดสอบ Zero-day โดยการตัด Class บางตัวออกจาก Training set ซึ่งถือเป็นรูปแบบหนึ่งของ Strategic Sampling เพื่อวัด Generalization แต่วิธีหลักยังเป็น Random Split</t>
  </si>
  <si>
    <t>งานวิจัยนี้ไม่ได้ใช้ Graph-based methods</t>
  </si>
  <si>
    <t>Existing IDSs have limitations... applied to resource-constrained IoT networks; Studies have often been conducted on limited numbers of nodes or smaller datasets; Need to add more features... to capture more information about the network</t>
  </si>
  <si>
    <t>Use ensemble methods, combining multiple models; Validate the AI models on different types of networks and different types of wormhole attacks; Take into account the effect of node mobility on the detection system</t>
  </si>
  <si>
    <t>งานวิจัยนี้ยืนยันประสิทธิภาพของ Deep Learning (LSTM) ในบริบท IoT Security แต่ยังขาดการประยุกต์ใช้ Graph-based approach ทั้งที่ Wormhole attack เป็นปัญหาทาง Topology โดยตรง</t>
  </si>
  <si>
    <t>มีการแนะนำให้เพิ่ม features เพื่อจับข้อมูลเครือข่ายได้ดีขึ้นและคำนึงถึง node mobility ซึ่งสอดคล้องกับความต้องการ dynamic modeling แต่ไม่ได้เสนอวิธีทาง graph โดยตรง</t>
  </si>
  <si>
    <t>Existing security solutions for PoS Systems typically lack DLP and automated BOT features.</t>
  </si>
  <si>
    <t>Expand the malware dataset used for machine learning models.; Add more malware signatures or images.; Distinguish a wider range of malware order to introduce new subcategories of malware families.</t>
  </si>
  <si>
    <t>เอกสารไม่ได้กล่าวถึงกลยุทธ์การสุ่มตัวอย่างเพื่อลดการรั่วไหลของข้อมูล</t>
  </si>
  <si>
    <t>งานวิจัยนี้ไม่ได้ใช้วิธี Graph-based แต่ใช้ Image-based Deep Learning และ Feature-based ML</t>
  </si>
  <si>
    <t>Significant factors are overlooked by the related work... addressing the imbalanced classes of the dataset and the bias of the encoding process; Need to update the rules continuously... rigid but it can result in undesired detection performance</t>
  </si>
  <si>
    <t>Validation of an insider threat detection system on a real dataset by collecting data of insiders acts throughout systems; Investigate the system under different deep learning algorithms (e.g., RNNs, DBM)</t>
  </si>
  <si>
    <t>เน้นย้ำความสำคัญของการจัดการ Class Imbalance และ Data Encoding ในการตรวจจับ Insider Threat แบบดั้งเดิม (Non-graph)</t>
  </si>
  <si>
    <t>มีการใช้ SMOTE จัดการ Imbalance แต่ไม่ได้พูดถึง Sampling เพื่อลด Leakage หรือ Strategic Splitting</t>
  </si>
  <si>
    <t>งานวิจัยนี้เน้น Tabular ML (One-hot encoding) และไม่ได้ใช้วิธีการทาง Graph หรือ Explainable AI ขั้นสูง</t>
  </si>
  <si>
    <t>Cannot effectively track implicit data flows; Malware can utilize anti-analysis techniques to detect host devices; Only implemented on 32-bit ARM-based device (Nexus 5)</t>
  </si>
  <si>
    <t>Port the ARM code generator to other code generators (e.g., x86-64, AArch64); Utilize architecture-specific features for optimization</t>
  </si>
  <si>
    <t>แสดงให้เห็นถึงความเป็นไปได้ในการทำ Dynamic Taint Analysis บน Android ART runtime โดยใช้ Register-based tracking เพื่อลด overhead</t>
  </si>
  <si>
    <t>ใช้ Control Flow Graph (HGraph) ในระดับ Compiler เพื่อแทรก logic การติดตามข้อมูล ซึ่งอาจนำไปประยุกต์ใช้สร้าง Security Graph ได้ในอนาคต</t>
  </si>
  <si>
    <t>งานวิจัยนี้เป็นการเปรียบเทียบประสิทธิภาพ ML พื้นฐาน (Non-graph) บนชุดข้อมูลมาตรฐาน เพื่อยืนยันว่า Ensemble methods (AdaBoost) เหมาะสมกับ SHS</t>
  </si>
  <si>
    <t>บทความไม่ได้กล่าวถึง Sampling strategy หรือ Leakage awareness</t>
  </si>
  <si>
    <t>งานนี้ใช้วิธี Traditional ML (SVM, RF, AdaBoost) บน Tabular features ไม่ได้ใช้ Graph-based approach</t>
  </si>
  <si>
    <t>Existing methods identify malware during installation but do not sufficiently address post-installation attacks.; MitD attacks are becoming increasingly common and existing studies do not have adequate detection methods.</t>
  </si>
  <si>
    <t>Strict adherence to Google's recommendations by developers.; Integration of machine learning and AI for improved accuracy and real-time alerting (mentioned as part of the proposed framework's capability).</t>
  </si>
  <si>
    <t>เน้นย้ำความสำคัญของการตรวจสอบความปลอดภัยหลังการติดตั้ง (Post-installation) เช่น การตรวจสอบการแก้ไขไฟล์อัปเดตและการตรวจสอบ Certificate</t>
  </si>
  <si>
    <t>ไม่ได้กล่าวถึงการสุ่มตัวอย่างเชิงกลยุทธ์เพื่อลดการรั่วไหลของข้อมูล</t>
  </si>
  <si>
    <t>งานวิจัยนี้เน้น Feature-based (Permissions/Certificates) และไม่ได้ใช้ Graph approach</t>
  </si>
  <si>
    <t>Existing methods struggle with subtle manipulation artifacts; Lack of generalization across diverse image sources; Class imbalance in tampered image datasets</t>
  </si>
  <si>
    <t>ยืนยันประสิทธิภาพของ EfficientNetV2 และ Transfer Learning ในงาน Image Forensics แต่ยังขาดความเชื่อมโยงกับ Graph-based approaches</t>
  </si>
  <si>
    <t>งานวิจัยนี้เป็น Image Classification ทั่วไป ไม่ได้ใช้ Graph หรือเทคนิค Sampling ที่ซับซ้อนเพื่อป้องกัน Leakage ในโครงสร้างข้อมูล</t>
  </si>
  <si>
    <t>ไม่เกี่ยวข้องเนื่องจากไม่ได้ใช้งาน Graph data structure</t>
  </si>
  <si>
    <t>Traditional IDS cannot detect new or variant threats not in the rule base.; Anomaly detection has high misreport and under report rates due to difficulty in choosing static time periods.</t>
  </si>
  <si>
    <t>Better methods of statistical study are to be upgraded and updated.</t>
  </si>
  <si>
    <t>เน้นย้ำความสำคัญของการเก็บข้อมูลดิบ (Full Packet Capture) เพื่อการวิเคราะห์ย้อนหลัง (Forensics/Retrospective) แทนการพึ่งพา Real-time alerting เพียงอย่างเดียว</t>
  </si>
  <si>
    <t>บทความไม่ได้ใช้ Machine Learning หรือ Sampling Strategy ใดๆ</t>
  </si>
  <si>
    <t>บทความไม่ได้นำเสนอโมเดลกราฟ แต่แนวคิด 'associative index of network communication data' อาจเป็นพื้นฐานสำหรับการสร้างกราฟในงานวิจัยยุคหลัง</t>
  </si>
  <si>
    <t>Existing federated learning frameworks... suffer from... membership inference attacks; Data leakage between the client and server information transmission</t>
  </si>
  <si>
    <t>The training cost of PE-FedAvg must be optimized; Further optimization regarding client performance and communication overhead</t>
  </si>
  <si>
    <t>Privacy-preserving Federated Learning สามารถนำมาใช้กับ Android Malware Detection ได้โดยไม่สูญเสียความแม่นยำอย่างมีนัยสำคัญ แต่ต้องแลกมาด้วยต้นทุนการคำนวณที่สูงขึ้น</t>
  </si>
  <si>
    <t>This mechanism cannot support long-range authentication; Deep learning algorithm requires extra costs, such as GPU</t>
  </si>
  <si>
    <t>Implement RFF-based authentication with low cost GPU-accelerated devices (e.g., Raspberry Pi 5); Apply to Vehicle to Vehicle (V2V) scenarios</t>
  </si>
  <si>
    <t>RFF เป็นทางเลือกที่แข็งแกร่งสำหรับการยืนยันตัวตนใน IoT แต่อาจมีข้อจำกัดด้านทรัพยากร</t>
  </si>
  <si>
    <t>บทความนี้ไม่ได้ใช้ Graph-based approach และไม่ได้อภิปรายเรื่อง Sampling strategy เพื่อลด Bias ในบริบทของ APT</t>
  </si>
  <si>
    <t>บทความนี้เน้น Signal Processing และ CNN บนข้อมูลดิบ (I/Q data) ไม่เกี่ยวข้องกับ Graph Neural Networks</t>
  </si>
  <si>
    <t>แอปพลิเคชันบนมือถือจำนวนมากยังขาดความตระหนักเรื่อง Data Security ในฝั่ง Local Data และ Network Transmission; การขาดกลไกตรวจสอบความถูกต้องของข้อมูล (Integrity Check) และการยืนยันตัวตนของ Server (Authentication) ในโปรโตคอล HTTP</t>
  </si>
  <si>
    <t>ควรมีการใช้ HTTPS ในทุกการสื่อสาร; ควรมีการเข้ารหัสข้อมูลสำคัญ (Critical Data Encryption) ระหว่างการส่งผ่านข้อมูล; ควรใช้เทคนิค Code Obfuscation เพื่อป้องกันการแกะโค้ด</t>
  </si>
  <si>
    <t>งานวิจัยนี้เน้นย้ำถึงความสำคัญพื้นฐานของการรักษาความปลอดภัยในการส่งข้อมูล (Data Transmission Security) ซึ่งเป็นพื้นฐานก่อนที่จะไปถึงระดับการตรวจจับ APT ที่ซับซ้อน</t>
  </si>
  <si>
    <t>ไม่เกี่ยวข้องเนื่องจากไม่ใช่บทความด้าน Machine Learning</t>
  </si>
  <si>
    <t>ไม่เกี่ยวข้องเนื่องจากไม่มีการใช้งาน Graph Technology</t>
  </si>
  <si>
    <t>Research only uses two clients; Dataset has been sampled to 10% of the original dataset</t>
  </si>
  <si>
    <t>Involve a larger number of clients; Simulate more complex variety of data distributions (realistic non-IID); Integrate secure aggregation methods such as Salvia</t>
  </si>
  <si>
    <t>ยืนยันประสิทธิภาพของ FedProx ในการจัดการกับ Non-IID Data ในบริบท IoT IDS แต่ยังต้องการการทดสอบที่สมจริงกว่านี้</t>
  </si>
  <si>
    <t>มีการกล่าวถึงการจัดการ Non-IID (Label Skew) ซึ่งเกี่ยวข้องกับการกระจายตัวของข้อมูล แต่ไม่ได้เจาะจงเรื่อง Leakage ในแง่การประเมินผล</t>
  </si>
  <si>
    <t>งานวิจัยนี้ใช้ DNN ธรรมดา ไม่ใช่วิธีการ Graph-based</t>
  </si>
  <si>
    <t>Traditional cyber security vulnerabilities... are – unfortunately – alive and well even in the very recent implementations</t>
  </si>
  <si>
    <t>Highlights that mobile endpoints (Android) are significant vectors for network-based attacks (spambots, data exfiltration), relevant for broader network security contexts.</t>
  </si>
  <si>
    <t>The paper does not involve sampling strategies or machine learning training.</t>
  </si>
  <si>
    <t>The paper does not utilize graph-based methods.</t>
  </si>
  <si>
    <t>DNA signature analysis susceptible to temperature, ionic properties, and pH; Cost of specialized chemicals and oligonucleotide synthesis is high; Varied access devices and browsers must be field tested</t>
  </si>
  <si>
    <t>New polymerase enzymes or hydrogels to customize biological processes; Photonic circuits embedded in DNA logic gate arrays; Machine learning to improve DNA primer design</t>
  </si>
  <si>
    <t>นำเสนอแนวทาง Interdisciplinary ระหว่าง Biology และ Cloud Security แต่ยังห่างไกลจากการนำมาใช้จริงเพื่อตรวจจับ APT ในบริบทของ Graph Learning</t>
  </si>
  <si>
    <t>The current study is only focus on conceptual model development; This paper limits to SFR in CC and it is not cover the other prominent part which is security assurance</t>
  </si>
  <si>
    <t>Experts review will be the next phase of this study; Qualitative case study in an identified organization to validate the model; Proof of concept on SaaS product-based to test the applicability</t>
  </si>
  <si>
    <t>เป็นแนวทาง (Framework) สำหรับการเขียนข้อกำหนดความปลอดภัย (Security Requirements) ในการจัดซื้อจัดจ้างระบบ SaaS ภาครัฐ แต่ไม่ได้นำเสนอเทคนิคการตรวจจับด้วย Graph</t>
  </si>
  <si>
    <t>Systematic transferring of any cybersecurity problem directly onto healthcare institutions can be... ineffective in front of a gap in specialized cybersecurity expertise.</t>
  </si>
  <si>
    <t>Perform centralized continuous active monitoring with reconnaissance tools.; Changing approach: from prescriptive to supportive.; Encouraging community involvement (e.g., Bug Bounties, Coordinated Vulnerability Disclosure).</t>
  </si>
  <si>
    <t>เน้นย้ำความสำคัญของการตรวจสอบความปลอดภัยเชิงรุก (Proactive monitoring) และการใช้ OSINT tools ในการระบุความเสี่ยง แทนที่จะพึ่งพาเพียงการปฏิบัติตามข้อกำหนด (Compliance) ในสภาพแวดล้อมที่มีทรัพยากรจำกัด</t>
  </si>
  <si>
    <t>บทความไม่ได้เกี่ยวข้องกับการสุ่มตัวอย่างข้อมูลสำหรับการฝึกสอนโมเดล</t>
  </si>
  <si>
    <t>บทความไม่ได้นำเสนอวิธีที่ใช้กราฟ</t>
  </si>
  <si>
    <t>dataset leakage or unclear separation of training/validation/test data; incomplete reporting of class balance or variance estimates; baseline parity (e.g., unequal hyperparameter search)</t>
  </si>
  <si>
    <t>Establish standardized benchmarks incorporating bursty traffic and data drift scenarios; Develop hybrid architectures integrating LLMs with symbolic reasoning and graph-based methods; Systematic benchmarking under realistic operational constraints</t>
  </si>
  <si>
    <t>จำเป็นต้องมีมาตรฐานการประเมินที่เข้มงวดขึ้น โดยเฉพาะการจัดการ Data Leakage และการใช้ Temporal Split ในงานด้าน Cybersecurity</t>
  </si>
  <si>
    <t>บทความระบุชัดเจนว่าการแบ่งข้อมูลแบบ Temporal splits หรือ Entity-level grouping เป็นเกณฑ์สำคัญในการลดความเสี่ยง Data Leakage (Page 12)</t>
  </si>
  <si>
    <t>บทความเสนอแนะให้นำ Knowledge Graphs และ Graph-based methods มาใช้ร่วมกับ LLM เพื่อเพิ่มความสามารถในการอธิบายผล (Explainability) และการตรวจจับภัยคุกคามที่ซับซ้อน (Page 56, Table 27)</t>
  </si>
  <si>
    <t>Existing research has limited support for decentralized or privacy-aware intrusion detection.; Many deep learning solutions neglect attention mechanisms and underperform on minority-class attacks.</t>
  </si>
  <si>
    <t>Apply federated and edge computing settings to enhance scalability and data privacy.; Incorporate online learning and explainable AI (XAI) techniques.</t>
  </si>
  <si>
    <t>แสดงให้เห็นถึงประสิทธิภาพของการรวม CNN และ BiGRU พร้อมกลไก Attention ซ้อนกันหลายชั้นสำหรับการตรวจจับการบุกรุกใน IoT แต่ยังคงต้องพิสูจน์ในสภาพแวดล้อมแบบกระจายศูนย์</t>
  </si>
  <si>
    <t>ไม่ได้กล่าวถึง Sampling strategy เพื่อป้องกัน Leakage อย่างชัดเจน</t>
  </si>
  <si>
    <t>แม้ไม่ใช่ Graph-based แต่มีการใช้ Attention mechanism เพื่อเพิ่มความสามารถในการอธิบาย (Explainability) ของฟีเจอร์ที่ถูกคัดเลือก</t>
  </si>
  <si>
    <t>Currently no work is available that investigates covert channels for the publish-subscriber model.</t>
  </si>
  <si>
    <t>We plan to further analyze the detectability of all presented covert channels in the future work.; Develop countermeasures that will be capable of efficiently detecting and removing the MQTT-based covert channels.</t>
  </si>
  <si>
    <t>เป็นงานบุกเบิกด้าน network steganography ในโปรโตคอล MQTT แต่ไม่ได้ใช้เทคนิค Graph Learning</t>
  </si>
  <si>
    <t>Optimizing the defined algorithms can lead to better security approaches to combat threats.</t>
  </si>
  <si>
    <t>Further attacks such as R2L and U2R can be detected using the Snort rules.; The methods involved in this paper can lead to better security to avoid data leakage.</t>
  </si>
  <si>
    <t>This paper reinforces traditional ML approaches for NIDS but does not contribute to Graph-based APT detection methodologies.</t>
  </si>
  <si>
    <t>Traditional encryption schemes ... impair system performance or delay timely threat detection.; Computational overhead of HE ... may need to be made ... to minimize latency.</t>
  </si>
  <si>
    <t>Extend federated learning and differential privacy by applying HE.; Optimize encryption schemes or use hardware acceleration (GPUs/FPGAs).; Extend the system to multi-class and federated learning cases.</t>
  </si>
  <si>
    <t>แสดงให้เห็นความเป็นไปได้ในการใช้ Deep Learning กับข้อมูลที่ถูกเข้ารหัส (Encrypted Traffic) โดยไม่ต้องถอดรหัส ซึ่งสำคัญต่อ Privacy ใน Cloud Computing</t>
  </si>
  <si>
    <t>มีการใช้ Attention Mechanism เพื่ออธิบายความสำคัญของ Time steps (Explainability) แต่ไม่ได้ทำบนโครงสร้างกราฟ (Heterogeneous Graph)</t>
  </si>
  <si>
    <t>Insufficient specialized courses and a lack of regular updates to teaching materials; Insufficient attention to practical teaching methods; Lack of studies in non-English languages and specific to Kazakhstan context</t>
  </si>
  <si>
    <t>Develop and test specialized cybersecurity courses tailored for teacher training programmes; Explore interdisciplinary frameworks integrating cybersecurity into broader contexts like social sciences; Focus on innovative teaching tools including augmented reality and simulation-based learning</t>
  </si>
  <si>
    <t>เน้นความสำคัญของการพัฒนาหลักสูตรฝึกอบรมครูให้มีทักษะ Cybersecurity ที่ทันสมัยและเน้นการปฏิบัติ เพื่อถ่ายทอดความรู้สู่ผู้เรียนในยุคดิจิทัล</t>
  </si>
  <si>
    <t>บทความนี้ไม่เกี่ยวข้องกับ Machine Learning Sampling Strategy</t>
  </si>
  <si>
    <t>บทความนี้เน้นด้านการศึกษา (Pedagogy) ไม่ได้กล่าวถึง Graph-based methods</t>
  </si>
  <si>
    <t>Still, there are no regulations under the PDP Law that technically regulate this matter.</t>
  </si>
  <si>
    <t>The government must establish an institution with supervisory authority over personal data protection.; Vulnerability mapping in voter data systems needs to be done.</t>
  </si>
  <si>
    <t>เน้นย้ำความสำคัญของการผสานกฎหมายและการจัดการความปลอดภัยสารสนเทศ (InfoSec) ในบริบทของระบบเลือกตั้ง</t>
  </si>
  <si>
    <t>Class imbalance will degrade performance of minority classes; Offline trained IDS models cannot cope with concept drift</t>
  </si>
  <si>
    <t>Future research should focus on addressing class imbalance in the data streams; Strategies to handle class imbalance with incremental online techniques, such as upsampling and ensemble learners</t>
  </si>
  <si>
    <t>Online Learning เป็นแนวทางที่จำเป็นสำหรับ IoT IDS เพื่อจัดการ Resource และ Concept Drift แต่ต้องแก้ปัญหา Class Imbalance</t>
  </si>
  <si>
    <t>สนับสนุนความสำคัญของการประเมินแบบต่อเนื่อง (Stream/Temporal) เพื่อจัดการ Concept Drift ซึ่งสัมพันธ์กับการสุ่มตัวอย่างตามเวลา</t>
  </si>
  <si>
    <t>บทความนี้เน้น Feature-based ML และ Clustering แบบดั้งเดิม ไม่ได้ใช้ Graph-based methods</t>
  </si>
  <si>
    <t>Prior research lacks temporal evaluations which are critical for robust detection of new malware variants over time.; Most of these datasets do not permit temporal evaluations of malware detection... malware samples in the existing datasets were randomly collected from online repositories and there is no timestamp.</t>
  </si>
  <si>
    <t>Extend the dataset with features from recent malware variants (2022-2024).; Capture features from Windows 11 and Linux environments.; Analyze the delay between file compilation time and VirusTotal submission time to refine temporal labeling.; Combine memory features with static and dynamic features.</t>
  </si>
  <si>
    <t>งานนี้เน้นย้ำความจำเป็นของการประเมินแบบ Temporal ในงานด้านความปลอดภัยไซเบอร์ เพื่อหลีกเลี่ยงผลลัพธ์ที่ลำเอียงและไม่สะท้อนความเป็นจริง</t>
  </si>
  <si>
    <t>บทความให้หลักฐานเชิงประจักษ์ว่า Random Sampling ทำให้เกิด Bias และสนับสนุนการใช้ Chronological Splitting เพื่อจำลอง Real-world scenario</t>
  </si>
  <si>
    <t>งานนี้ไม่ได้ใช้ Graph-based approach แต่เน้นที่ Feature-based learning</t>
  </si>
  <si>
    <t>Existing methods often tackle class imbalance and feature selection independently, with minimal exploration of their combined impact; The CICIDS2017 dataset suffers from inconsistencies and artifacts... duplicate records</t>
  </si>
  <si>
    <t>Evaluate on other benchmarks and real-time datasets to enhance generalizability; Optimize framework for online processing (currently offline); Explore adaptive feature selection and interpretability techniques; Benchmarking under adversarial conditions</t>
  </si>
  <si>
    <t>เน้นย้ำความสำคัญของการจัดการ Class Imbalance ควบคู่กับการลดขนาดฟีเจอร์ในระบบ IDS แต่ยังคงยึดติดกับการประเมินผลแบบดั้งเดิม (Random Split) ที่อาจไม่สะท้อนความเป็นจริงในการใช้งาน</t>
  </si>
  <si>
    <t>สนับสนุนแนวคิดการใช้ Sampling Strategy (SMOTE+Undersampling) เพื่อแก้ปัญหา Bias ในข้อมูล แต่ไม่ได้จัดการเรื่อง Leakage จากการแบ่งข้อมูล (Split) อย่างชัดเจน</t>
  </si>
  <si>
    <t>งานวิจัยนี้เป็น Flow-based analysis โดยใช้ Tabular data และโมเดลมาตรฐาน ไม่ได้ใช้งาน Graph-based learning</t>
  </si>
  <si>
    <t>Existing works do not investigate defence for a model already under adversarial attacks; Does not deal with real adversarial attacks on IoT networks (simulated only)</t>
  </si>
  <si>
    <t>Explore how features can be engineered to make them less sensitive to adversarial attacks; Investigate how model retraining can further improve performance</t>
  </si>
  <si>
    <t>Adversarial Training เป็นวิธีที่มีประสิทธิภาพสำหรับ IoT IDS แต่อาจต้องระวังเรื่อง Evaluation Design ที่ถูกต้อง</t>
  </si>
  <si>
    <t>งานวิจัยใช้วิธี Random Split และมีแนวโน้มเกิด Leakage อย่างชัดเจน จึงเป็นตัวอย่างของงานที่ขาดความตระหนักด้านนี้</t>
  </si>
  <si>
    <t>ไม่ได้ใช้งาน Graph-based method</t>
  </si>
  <si>
    <t>Cannot automatically reveal side-channels created by varying continuous entities (e.g., currents or voltages) in internal nodes; Relies on accurate labeling of sensitive signals and sensitivity reducing operations; Conservative information flow policy may lead to false positives</t>
  </si>
  <si>
    <t>Develop solutions that capture side-channels which cannot be currently automatically detected; Extend the set of Verilog/Verilog-A/AMS constructs handled by VeriCoq-IFT; Integration with simulation-based IFT models to improve accuracy</t>
  </si>
  <si>
    <t>Opens a new direction for Formal Information Flow Tracking in Mixed-Signal Hardware, distinct from pure Digital IFT.</t>
  </si>
  <si>
    <t>Uses a formal logic representation (Coq) of the circuit graph which provides 'proofs' as explanation for security, though not in an ML/GNN context.</t>
  </si>
  <si>
    <t>Support multithreading by placing promoted variables and shadow stack in thread-local storage</t>
  </si>
  <si>
    <t>นำเสนอแนวทางป้องกัน memory corruption บนอุปกรณ์ที่มีทรัพยากรจำกัด (MCUs) โดยไม่ต้องใช้ฮาร์ดแวร์พิเศษอย่าง TrustZone</t>
  </si>
  <si>
    <t>In present situation threats detection is a challenging work due to vulnerabilities and complex information security anomalies.</t>
  </si>
  <si>
    <t>So the behavioral analysis, deep learning, machine learning and intelligence based system can be developed to secure systems and services.</t>
  </si>
  <si>
    <t>งานวิจัยนี้แสดงความพยายามเบื้องต้นในการใช้ ML แบบดั้งเดิม (SVM) กับปัญหาความปลอดภัย แต่ยังขาดความลึกในด้าน Graph-based หรือ APT-specific evaluation</t>
  </si>
  <si>
    <t>ไม่ได้กล่าวถึง Sampling strategy หรือ Data leakage ในบริบทของ ML evaluation</t>
  </si>
  <si>
    <t>งานวิจัยไม่ได้ใช้วิธีการทาง Graph หรือ Explainability</t>
  </si>
  <si>
    <t>Semantic gap ระหว่าง Block-level provenance และ File-level semantics ต้องอาศัยเครื่องมือเสริม (file2block); Race condition กรณีถอดอุปกรณ์ก่อน Provenance ถูกเขียนลง Storage (เสนอแก้ด้วย Capacitor); System caching ทำให้ Timestamp ของการอ่านข้อมูลอาจไม่ตรงกับเวลาจริง</t>
  </si>
  <si>
    <t>ขยายไปสู่ Tamper-resistant hardware เพื่อป้องกันการดัดแปลง Provenance records; พัฒนา Capacitor-backed mechanisms เพื่อรองรับการถอดอุปกรณ์กะทันหัน</t>
  </si>
  <si>
    <t>แสดงให้เห็นว่าสามารถเก็บ Provenance บนอุปกรณ์ USB ที่มีทรัพยากรจำกัดได้โดยมี Overhead ต่ำ ซึ่งเป็นพื้นฐานสำคัญสำหรับระบบตรวจจับในอนาคต</t>
  </si>
  <si>
    <t>ไม่ได้กล่าวถึงการ Sampling หรือ ML dataset construction</t>
  </si>
  <si>
    <t>เสนอโครงสร้าง Provenance Graph (W3C PROV) ที่อธิบายความสัมพันธ์ระหว่าง Host และ Data object เพื่อใช้ในการอธิบายเหตุการณ์ (Forensics/Explainability) แต่ไม่ได้ใช้ Graph Learning Model โดยตรง</t>
  </si>
  <si>
    <t>The effectiveness of data loss prevention (DLP) solutions remains obscure, especially with respect to the types of attacks they claim to protect against.; Threat models aren't defined explicitly, so the DLP solutions' effectiveness against particular threats remains unjustified.</t>
  </si>
  <si>
    <t>Organizations should test their DLP solutions to make sure they meet the promises found in vendors' product descriptions.; DLP solutions must employ security control points that can inspect data before obfuscation.</t>
  </si>
  <si>
    <t>เน้นย้ำความสำคัญของการกำหนด Threat Model ที่ชัดเจนในการประเมินประสิทธิภาพของระบบความปลอดภัย และแสดงให้เห็นว่า Content-based detection แบบดั้งเดิมไม่เพียงพอต่อการป้องกัน APT หรือ malicious insiders ที่ใช้เทคนิค obfuscation</t>
  </si>
  <si>
    <t>NIDS face challenges with false positives, false negatives, and the high cost of implementation.; Cloud environments require scalable and multi-lingual support systems.</t>
  </si>
  <si>
    <t>The paper provides a high-level conceptual overview of NID optimization strategies but offers limited empirical contribution.</t>
  </si>
  <si>
    <t>No known blockchain solutions exist for a multimodal robotic system; Designing a scalable and energy-efficient blockchain framework is a research domain to explore, as blockchain is resource hungry</t>
  </si>
  <si>
    <t>Create an intelligent mechanism that autonomously determines the right trade-off between continuous user prompts and system usability; Proposed security framework solutions will be implemented, tested, and validated with an assistive multimodal robotic system in real scenarios</t>
  </si>
  <si>
    <t>เน้นย้ำความสำคัญของ Privacy-by-design และ Security-by-design ในระบบหุ่นยนต์ที่มีปฏิสัมพันธ์กับมนุษย์ (HRI) โดยเฉพาะในกลุ่มเปราะบาง</t>
  </si>
  <si>
    <t>บทความไม่ได้กล่าวถึง Sampling Strategy สำหรับการเทรนโมเดล</t>
  </si>
  <si>
    <t>มีการกล่าวถึงการใช้ Blockchain (ซึ่งมีโครงสร้างแบบ Graph/Chain) เพื่อเพิ่ม Transparency และ Traceability ของการตัดสินใจในหุ่นยนต์ แต่ไม่ใช่ในบริบทของ Graph Neural Networks หรือ Explainable AI สำหรับตรวจจับ APT</t>
  </si>
  <si>
    <t>Existing models face a challenge in reliably discerning whether updated application files are authentic or potentially harmful.</t>
  </si>
  <si>
    <t>เน้นย้ำความสำคัญของการตรวจสอบ Post-installation activities เช่น การอัปเดตแอปและการใช้ External Storage ซึ่งเป็นช่องโหว่ MITD</t>
  </si>
  <si>
    <t>บทความกล่าวถึงปัญหา Imbalanced dataset และใช้วิธี Sampling แก้ไข แต่ไม่ได้ลงลึกเรื่อง Leakage ในบริบทของ Graph หรือ Time-series</t>
  </si>
  <si>
    <t>งานวิจัยนี้ไม่ได้ใช้วิธีการทาง Graph-based learning แต่ใช้ Feature-based SVM และ Rule-based algorithms</t>
  </si>
  <si>
    <t>Neural network models require significant execution time due to the complexity of word embedding algorithms.; Existing source-based models often compare against static analysis but lack efficiency measurements.</t>
  </si>
  <si>
    <t>การรวม Ensemble Learning กับ Word Embeddings สามารถเพิ่มความแม่นยำในการตรวจจับช่องโหว่ได้ แต่ต้องแลกมาด้วยต้นทุนการคำนวณที่สูงขึ้น</t>
  </si>
  <si>
    <t>งานวิจัยนี้ไม่ได้มุ่งเน้นเรื่อง Sampling Strategy หรือการป้องกัน Leakage ในบริบทของ Graph-based APT</t>
  </si>
  <si>
    <t>งานวิจัยนี้เน้น Sequence-based models (NLP) สำหรับ Source Code ไม่ได้ใช้ Graph-based approach หรือเน้นความสามารถในการอธิบาย (Explainability) ในโครงสร้างกราฟ</t>
  </si>
  <si>
    <t>แสดงให้เห็นว่า Feature พื้นฐาน (Length, Entropy) เพียงพอต่อการตรวจจับ Tunneling tools มาตรฐานด้วยความแม่นยำสูง</t>
  </si>
  <si>
    <t>งานวิจัยใช้วิธี Random Split แบบดั้งเดิม ไม่ได้นำเสนอเทคนิคการสุ่มแบบใหม่</t>
  </si>
  <si>
    <t>งานวิจัยนี้ใช้ Deep Feedforward Network บนฟีเจอร์เวกเตอร์ ไม่ได้ใช้ Graph Neural Network หรือโครงสร้างกราฟ</t>
  </si>
  <si>
    <t>สมมติฐานว่าทุก Client ต้องมีโครงสร้าง Feature เหมือนกัน (Same feature structure); ประสิทธิภาพลดลงเมื่อข้อมูลมีความไม่สมดุล (Unbalanced) และแตกต่างกันมาก (Non-IID) ระหว่าง Client</t>
  </si>
  <si>
    <t>พัฒนาวิธีการจัดการกับ Datasets ที่มี Feature structure ต่างกัน; ขยายการศึกษาไปยังข้อมูลรูปแบบอื่น เช่น ข้อความ (Text) และรูปภาพ (Images)</t>
  </si>
  <si>
    <t>งานนี้แสดงให้เห็นศักยภาพของ Federated Learning ในงาน Unsupervised Anomaly Detection แต่ยังคงใช้วิธีการประเมินแบบดั้งเดิม (Random Split) ที่อาจไม่เหมาะสมกับบริบทความปลอดภัยทางไซเบอร์จริง</t>
  </si>
  <si>
    <t>งานวิจัยใช้ Random sampling มาตรฐาน ไม่ได้นำเสนอกลยุทธ์การสุ่มที่คำนึงถึง Leakage</t>
  </si>
  <si>
    <t>งานวิจัยนี้เป็น Vector-based (Autoencoder + GMM) ไม่ได้ใช้ Graph structure</t>
  </si>
  <si>
    <t>The current research considers only a single dataset, which may not adequately capture the diversity present in real-world scenarios.; Newly emerging malicious code could affect the model’s effectiveness.</t>
  </si>
  <si>
    <t>Investigate the model’s adaptability across different datasets; Combine hardware acceleration techniques (GPU/FPGA); Explore knowledge distillation or federated learning framework</t>
  </si>
  <si>
    <t>แสดงให้เห็นความเป็นไปได้ในการใช้ Homomorphic Encryption กับ CNN สำหรับ Malware Detection แต่ยังจำกัดที่ประสิทธิภาพด้านเวลาและข้อมูล</t>
  </si>
  <si>
    <t>งานวิจัยนี้เน้น Privacy Leakage (Cryptographic) ไม่ใช่ Data Leakage ในบริบทของการแบ่งข้อมูลเพื่อการประเมินผล (Evaluation)</t>
  </si>
  <si>
    <t>ไม่ใช่งานวิจัยประเภท Graph-based (ใช้ Image-based approach) และไม่ได้เน้น Explainability ของโมเดลในเชิงโครงสร้าง</t>
  </si>
  <si>
    <t>More research is needed for the inevitable data-selling ransomware which is harder to defend than traditional ransomware.</t>
  </si>
  <si>
    <t>Explore other market-based solutions involving defensive buyers against the data-selling ransomware.</t>
  </si>
  <si>
    <t>เสนอแนวคิดทางเศรษฐศาสตร์และ Game Theory เพื่อจัดการกับแรงจูงใจของ Ransomware ซึ่งเป็นมุมมองเสริมจากการตรวจจับทางเทคนิค</t>
  </si>
  <si>
    <t>Models typically rely on centralized architectures, risking privacy violations.; Data scarcity in attack scenarios remains a challenge.</t>
  </si>
  <si>
    <t>Optimizing the model for real-world deployment.; Enhancing integration with IoT security frameworks.</t>
  </si>
  <si>
    <t>แสดงให้เห็นว่า Federated Learning สามารถนำมาใช้กับ IoMT IDS ได้อย่างมีประสิทธิภาพเพื่อรักษา Privacy แต่ยังขาดความชัดเจนด้านการประเมินผลที่เข้มงวด (Robust Evaluation)</t>
  </si>
  <si>
    <t>บทความไม่ได้ใช้ Graph-based method และไม่ได้อภิปรายเรื่อง Sampling เพื่อลด Leakage</t>
  </si>
  <si>
    <t>บทความใช้วิธี Tree-based ensemble มาตรฐาน ไม่ได้ใช้ Graph Learning</t>
  </si>
  <si>
    <t>Simulation suffers from the state space explosion problem; Existing works do not effectively prioritize verification tasks based on risk assessment</t>
  </si>
  <si>
    <t>Suggest priority list for security verification tasks; Apply methodology to larger networks (e.g., ResNet-18) noting state space complexity</t>
  </si>
  <si>
    <t>เน้นย้ำความสำคัญของการใช้ Formal Verification ในการตรวจสอบความปลอดภัยของฮาร์ดแวร์ AI แทนการพึ่งพา Simulation เพียงอย่างเดียว</t>
  </si>
  <si>
    <t>เอกสารเน้น Hardware Security ไม่เกี่ยวข้องกับ Sampling Strategy ในบริบทของ Graph-based APT</t>
  </si>
  <si>
    <t>เอกสารใช้ CNN มาตรฐาน ไม่มีการใช้งาน Dynamic Heterogeneous Graph</t>
  </si>
  <si>
    <t>The lack of rigorous evaluation on unique attack signatures.; Models trained on this specific dataset may suffer from concept drift when deployed on different vehicles.</t>
  </si>
  <si>
    <t>Validate lightweight models across heterogeneous vehicle manufacturers.; Use Transfer Learning and GANs to synthetically augment rare attack signatures.; Research into sequence-based detection.</t>
  </si>
  <si>
    <t>เน้นย้ำว่า Metrics ที่สูงเกินจริงใน Intrusion Detection อาจเกิดจาก Data Leakage และ Deep Learning อาจไม่ใช่คำตอบที่ดีที่สุดเสมอไปหากข้อมูล Unique มีน้อย</t>
  </si>
  <si>
    <t>งานวิจัยนี้เป็นหลักฐานเชิงประจักษ์ว่า Random Split บนข้อมูลที่มีความซ้ำซ้อน (Redundant) ก่อให้เกิด Leakage รุนแรง และเสนอ De-duplication เป็นวิธีแก้ไข</t>
  </si>
  <si>
    <t>ไม่ได้ใช้ Graph โดยตรง แต่สนับสนุน Explainability โดยแสดงให้เห็นว่า Tree-based models (White Box) เหมาะสมกว่า CNN (Black Box) ในงาน Forensic ที่ต้องการความเข้าใจเหตุผล</t>
  </si>
  <si>
    <t>เน้นความสำคัญของการจัดการนโยบายและการควบคุมสิทธิ์การเข้าถึงข้อมูลเพื่อป้องกัน Insider Threat นอกเหนือจากการใช้เครื่องมือทางเทคนิคเพียงอย่างเดียว</t>
  </si>
  <si>
    <t>บทความไม่เกี่ยวข้องกับการสุ่มตัวอย่างข้อมูลสำหรับโมเดล AI</t>
  </si>
  <si>
    <t>บทความไม่ได้ใช้งาน Graph-based method</t>
  </si>
  <si>
    <t>Theoretical justification for power leakage differences in different input configurations</t>
  </si>
  <si>
    <t>นำเสนอแนวทางป้องกัน Hardware Trojan โดยยอมแลกกับ Overhead ของพื้นที่และพลังงาน ซึ่งอาจเหมาะกับงานที่ต้องการความปลอดภัยสูง</t>
  </si>
  <si>
    <t>Synthetic data may not fully capture the complexity and noise of real enterprise logs; Existing learning-based approaches lack a unified mechanism to handle new users... and protect user privacy simultaneously</t>
  </si>
  <si>
    <t>Integration of federated learning; Use of graph-based models to capture relational user behavior; Incorporation of formal differential privacy guarantees</t>
  </si>
  <si>
    <t>แสดงให้เห็นว่า Generative Sequence Models สามารถใช้ตรวจจับ Insider Threat แบบ Personalized พร้อมรักษา Privacy ได้ แต่ยังต้องการการยืนยันกับข้อมูลจริง</t>
  </si>
  <si>
    <t>เอกสารเน้นย้ำเรื่อง 'Temporal ordering was strictly preserved... to prevent data leakage' ซึ่งสนับสนุนแนวทางการแบ่งข้อมูลที่ถูกต้องตามกาลเวลา</t>
  </si>
  <si>
    <t>ไม่ได้ใช้ Graph ในปัจจุบัน แต่ระบุใน Future Work ว่าจะใช้ 'graph-based models to capture relational user behavior'</t>
  </si>
  <si>
    <t>Current implementation only intercepts disk I/O, not network I/O.</t>
  </si>
  <si>
    <t>Extend interception to network I/O.</t>
  </si>
  <si>
    <t>นำเสนอแนวทางการใช้ Lightweight Hypervisor เพื่อการควบคุมการเข้าถึงไฟล์ในระดับ Hardware-assisted โดยไม่ต้องพึ่งพา OS API</t>
  </si>
  <si>
    <t>No existing work studied the joint learning challenges of class imbalance and online data stream learning in AutoML.; Existing techniques ignore the class imbalance issue in data streams... potentially cause the optimization process having a learning bias toward the majority class.</t>
  </si>
  <si>
    <t>Adding resampling techniques into the searching space of the AutoML framework.; Considering active detection of real concept drift and continuously evolving process.</t>
  </si>
  <si>
    <t>เน้นย้ำความสำคัญของการจัดการ Class Imbalance แบบ Dynamic ในงาน Streaming Security (เช่น Fraud/Intrusion) ซึ่งวิธีการ Static แบบเดิมใช้ไม่ได้ผล</t>
  </si>
  <si>
    <t>นำเสนอ Adaptive Resampling ที่ปรับเปลี่ยนตาม Time-decayed class size ซึ่งเป็นรูปแบบหนึ่งของ Strategic Sampling สำหรับ Streaming data</t>
  </si>
  <si>
    <t>งานวิจัยนี้เน้น Vector-based data streams และไม่ได้ใช้ Graph methods</t>
  </si>
  <si>
    <t>Most of the streaming data classifiers, does not consider the problem of class imbalance and concept drift into account at the same time.</t>
  </si>
  <si>
    <t>Apply the drift detection in imbalanced data stream for a multi-class problem (currently focused on binary/limited classes).</t>
  </si>
  <si>
    <t>เน้นความสำคัญของการจัดการ Drift และ Imbalance ในระบบ Real-time IDS แต่ยังคงยึดติดกับ Vector-based approach แบบดั้งเดิม</t>
  </si>
  <si>
    <t>มีการใช้ Resampling (KNN-JS) แต่ไม่ได้ออกแบบมาเพื่อลด Leakage ในกราฟ แต่เพื่อแก้ Imbalance ใน Feature space ปกติ</t>
  </si>
  <si>
    <t>งานวิจัยนี้ไม่ได้ใช้วิธีการทาง Graph Learning หรือ Heterogeneous Graph แต่ใช้วิธี Ensemble บน Feature vectors</t>
  </si>
  <si>
    <t>Only the reserved/unused pattern is considered suitable for a covert channel.; The covert channel is less suitable for control-plane messages.</t>
  </si>
  <si>
    <t>Verify whether the proposed hiding method has an impact on the quality of mobile connections with commercial 5G network equipment.; Explore AI-based anomaly detection countermeasures.</t>
  </si>
  <si>
    <t>แสดงให้เห็นช่องโหว่ในโปรโตคอล 5G ที่สามารถถูกใช้เพื่อแฝงข้อมูล (Steganography) ซึ่งอาจใช้โดยมัลแวร์ แต่การตรวจจับแบบ Rule-based พื้นฐานยังคงมีประสิทธิภาพหากทราบตำแหน่งบิต</t>
  </si>
  <si>
    <t>บทความนี้เน้นการสร้างช่องทางลับ ไม่ใช่การตรวจจับด้วย ML จึงไม่เกี่ยวข้องกับ Sampling Strategy</t>
  </si>
  <si>
    <t>มีการเสนอแนะใน Future Work ให้สำรวจ 'AI-based anomaly detection' ซึ่งอาจเชื่อมโยงกับการใช้ Graph Learning ในอนาคต แต่ในบทความนี้ไม่มีการใช้งานจริง</t>
  </si>
  <si>
    <t>Graphs represent entire system runs... grow quickly; Real-world QDFGs quickly grow large with several thousand nodes and edges</t>
  </si>
  <si>
    <t>Improve detection strategy by mining malicious patterns; Improve visualization based on feedback by security experts; Improve graph view through advanced layout and filtering</t>
  </si>
  <si>
    <t>งานนี้เน้นย้ำความสำคัญของ Explainability ผ่าน Graph Visualization ในงาน Security แต่ยังขาดมาตรฐานการวัดผลที่ชัดเจน</t>
  </si>
  <si>
    <t>งานวิจัยไม่ได้เน้นด้าน Machine Learning Sampling Strategy</t>
  </si>
  <si>
    <t>นำเสนอแนวทาง Visualization ของ Dynamic Heterogeneous Graphs (Process, File, Socket) โดยมีการ Mapping กิจกรรมระดับล่างขึ้นเป็น High-level semantics เพื่อการอธิบายผล (Explainability)</t>
  </si>
  <si>
    <t>ยังขาดการประเมินผลเชิงลึกเกี่ยวกับการเปลี่ยนแปลงพฤติกรรมของเครือข่ายตามเวลา (Temporal Concept Drift); ไม่ปรากฏการควบคุม Data Leakage ในวิธีการแบ่งและสุ่มข้อมูล</t>
  </si>
  <si>
    <t>การทดลองและประเมินผลในชุดข้อมูลที่มีความซับซ้อนและหลากหลายมากขึ้น; การศึกษาเพื่อพัฒนาประสิทธิภาพของ aggregation function ให้ดียิ่งขึ้นไปอีก</t>
  </si>
  <si>
    <t>แสดงให้เห็นว่า Personalization ใน Federated Learning เป็นปัจจัยสำคัญในการทำระบบตรวจจับการบุกรุกสำหรับอุปกรณ์ IoT ที่มีความแตกต่างกันทางสถิติของข้อมูล (Non-IID)</t>
  </si>
  <si>
    <t>ไม่ได้กล่าวถึงการจัดการหรือวางกลยุทธ์การสุ่มข้อมูลเพื่อป้องกันการรั่วไหลของข้อมูล (Leakage-aware) อย่างเป็นรูปธรรม</t>
  </si>
  <si>
    <t>งานวิจัยนี้อาศัยคุณลักษณะ (Features) จากตารางสถิติเครือข่าย ไม่ได้ใช้โครงสร้างข้อมูลแบบกราฟเพื่อความสามารถในการอธิบาย</t>
  </si>
  <si>
    <t>ขาดการประเมินแบบ Cross-dataset หรือ Temporal split ที่สมจริงกับการตรวจจับการโจมตีแบบ Zero-day; ไม่ใช่งานวิจัยในกลุ่ม Graph-based จึงไม่สามารถนำเสนอโครงสร้างพฤติกรรมความสัมพันธ์ของการโจมตีได้</t>
  </si>
  <si>
    <t>การขยายขอบเขตโมเดลไปสู่การระบุการโจมตีทางเครือข่ายหลายๆ รูปแบบให้ครอบคลุมและมีประสิทธิภาพมากขึ้น</t>
  </si>
  <si>
    <t>แสดงให้เห็นว่ากระบวนการ Resampling อย่างระมัดระวัง (SMOTE เฉพาะ train set) มีความสำคัญ แต่การละเลย Time-series sequence integrity ตอนแบ่งข้อมูลสามารถทำให้ metric สูงเกินจริง</t>
  </si>
  <si>
    <t>ผู้วิจัยระบุอย่างชัดเจนว่าห้ามทำ Oversampling ก่อนแบ่งข้อมูล (Preventing data leakage) ซึ่งเป็นแนวทางปฏิบัติที่ดีเยี่ยมในการเตรียมข้อมูลแบบไม่สมดุล</t>
  </si>
  <si>
    <t>งานวิจัยนี้อิงตาม Sequence Modeling (LSTM) บน Flow features โดยไม่ได้สร้างหรือใช้งาน Graph ใดๆ</t>
  </si>
  <si>
    <t>แสดงให้เห็นถึงการนำแชทบอทแบบสคริปต์ (AIML) มาประยุกต์ใช้เพื่อเป็นเครื่องมือให้ความรู้ด้านความเป็นส่วนตัวทางไซเบอร์เบื้องต้นได้อย่างมีประสิทธิภาพ</t>
  </si>
  <si>
    <t>บทความนี้ไม่อยู่ในขอบเขตการศึกษานี้</t>
  </si>
  <si>
    <t>แสดงความเป็นไปได้ของระบบสกัดจับและประมวลผลข้อมูล power side-channel แบบเรียลไทม์เพื่อรักษาความปลอดภัยใน IoT โดยผนวกการเข้ารหัสร่วมไปกับการทำ classification</t>
  </si>
  <si>
    <t>ไม่ได้กล่าวถึง Sampling strategy หรือความท้าทายด้าน Data Leakage ในบริบทของการประเมินผลโมเดล</t>
  </si>
  <si>
    <t>ไม่ได้ใช้ Graph ในการทำระบบตรวจจับ (ใช้ข้อมูล 1D sequence ของ power traces)</t>
  </si>
  <si>
    <t>ข้อจำกัดที่สำคัญคือการพึ่งพาชุดข้อมูลที่ถูกควบคุม (Controlled dataset) สำหรับการทดสอบในระยะเริ่มต้น</t>
  </si>
  <si>
    <t>ควรใช้ชุดข้อมูลในโลกความเป็นจริงที่หลากหลายและคาดเดาไม่ได้มากขึ้นเพื่อทดสอบความแม่นยำ; พัฒนาระบบผ่านเทคนิค Advanced optimization เช่น Parameter tuning และ Feature engineering; สำรวจและทดสอบโมเดล ML อื่นๆ ที่ไม่ได้อยู่ในขอบเขตของการศึกษานี้</t>
  </si>
  <si>
    <t>เป็นตัวอย่างที่ดีในการนำเสนอ Methodology ที่รัดกุมในการป้องกัน Data Leakage ในระดับ Preprocessing ซึ่งมักถูกมองข้ามในงานวิจัยด้าน Network Intrusion Detection</t>
  </si>
  <si>
    <t>สนับสนุนกรอบแนวคิดความสำคัญของการป้องกัน Data Leakage ระหว่าง Train/Test อย่างเด็ดขาดในขั้นตอน Preprocessing แต่ไม่ได้ประยุกต์ใช้ Strategic/Temporal split</t>
  </si>
  <si>
    <t>ไม่ได้นำเสนองานวิจัยที่เกี่ยวข้องกับ Graph-based APT Detection หรือกลไก Explainability สำหรับกราฟ</t>
  </si>
  <si>
    <t>In this paper, we focus on minimizing disclosure risk for each query independently, and do not consider the effect of running multiple queries concurrently.</t>
  </si>
  <si>
    <t>Analyze the impact of various query rewriting strategies and heuristics on disclosure risk; Explore how to efficiently store and analyze the audit log for effective forensic analysis; Extend framework to consider active memory attacks</t>
  </si>
  <si>
    <t>สร้างรากฐานสำหรับการออกแบบระบบฐานข้อมูลแบบ Relational ที่ตระหนักถึงความปลอดภัยจากภัยคุกคามประเภท Memory-scraping</t>
  </si>
  <si>
    <t>Lack of federated learning training frameworks for multimodal data in cross-domain scenarios.; Metaverse digital museums currently lack development tools and established patterns.</t>
  </si>
  <si>
    <t>Extend to federated learning training frameworks for multimodal data (images, audio, text, etc.).; Explore efficient privacy protection and verifiable mechanisms for multimodal features.</t>
  </si>
  <si>
    <t>เสนอกระบวนทัศน์ใหม่ในการใช้ Privacy-preserving Federated Learning เข้ามาช่วยอนุรักษ์และแลกเปลี่ยนข้อมูลมรดกทางวัฒนธรรมโดยไม่ต้องรวมศูนย์ข้อมูล</t>
  </si>
  <si>
    <t>ไม่ได้อ้างอิงถึงการออกแบบกลยุทธ์การสุ่มเพื่อแก้ปัญหา Leakage</t>
  </si>
  <si>
    <t>งานวิจัยใช้เทคนิค CNN และ Seq2Seq สำหรับการประมวลผลรูปภาพและข้อความ ไม่เกี่ยวข้องกับ Graph-based APT Detection</t>
  </si>
  <si>
    <t>ปัจจุบันการตรวจจับสามารถทำได้แค่ระดับหน้าต่างเวลา (Window level) แต่ยังระบุเจาะจงข้อความ (Message level) ที่มุ่งร้ายไม่ได้</t>
  </si>
  <si>
    <t>พัฒนาระบบที่ยังคงความเบาบาง (Lightweight) แต่มีความแม่นยำสูงขึ้นจนถึงระดับสามารถระบุตัวข้อความประสงค์ร้ายเฉพาะจุดได้</t>
  </si>
  <si>
    <t>แสดงให้เห็นว่าการเลือกสกัดฟีเจอร์ทางทฤษฎีกราฟให้สอดคล้องกับพฤติกรรมการโจมตี ร่วมกับโมเดลพื้นฐาน สามารถให้ผลลัพธ์ที่ดีและกินทรัพยากรต่ำ เหมาะสมกับ Resource-constrained environment เช่น รถยนต์</t>
  </si>
  <si>
    <t>ไม่ได้พิจารณาและไม่ได้นำเสนอเทคนิคเพื่อลดการรั่วไหลของข้อมูลเลย</t>
  </si>
  <si>
    <t>รองรับ Explainability ได้อย่างเป็นรูปธรรมผ่านโครงสร้างของ CART Decision Tree และการประเมิน Feature Importance แต่ยังไม่ครอบคลุมกราฟแบบ Dynamic หรือ Heterogeneous</t>
  </si>
  <si>
    <t>claim of not using payload-related data to be able to cope with encrypted communication, targeted attacks and unknown threats is rarely address in current research</t>
  </si>
  <si>
    <t>Further investigations are necessary to improve the shown principles and make them usable for the defined requirements.; Extrusion and data leakage detection techniques have to be analyzed regarding the capability to be adapted to network-based systems.</t>
  </si>
  <si>
    <t>ชี้นำให้วงการวิจัยพัฒนาระบบตรวจจับการบุกรุกแบบเครือข่ายที่ไม่พึ่งพา Payload และแก้ไขปัญหาความเสี่ยงของการปนเปื้อน (contamination) ในขั้นตอนการเทรนผ่าน Unsupervised learning</t>
  </si>
  <si>
    <t>การจำลองและการทดสอบยังจำกัดอยู่ในขอบเขตของ Simulator ด้วยพารามิเตอร์ที่ถูกกำหนดไว้คงที่</t>
  </si>
  <si>
    <t>Security against illegal packet requests, packet flushing, packet duplication; Validate the proposed method in embedded system applications such as smart-TV SoC</t>
  </si>
  <si>
    <t>แสดงให้เห็นถึงความสำคัญและประสิทธิภาพของการฝังกลไกความปลอดภัยระดับฮาร์ดแวร์ ได้แก่ Data Encryption, Bit Shuffling, และ Routing Algorithm ภายในระบบ Network-on-Chip (NoC) เพื่อป้องกันภัยคุกคามรูปแบบ Hardware Trojan ตั้งแต่ขั้นตอนการออกแบบอุปกรณ์ Consumer Electronics</t>
  </si>
  <si>
    <t>Need to advance the scientific understanding of human-device behavioral relationships, multi-modality behavior fusion, and spatio-temporal behavioral patterns.</t>
  </si>
  <si>
    <t>Development of unsupervised user reasoning mechanisms that allow the system to learn anomalies from a user's own behavior or affinity groups.</t>
  </si>
  <si>
    <t>เป็นการกำหนดทิศทาง (Vision) ให้เห็นถึงความสำคัญของการสร้าง Graph ทางพฤติกรรมข้ามอุปกรณ์ (Cross-device) เพื่อแก้ปัญหาข้อจำกัดของระบบรักษาความปลอดภัยบนมือถือแบบเดิม</t>
  </si>
  <si>
    <t>สนับสนุนแนวคิดการใช้ Dynamic Heterogeneous Graph แบบชัดเจน และกล่าวถึงการแสดงหลักฐาน (Evidence) ใน UI ให้นักวิเคราะห์สืบสวนต่อได้ ซึ่งสอดคล้องกับแนวคิดด้าน Explainability แม้จะไม่มีรายละเอียดเชิงโมเดล</t>
  </si>
  <si>
    <t>ขาดการทดสอบความคงทนของโมเดลต่อ Concept Drift ในสภาพแวดล้อม IoT; ไม่มีการประเมินผลและควบคุมประเด็น Train-test contamination บน CIC-IDS2017 dataset</t>
  </si>
  <si>
    <t>การผนวกเทคนิค Differential Privacy (DP) และ Homomorphic Encryption เพื่อเพิ่มระดับการปกป้องความเป็นส่วนตัว; การพัฒนา Federated Continual Learning (FCL) เพื่อให้ IDS สามารถปรับตัวเข้ากับภัยคุกคามไซเบอร์เกิดใหม่ได้</t>
  </si>
  <si>
    <t>แสดงให้เห็นว่า Hierarchical FL เป็นทางเลือกที่ยั่งยืนในการรักษาสมดุลระหว่างประสิทธิภาพการตรวจจับ การประหยัดทรัพยากร (พลังงานและแบนด์วิดท์) และการรักษาความเป็นส่วนตัวของเครือข่าย IoT</t>
  </si>
  <si>
    <t>ไม่ได้กล่าวถึง Sampling strategy หรือวิธีการจัดการ Leakage-aware ในกระบวนการประเมินผล</t>
  </si>
  <si>
    <t>ไม่ได้ใช้ Graph-based model และไม่ได้เน้นเรื่อง Explainability ภายในตัวโมเดล</t>
  </si>
  <si>
    <t>การใช้ Pattern Matching ทั่วไปอาจไม่เพียงพอสำหรับรูปแบบข้อมูลที่ซับซ้อน; ขาดการวัดผลเรื่อง False Positives และ False Negatives อย่างเป็นระบบ</t>
  </si>
  <si>
    <t>การปรับจูนระบบให้สแกนเจาะจงเฉพาะบางประเภทไฟล์ เช่น การสแกนส่วนหัวของไฟล์ PNG เพื่อแยกแยะข้อมูลที่ละเอียดอ่อน</t>
  </si>
  <si>
    <t>แสดงให้เห็นว่าการตรวจสอบในระดับ Hypervisor (VMI) สามารถแก้ปัญหาข้อจำกัดเรื่องการเข้ารหัสข้อมูล (Encryption) ของระบบ Network DLP แบบดั้งเดิมได้</t>
  </si>
  <si>
    <t>ไม่ได้นำเสนอโมเดล Machine Learning จึงไม่มีประเด็นเกี่ยวกับการทำ Sampling strategy</t>
  </si>
  <si>
    <t>ไม่ได้ใช้วิธีการทางกราฟหรือเทคนิคการเรียนรู้ที่สามารถอธิบายได้ (Explainable AI)</t>
  </si>
  <si>
    <t>Since the suggested method is based on a symmetric algorithm, it is impossible to adapt it to a web context where numerous users frequently access the same data object.</t>
  </si>
  <si>
    <t>By lowering the confidence level placed in third party agents in the cryptographic services, our future work can be furthered.; Additionally, it examines the agent guilt model, which aids in stopping more leakage cases.</t>
  </si>
  <si>
    <t>แสดงให้เห็นศักยภาพของการใช้การเรียนรู้เชิงลึกแบบแบ่งศูนย์ร่วมกับ Generative Regression Kernel SVM ในการจัดหมวดหมู่พฤติกรรมคุกคามภายในองค์กร</t>
  </si>
  <si>
    <t>เปเปอร์ไม่ได้กล่าวถึงปัญหา ML Evaluation Bias หรือวิธีการสุ่มตัวอย่างเพื่อลด Data Leakage</t>
  </si>
  <si>
    <t>ไม่ได้ใช้วิธีการวิเคราะห์ข้อมูลในรูปแบบกราฟ (Graph-based detection) หรือโมเดลที่สามารถอธิบายได้ในตัวเอง</t>
  </si>
  <si>
    <t>ไม่มีการกล่าวถึงผลกระทบจากการกระจายตัวเชิงเวลา (temporal shift) ของพฤติกรรมการโจมตีในโลกแห่งความเป็นจริง; ขาดการอธิบายผลการทำนาย (Explainability) ของเหตุการณ์บุกรุกในระดับลำดับเหตุการณ์ย่อย</t>
  </si>
  <si>
    <t>เน้นย้ำถึงความจำเป็นของการจัดการข้อมูล Imbalance แบบ Non-IID ในสถาปัตยกรรม Federated Learning สำหรับงานระบบตรวจจับผู้บุกรุกแบบ Host-based</t>
  </si>
  <si>
    <t>มีการนำเสนอการทำ Oversampling ด้วย SMOTE เพื่อแก้ปัญหาความไม่สมดุลของข้อมูลเชิงตัวแทนกลุ่ม (Non-IID) แต่ไม่มีนโยบายการ Sampling ที่ระวังเรื่อง Data Leakage ทางเวลา</t>
  </si>
  <si>
    <t>งานวิจัยใช้เพียง LSTM วิเคราะห์ system call sequences เบื้องต้น ไม่ได้ใช้สถาปัตยกรรมทางกราฟ และไม่ได้เน้นเรื่องความสามารถในการอธิบาย (Explainability)</t>
  </si>
  <si>
    <t>The paper provides a theoretical architecture but lacks empirical validation, metrics, and real-world dataset evaluation.; The practical challenges of dynamic application changes and defining complex Markov decision processes remain unaddressed experimentally.</t>
  </si>
  <si>
    <t>Build and test the prototype system to address questions on overhead, trust in automated decisions, and legislative frameworks.</t>
  </si>
  <si>
    <t>เสนอกรอบแนวคิดในการรับมือกับผู้โจมตีเชิงรุกบนสภาพแวดล้อม Multi-tenant Cloud โดยเน้นไปที่การขัดขวางในช่วง Gap analysis</t>
  </si>
  <si>
    <t>บทความไม่มีการกล่าวถึง Data leakage, การแบ่งข้อมูล, หรือ Sampling strategy แต่อย่างใด</t>
  </si>
  <si>
    <t>มีการประยุกต์ใช้ Finite State Machines (ซึ่งเป็นรูปแบบหนึ่งของ Graph) เพื่อทำแผนผังพฤติกรรมที่อธิบายได้ (Explainable map) ว่าการโจมตีเกิดขึ้นเมื่อเบี่ยงเบนออกจากเส้นทางที่ระบบกำหนดไว้</t>
  </si>
  <si>
    <t>ขาดการประเมินผลเชิงประจักษ์ (Empirical evaluation) บนระบบ Cloud จริง; ใช้ข้อสมมติฐานว่าฟังก์ชันผลตอบแทนมีความคงที่ (Stationary function) ซึ่งอาจไม่สะท้อนพลวัตที่แท้จริงในระบบจริงทั้งหมด</t>
  </si>
  <si>
    <t>สร้างรากฐานทางทฤษฎีในการหาระยะเวลาและจังหวะที่เหมาะสมสำหรับการวางแผน Moving Target Defense (MTD) เพื่อลดความเสี่ยงที่ข้อมูลจะรั่วไหลจากการโจมตีประเภท Side-channel</t>
  </si>
  <si>
    <t>ขาดแคลน unified evaluation benchmarks และ consistent transformation protocols ในการวิจัยด้าน hashing; ไม่มี universally accepted criteria สำหรับประเมิน robustness, accuracy, และ collision resistance</t>
  </si>
  <si>
    <t>ควรสร้าง standardized benchmarks เพื่อเพิ่ม transparency และ interoperability; พัฒนาระบบที่ผนวก resilient hashing techniques; ปรับปรุง regulatory frameworks ให้รองรับ probabilistic nature ของเครื่องมือเหล่านี้</t>
  </si>
  <si>
    <t>เน้นย้ำความจำเป็นเร่งด่วนในการพัฒนาเทคโนโลยี hashing ให้มีความแข็งแกร่ง (robustness) ควบคู่ไปกับการปรับปรุงกฎหมายเพื่อรักษาสมดุลระหว่างประสิทธิภาพการตรวจจับและการปกป้องความเป็นส่วนตัว</t>
  </si>
  <si>
    <t>บทความไม่ได้กล่าวถึง Graph-based APT Detection หรือ strategic sampling</t>
  </si>
  <si>
    <t>บทความไม่ได้กล่าวถึง Graph-based APT Detection หรือการอธิบายผลในรูปแบบกราฟ</t>
  </si>
  <si>
    <t>การเพิกเฉยต่อการตั้งค่าการประเมินผลเชิงเวลา (Temporal Split) ในข้อมูล Streaming; ไม่มีการกล่าวถึงปัญหา Data leakage ที่อาจแฝงอยู่ในกระบวนการ 10-fold Cross-validation ร่วมกับการทำ ADASYN Oversampling</t>
  </si>
  <si>
    <t>the performance of the CIDDO-ADODNN model can be improved using feature selection and clustering techniques.</t>
  </si>
  <si>
    <t>แสดงให้เห็นถึงศักยภาพของกลไก Adaptive Sampling ควบคู่กับการตรวจจับ Drift เพื่อรับมือข้อมูลสตรีมที่มีความไม่สมดุลสูง แต่ยังคงทิ้งโจทย์ท้าทายเรื่องวิธีการประเมินผลที่รัดกุมกว่านี้</t>
  </si>
  <si>
    <t>มีการนำ Adaptive Synthetic (ADASYN) มาใช้สุ่มตัวอย่างข้อมูลกลุ่มน้อยให้สมดุล แต่ไม่ได้พิจารณาเรื่องประเด็น Leakage อย่างชัดเจน</t>
  </si>
  <si>
    <t>งานวิจัยนี้ประยุกต์ใช้เฉพาะ Deep Neural Networks ทั่วไปและไม่ได้ใช้ Graph-based model</t>
  </si>
  <si>
    <t>models trained on historical data may struggle to generalize to novel threats; prevalent class imbalance in the dataset; certain subtle indicators of malicious intent... might be overlooked</t>
  </si>
  <si>
    <t>incorporating dynamic behavioral features; advanced natural language processing techniques; online learning; ensemble methods</t>
  </si>
  <si>
    <t>เน้นย้ำความสำคัญของการทำ Feature Selection และทำความสะอาดข้อมูลเบื้องต้น แต่แสดงให้เห็นถึงจุดอ่อนของโมเดล Static Classification เมื่อเผชิญกับภัยคุกคามรูปแบบใหม่</t>
  </si>
  <si>
    <t>มีการระบุถึงการป้องกัน Data leakage เบื้องต้นผ่านการทำ Scaling และการลบข้อมูลซ้ำ แต่ไม่มีการนำเสนอเทคนิค Sampling ขั้นสูงเพื่อแก้ปัญหา Imbalance หรือการรั่วไหล</t>
  </si>
  <si>
    <t>ขาดแคลนโมเดลที่มีประสิทธิภาพสูงเชิงคำนวณและมี Precision, Recall, F1 Score ที่สมดุลสำหรับการตรวจจับการบุกรุกในอุปกรณ์ IoMT</t>
  </si>
  <si>
    <t>เพิ่มความทนทาน (Resilience) ของโมเดลต่อ Adversarial attacks; เพิ่มระดับความสามารถในการอธิบายการตัดสินใจของโมเดล (Decision explainability); เปรียบเทียบกับสถาปัตยกรรมอื่นด้วยจำนวน Feature ที่เท่ากัน</t>
  </si>
  <si>
    <t>ยกระดับการพัฒนา IDS ด้วยการสร้างมาตรฐานใหม่ที่คำนึงถึงปัญหา Data Leakage ในขั้นตอนการเตรียมข้อมูล เพื่อให้สามารถใช้งานจริงได้น่าเชื่อถือมากขึ้น</t>
  </si>
  <si>
    <t>มีการออกแบบขั้นตอนอย่างชัดเจนโดยแยก Testing set ออกก่อนใช้เทคนิค SMOTEENN ในกระบวนการ Data balancing เพื่อป้องกัน Data Leakage</t>
  </si>
  <si>
    <t>งานวิจัยใช้เพียง Network flow metrics และ Biometrics ในรูปแบบ tabular data ไม่มีการใช้กราฟหรือกล่าวถึงโครงสร้างทางกราฟ</t>
  </si>
  <si>
    <t>โมเดลปัจจุบันยังไม่มีกลไกสำหรับการทำงานในสภาพแวดล้อมแบบกระจายศูนย์อย่างแท้จริง เช่น Federated Learning</t>
  </si>
  <si>
    <t>เสนอแนะให้บูรณาการ Federated Learning (FL) เข้ากับโมเดล WO-XGB เพื่อเพิ่มความสามารถในการปรับตัวในเครือข่าย IoT แบบกระจายศูนย์</t>
  </si>
  <si>
    <t>แสดงให้เห็นว่าโมเดล Ensemble Tree-based แบบดั้งเดิมที่ปรับกลไกให้รองรับ Concept Drift สามารถให้ประสิทธิภาพที่ทัดเทียมหรือดีกว่าโมเดล Deep Learning ที่ซับซ้อน</t>
  </si>
  <si>
    <t>Current models either designed to identify specific types of SCAs or lack scalability and transferability; Centralized training limitations concerning privacy and handling wide-scale cloud data</t>
  </si>
  <si>
    <t>Adaptation of the HEDL model to other SCA types, such as timing and electromagnetic attacks; Incorporating federated learning to enhance model scalability and privacy without data centralization; Testing the model across a variety of datasets from different hardware, varying noise levels, and unique environmental conditions</t>
  </si>
  <si>
    <t>การผสานโมเดล Deep Learning หลายสถาปัตยกรรมพร้อมกลไก Attention ช่วยยกระดับความแม่นยำและความน่าเชื่อถือในการอธิบายจุดเวลาสำคัญที่เกิดการรั่วไหลของข้อมูลในการตรวจจับ Side-Channel Attack บนระบบคลาวด์</t>
  </si>
  <si>
    <t>งานวิจัยนี้ไม่ได้ศึกษาในบริบทของ Graph-based APT และไม่ได้นำเสนอวิธีการสุ่มตัวอย่างเพื่อแก้ไขปัญหา Evaluation Bias หรือ Data Leakage โดยตรง</t>
  </si>
  <si>
    <t>ไม่ได้ใช้ข้อมูลรูปแบบกราฟ แต่มีโครงสร้างที่สามารถอธิบายได้ (Interpretability) จากการวิเคราะห์ Attention weights บน Sequence data เพื่อหาช่วงเวลาสำคัญที่เกิดการโจมตี</t>
  </si>
  <si>
    <t>Many algorithms only target one or several attacks.; However, it still cannot completely solve the security problem.</t>
  </si>
  <si>
    <t>Continue to improve our method, step out of the experimental simulation environment, and test our method in an actual environment.; Combine our algorithm with a current mature blockchain network Ethereum or Hyperledger Fabric.</t>
  </si>
  <si>
    <t>แสดงให้เห็นถึงความเป็นไปได้ในการใช้ระบบยืนยันตัวตนแบบกระจายศูนย์ (Blockchain) สำหรับการรักษาความปลอดภัยของข้อมูลเรดาร์การบินโดยไม่ต้องปรับเปลี่ยนโปรโตคอลฮาร์ดแวร์เดิม</t>
  </si>
  <si>
    <t>งานวิจัยนี้ไม่ได้พัฒนาโมเดล Machine Learning จึงไม่มีความเกี่ยวข้องกับกลยุทธ์การสุ่มข้อมูลเพื่อป้องกัน Leakage</t>
  </si>
  <si>
    <t>ใช้เพียงโครงสร้าง Merkle trees สำหรับเก็บรักษาข้อมูลบนบล็อกเชน ไม่ได้ใช้กราฟในเชิง ML เพื่อหาผลลัพธ์ที่สามารถอธิบายได้</t>
  </si>
  <si>
    <t>Future development should concentrate on minimizing computational overhead, optimizing ML model performance, and incorporating advanced AI methods</t>
  </si>
  <si>
    <t>แสดงให้เห็นถึงความสามารถในการผสาน Machine Learning กับสถาปัตยกรรม SDN เพื่อจัดการนโยบายความปลอดภัยแบบไดนามิก แม้ว่าจะยังขาดการประเมิน ML ที่รัดกุม</t>
  </si>
  <si>
    <t>The paper currently focuses only on data resampling and lacks evaluation of other methods like cost-sensitive kernel modification or active learning.; The study lacks feature extraction approaches for data structure improvement and model complexity reduction found in deep learning.</t>
  </si>
  <si>
    <t>Explore cost-sensitive kernel modification, active learning, and hybrid approaches to enhance performance.; Investigate deep learning techniques (e.g., CNN, DNN) with feature extraction approaches such as auto-encoders and deep stacked auto-encoders.</t>
  </si>
  <si>
    <t>งานวิจัยให้มุมมองที่ชัดเจนเกี่ยวกับการจัดการปัญหาความไม่สมดุลของชั้นข้อมูล (Highly imbalanced data) ในการคัดกรอง Alert ผ่านวิธี Resampling เชิงลึก ช่วยต่อสู้กับปัญหา Alert fatigue สำหรับ Security analysts</t>
  </si>
  <si>
    <t>มีการนำเสนอการทำ Strategic Sampling อย่างชัดเจน (ใช้การสร้าง Synthetic positive samples ร่วมกับการลบ Redundant negative samples) แต่ไม่ได้นำประเด็น Leakage ทางเวลามาบูรณาการในการ Sampling</t>
  </si>
  <si>
    <t>งานวิจัยนี้ไม่ได้ใช้วิธีการ Graph-based approach หรือมุ่งเน้นเรื่อง Explainability ภายในตัวแบบจำลอง (ใช้เพียง Vectorization แบบ One-hot encoding)</t>
  </si>
  <si>
    <t>ชี้ให้เห็นถึงข้อจำกัดของการวิเคราะห์ Information Flow เพียงอย่างเดียว และเน้นย้ำถึงความสำคัญของการรวมปัจจัยความตระหนักรู้และเจตนาของผู้ใช้เข้าในการตรวจจับมัลแวร์บนมือถือ</t>
  </si>
  <si>
    <t>เอกสารไม่มีเนื้อหาเกี่ยวข้องกับการสุ่มตัวอย่างข้อมูลหรือ ML Data Leakage</t>
  </si>
  <si>
    <t>เอกสารไม่ได้ใช้โครงสร้างกราฟ (Graph-based) ในการวิเคราะห์และตรวจจับ</t>
  </si>
  <si>
    <t>แสดงให้เห็นแนวคิดการผสานการเรียนรู้พฤติกรรมอัตโนมัติ (automata learning) เข้ากับ formal verification เพื่อสร้างและตรวจสอบนโยบายความปลอดภัยบน SDN</t>
  </si>
  <si>
    <t>ไม่มีการอภิปรายหรือใช้วิธีการสุ่มตัวอย่างและการควบคุม data leakage ใดๆ</t>
  </si>
  <si>
    <t>แม้จะใช้ Markov chains ในการสร้าง rule ซึ่งตีความได้ (automaton) แต่ไม่ได้อิงกับโครงสร้าง GNN หรือ Dynamic Heterogeneous Graph ที่มีความซับซ้อน</t>
  </si>
  <si>
    <t>Need to perform experiments with more elaborated attacks; Need additional datasets from Android and other constrained environments</t>
  </si>
  <si>
    <t>Performing complementary experiments with more elaborated attacks; Using additional datasets from Android applications and connected objects; Investigate different optimization techniques for deploying security chains; Pursue formal verification</t>
  </si>
  <si>
    <t>นำเสนอสถาปัตยกรรมและอัลกอริทึมในการทำ Factorization สำหรับชุด Security Chains ในเครือข่าย SDN เพื่อจัดการกับความซับซ้อนของการใช้ฟังก์ชันความปลอดภัยจำนวนมาก</t>
  </si>
  <si>
    <t>งานวิจัยนี้ไม่ได้กล่าวถึงปัญหา Data Leakage ในการฝึกสอนโมเดล Machine Learning แต่เน้นไปที่กระบวนการทางตรรกะศาสตร์ในการยุบรวมกฎ (Rule merging)</t>
  </si>
  <si>
    <t>งานวิจัยนี้ใช้ Graph เพื่อนำเสนอสายสัมพันธ์และการส่งผ่านข้อมูลระหว่าง Security Functions แบบตายตัว (Static) ไม่ได้ออกแบบมาเพื่อใช้ในฐานะโมเดล GNN ที่สามารถอธิบายผลลัพธ์พฤติกรรม Dynamic หรือ Heterogeneous ได้โดยตรง</t>
  </si>
  <si>
    <t>ยังขาดกลไกการเรียนรู้ที่สามารถปรับตัวต่อการโจมตีใหม่ๆ ได้อย่างอัตโนมัติ</t>
  </si>
  <si>
    <t>ปรับปรุงประสิทธิภาพของเทคนิค MTD ที่ใช้งานอยู่และพัฒนากลไก MTD ใหม่เพื่อรับมือพฤติกรรมมัลแวร์ประเภทอื่น; ผสานการทำงานของ Reinforcement Learning เข้ากับโมดูล MTD Enforcement เพื่อทำให้ระบบอัตโนมัติและปรับตัวได้ (fully automated and adaptive)</t>
  </si>
  <si>
    <t>แสดงให้เห็นว่าสามารถนำ Machine Learning มาใช้ประกอบการตัดสินใจของกลไก MTD ทั้งเชิงรุกและรับ (Proactive/Reactive) บนอุปกรณ์ IoT จริงได้อย่างมีประสิทธิภาพและประหยัดทรัพยากร</t>
  </si>
  <si>
    <t>งานวิจัยไม่ได้ระบุปัญหาหรือเสนอวิธีแก้ไขในหัวข้อ Data Leakage และ Strategic Sampling ในการประเมินผล</t>
  </si>
  <si>
    <t>งานวิจัยนี้ไม่ได้ใช้วิธีการวิเคราะห์ข้อมูลหรือตรวจจับผ่าน Graph-based model</t>
  </si>
  <si>
    <t>conventional machine learning (ML) methods ... has some limitations, like low convergence speed, inaccuracy, gradient vanishing problems, overfitting</t>
  </si>
  <si>
    <t>For obtaining the real-time IDS we can examine the proposed FKPCA-GWO WDBiLSTM in bigger datasets in the future.</t>
  </si>
  <si>
    <t>แสดงให้เห็นว่ากระบวนการ dimensionality reduction แบบ non-linear ร่วมกับ meta-heuristic optimization ช่วยปรับปรุงประสิทธิภาพของ deep learning สำหรับ IDS ได้</t>
  </si>
  <si>
    <t>ไม่ได้นำเสนอหรือใช้งานเทคนิค Sampling ที่จัดการกับ data leakage</t>
  </si>
  <si>
    <t>งานวิจัยนี้ไม่ได้ใช้วิธีการแบบ Graph-based</t>
  </si>
  <si>
    <t>In DPI, each signature specifies a group of common viruses... However, the digital contents owned by the enterprises are usually created manually... short-signature-based content scanning cannot be applied to implement DLPS.</t>
  </si>
  <si>
    <t>นำเสนอปัญหา Longest Overlap (LO) matching ที่แตกต่างจาก Longest Prefix (LP) ใน DPI แบบดั้งเดิม และโครงสร้าง Skip-Finite Automata สำหรับระบบ Data Leakage Prevention Systems (DLPS)</t>
  </si>
  <si>
    <t>บทความไม่ได้กล่าวถึง Machine Learning Sampling หรือ Evaluation Leakage แต่อย่างใด</t>
  </si>
  <si>
    <t>บทความใช้ Finite Automata สำหรับ String Matching ไม่ได้เกี่ยวข้องกับ Graph Neural Networks หรือ Graph Dynamics</t>
  </si>
  <si>
    <t>Not powerful enough to detect various OSes or various devices.</t>
  </si>
  <si>
    <t>Further experimentation to keep the integrity of digital evidences across different OSes and various devices.</t>
  </si>
  <si>
    <t>ช่วยวางมาตรฐานเชิงกระบวนการในการจัดเก็บข้อมูลหลักฐานที่ระเหยง่ายได้อย่างเป็นระบบเพื่อนำไปใช้ในการสืบสวนมัลแวร์ในขั้นต่อไป</t>
  </si>
  <si>
    <t>No adaptation or discussion of trajectory prediction algorithms has been implemented for cyberattacks of different degrees.</t>
  </si>
  <si>
    <t>Our future work will concentrate on carrying out extensive simulations using a large-scale realistic scenario to further assess the proposed algorithm's performance.</t>
  </si>
  <si>
    <t>แสดงให้เห็นถึงศักยภาพของ Federated Learning และ LSTM ในการรับมือกับการโจมตีทางไซเบอร์ในระบบ Internet of Vehicles โดยคำนึงถึงความเป็นส่วนตัวของข้อมูล</t>
  </si>
  <si>
    <t>ยังขาดมาตรฐานทางกฎหมายและการจัดการสำหรับบริษัทที่ใช้ระบบคลัสเตอร์ขนาดใหญ่ในการจัดการข้อมูล</t>
  </si>
  <si>
    <t>ควรมีการกำหนดมาตรฐานทางกฎหมายในการประมวลผลและจัดการข้อมูลของบริษัทเพื่อแก้ปัญหาข้อมูลรั่วไหลในอนาคต</t>
  </si>
  <si>
    <t>เน้นย้ำถึงความสำคัญของการตั้งค่าความปลอดภัยเริ่มต้นแบบรัดกุม (Secure default configurations) และการควบคุมการเข้าถึงฐานข้อมูลในระบบคลาวด์เพื่อป้องกัน Data Leakage ในระดับพื้นฐาน</t>
  </si>
  <si>
    <t>even with mature tools there is a gap between availability and adoption, that this paper proposes is due to the management challenges</t>
  </si>
  <si>
    <t>การติดตั้งระบบเทคโนโลยีความปลอดภัยจำเป็นต้องออกแบบควบคู่ไปกับกระบวนการบริหารจัดการ (Management considerations) และความเข้าใจบริบทข้อมูลขององค์กร</t>
  </si>
  <si>
    <t>ขาดการทดสอบกับชุดข้อมูลที่ถูกแบ่งแบบอิงตามเวลาเพื่อประเมินประสิทธิภาพในระยะยาว; ไม่ได้กล่าวถึงกลไกการลบข้อมูลซ้ำ (deduplication) หรือหลีกเลี่ยง train-test contamination ระหว่างชุดข้อมูลย่อยต่างๆ</t>
  </si>
  <si>
    <t>การพัฒนาและประเมินระบบเพิ่มเติมเพื่อให้สามารถตรวจจับและป้องกันการโจมตีในสภาพแวดล้อมทางไซเบอร์จริงได้อย่างมีประสิทธิภาพยิ่งขึ้น</t>
  </si>
  <si>
    <t>แสดงให้เห็นถึงศักยภาพของ Graph Neural Networks ควบคู่กับวิธี Non-local ในการลดความซับซ้อนเชิงเวลาและหน่วยความจำ เหมาะสำหรับการตรวจจับพฤติกรรมในระดับ Web Firewall อย่างฉับไว</t>
  </si>
  <si>
    <t>protocol identification model needs to consume lots of time and cost to label the network traffic dataset; Concept drift means that the underlying probability distribution between the features and the label varies at some stage</t>
  </si>
  <si>
    <t>we plan to improve current work to identify unknown protocols</t>
  </si>
  <si>
    <t>แสดงให้เห็นว่าการจัดการกับ Concept Drift ควบคู่กับ Class Imbalance ผ่าน Active Learning เป็นสิ่งจำเป็นสำหรับระบบ Network Traffic Analysis ในสภาวะจริงที่มีข้อมูลไหลเข้ามหาศาลตลอดเวลา</t>
  </si>
  <si>
    <t>มีการใช้กลยุทธ์สุ่มตัวอย่างเพื่อหาตัวแทนข้อมูลที่ดีที่สุดอย่าง Strategic (ผ่าน Active Learning / Margin / Imbalance ratio) แม้จะไม่ได้ออกแบบมาเพื่อแก้ Leakage ใน Graph</t>
  </si>
  <si>
    <t>ไม่ได้ใช้ Graph หรือพูดถึง Explainability ในงานวิจัยนี้</t>
  </si>
  <si>
    <t>The indirect cost of a control is modelled as being shared collectively by all members of an SME.; Values are subjective and informed by related security usability research.</t>
  </si>
  <si>
    <t>Engage with SMEs and their employees directly, through interview and survey exercises.; Inform a richer and more granular set of realistic SME archetypes which can be modelled.</t>
  </si>
  <si>
    <t>ชี้ให้เห็นถึงความจำเป็นในการผนวกภาระทางปัญญาและข้อจำกัดทางทรัพยากรมนุษย์ (Indirect costs) เข้าไปในโมเดลการประเมินการลงทุนด้านความปลอดภัยทางไซเบอร์ เพื่อป้องกันการเกิด Insider threat แบบไม่ตั้งใจใน SMEs</t>
  </si>
  <si>
    <t>ไม่เกี่ยวข้องเนื่องจากบทความไม่ได้เน้นการประเมินผลตัวแบบ Machine Learning</t>
  </si>
  <si>
    <t>บทความไม่ได้ใช้วิธีการวิเคราะห์ข้อมูลหรือการตรวจจับบนพื้นฐานของกราฟ (Graph-based detection)</t>
  </si>
  <si>
    <t>Susceptibility to highly sophisticated adversarial attacks that may exploit intricate data correlations; Deploying it in real-time automated disease detection systems poses practical challenges</t>
  </si>
  <si>
    <t>Further research into advanced adversarial defense mechanisms; Enhancing the model's interpretability further; Addressing data privacy, real-time processing constraints, and scalability</t>
  </si>
  <si>
    <t>เป็นแนวทางเพิ่มความปลอดภัยให้ระบบวิเคราะห์ข้อมูลทางสุขภาพในยุค Healthcare 4.0 ผ่านการบูรณาการกลไกตรวจจับการรบกวนแบบ adversarial เข้ากับโมเดลพื้นฐานอย่าง MLP</t>
  </si>
  <si>
    <t>ไม่ได้กล่าวถึงการควบคุม data leakage หรือกลยุทธ์การสุ่มตัวอย่างที่เฉพาะเจาะจงเพื่อลด bias</t>
  </si>
  <si>
    <t>งานวิจัยนี้อิงกับสถาปัตยกรรม Multilayer Perceptron (MLP) ไม่ได้ใช้กราฟในการประมวลผล</t>
  </si>
  <si>
    <t>ไม่มีการประเมินบนชุดข้อมูลสมัยใหม่ที่ซับซ้อนขึ้น; ไม่พิจารณาประเด็นด้าน Evaluation Bias และ Data Leakage จากการใช้ KDD99</t>
  </si>
  <si>
    <t>นำเสนอเทคนิคที่น่าสนใจในการลด Overhead ของระบบ IDS เครือข่ายด้วยการส่งต่อเฉพาะข้อมูลที่มีระดับความเบี่ยงเบนสูงเข้าสู่แกนวิเคราะห์กลาง</t>
  </si>
  <si>
    <t>ไม่ได้กล่าวถึงการจัดการ Data Leakage หรือวิธีการทำ Sampling แต่อย่างใด</t>
  </si>
  <si>
    <t>งานวิจัยนี้ไม่ได้ใช้วิธีการวิเคราะห์แบบกราฟ (Graph-based) แต่วิเคราะห์ผ่านทางสถิติ (Mahalanobis Distance / Triangle Area Map)</t>
  </si>
  <si>
    <t>The system currently operates sequentially over a mono line; Some errors were introduced by the spell-correction due to a failure to recognise proper names</t>
  </si>
  <si>
    <t>Incorporate multiple carrier frequencies to act as a Full-duplex type resulting in better performance; Use the Hamming code to correct any errors; Use n-gram models to improve spell-corrector's performance</t>
  </si>
  <si>
    <t>ชี้ให้เห็นช่องโหว่ใหม่ด้านความปลอดภัยบนอุปกรณ์เคลื่อนที่ โดยผู้โจมตีสามารถใช้ Voice channel เป็นช่องทางสื่อสารสำหรับ APT Command &amp; Control หรือขโมยข้อมูลลับได้โดยไม่ถูกตรวจจับโดย DLP แบบดั้งเดิม</t>
  </si>
  <si>
    <t>งานวิจัยนี้ไม่ได้เกี่ยวกับกลยุทธ์การสุ่มข้อมูลหรือการแก้ปัญหา Leakage ใน Machine Learning</t>
  </si>
  <si>
    <t>ไม่ได้นำเสนอโมเดล Graph Neural Networks หรือแนวคิดด้าน Explainability แต่อย่างใด</t>
  </si>
  <si>
    <t>เป็นการปูทางสำหรับการนำกระบวนทัศน์ Zero Trust มาใช้ในแอปพลิเคชันการสื่อสารแบบเรียลไทม์เพื่อยกระดับความปลอดภัยข้อมูลส่วนบุคคล</t>
  </si>
  <si>
    <t>การประเมินถูกจำกัดด้วยความเรียบง่ายของชุดข้อมูล IDSAI (dataset simplicity); ขาดการประเมินความสามารถในการ generalization บน unseen devices และเงื่อนไขเครือข่ายจริงที่หลากหลาย</t>
  </si>
  <si>
    <t>ทำการทดสอบเพิ่มเติมในอนาคตโดยใช้ชุดข้อมูลที่มีความท้าทายและหลากหลายมากขึ้น; รวมเทคนิค federated และ hybrid learning methodologies สำหรับระบบ IoT ที่เปลี่ยนแปลงตลอดเวลา</t>
  </si>
  <si>
    <t>สร้างมาตรฐานและแนวทางพื้นฐานสำหรับการประเมิน Lightweight IDS ที่คำนึงถึงปัญหา Data Leakage และ Overfitting อย่างเป็นระบบใน WSNs</t>
  </si>
  <si>
    <t>เน้นย้ำปัญหาของ dataset artifacts ที่ทำให้ผลประเมินสูงเกินจริง และแก้ปัญหาพื้นฐานด้วย in-fold preprocessing เพื่อป้องกัน leakage</t>
  </si>
  <si>
    <t>งานวิจัยนี้ประเมินเฉพาะโมเดล Machine Learning มาตรฐานแบบตาราง ไม่ได้ใช้ Graph-based approach แต่อย่างใด</t>
  </si>
  <si>
    <t>Little is known about the firm's actions toward data breach incidents, and how investors react to firms' actions.; The current research was narrowly focused on breaches of PII and used a very constricting definition of what type of event constituted a data breach.</t>
  </si>
  <si>
    <t>Evaluate the effect of other post-breach actions on ARs on a more granular level, such as the enactment of cyber insurance policies.; Conduct research focused on non-US markets for greater generalizability to international markets.; Apply both parametric and nonparametric tests to identify any skewness or abnormalities in CAAR analysis.</t>
  </si>
  <si>
    <t>ชี้ให้เห็นความสำคัญของความผันผวนของตลาดต่อระดับปฏิกิริยาเชิงลบของนักลงทุนในการประกาศข้อมูลรั่วไหล และสะท้อนมุมมองที่นักลงทุนอาจกังวลต่อการโจมตีบางประเภทน้อยกว่าประเภทอื่น</t>
  </si>
  <si>
    <t>ไม่เกี่ยวข้องกัน เนื่องจากเป็นงานวิจัยทางเศรษฐศาสตร์และการเงิน</t>
  </si>
  <si>
    <t>ไม่เกี่ยวข้องกัน ไม่มีการใช้กราฟในงานวิจัยนี้</t>
  </si>
  <si>
    <t>The detection efficacy markedly diminished, with only denial-of-service (DoS) attacks being consistently recognised when confronted with distributional shifts; Models are compelled to categorise unfamiliar patterns based on decision boundaries defined by merely 3-4 attack types</t>
  </si>
  <si>
    <t>Integrating the suggested CNN-GRU model with software-defined networking (SDN); Evaluate using the CrySyS dataset of CAN traffic logs containing fabrication and masquerade attacks; Integrating the system into the Robot Operating System (ROS) architecture; Applying domain adaptation and continual learning methodologies</t>
  </si>
  <si>
    <t>เน้นย้ำความสำคัญของการกำหนดกรอบการประเมินผลระบบ IDS แบบใหม่ที่ต้องปลอดจากการรั่วไหลของข้อมูล (Leakage-free) โดยบังคับใช้การทดสอบข้ามโดเมนและการวิเคราะห์ Time-window เพื่อป้องกัน Overstated performance ในการพัฒนา Autonomous Vehicles</t>
  </si>
  <si>
    <t>มีการหลีกเลี่ยง Data leakage ด้วยวิธีการประเมินข้ามโดเมนเอนทิตี (Cross-vehicle) และแบ่งชุดข้อมูลประเมินแบบอิงตามช่วงเวลาจำลอง (Time-window) ซึ่งสนับสนุนแนวคิดเรื่อง Leakage-aware evaluation ได้เป็นอย่างดี</t>
  </si>
  <si>
    <t>งานวิจัยไม่ได้ใช้ข้อมูลรูปแบบ Graph แต่ใช้ multivariate time-series data ผ่าน CNN-GRU architecture เท่านั้น</t>
  </si>
  <si>
    <t>อัลกอริทึมนี้ยังไม่ได้ประยุกต์ใช้กับโจทย์ที่ซับซ้อนอย่าง Graph-based anomaly detection; ขาดการออกแบบกลไกป้องกัน Data Leakage ด้านเวลาที่รัดกุมในการแบ่งชุดข้อมูล Train/Test</t>
  </si>
  <si>
    <t>การเพิ่มกลไก Drift detection; การปรับปรุงอัลกอริทึมให้สามารถทำงานบน Parallel computing platform เพื่อรองรับ Big data</t>
  </si>
  <si>
    <t>กลยุทธ์การสุ่มแบบมุ่งเน้น (Propagation) ตัวอย่างที่โมเดลจำแนกผิด (เสมือน Hard examples) สามารถนำไปประยุกต์ในกระบวนการ Sampling สำหรับกราฟข้อมูลความปลอดภัย (Security graph) เพื่อรับมือปัญหา Imbalance ได้</t>
  </si>
  <si>
    <t>เสนอแนวคิดการส่งต่อ misclassified instances เข้าสู่ Bag chunk ถัดไป ซึ่งเป็นเสมือนกระบวนการ Hard negative sampling แต่ไม่ได้คำนึงถึงกรอบของ Leakage awareness โดยตรง</t>
  </si>
  <si>
    <t>ไม่ได้ใช้ Graph data และไม่มีการพูดถึงโครงสร้าง Heterogeneous graph หรือ Intrinsic explainability เลย</t>
  </si>
  <si>
    <t>ขาดการประเมินประสิทธิภาพของระบบกับแอปพลิเคชันจำนวนมากอย่างเป็นรูปธรรม; การวิเคราะห์ยังจำกัดอยู่ที่พฤติกรรมข้อมูลรั่วไหลผ่านบางช่องทาง (เช่น WebView, HTTP, SMS) ไม่ครอบคลุมช่องโหว่ประเภทอื่น</t>
  </si>
  <si>
    <t>revise our method into an integrated system for malware analysis; expand it to fit for more forms of mobile apps; increase the accuracy of malware distinction on a found app</t>
  </si>
  <si>
    <t>เป็นแนวคิดพื้นฐานในการใช้ Data flow / API path tracing เพื่อตรวจสอบพฤติกรรมมัลแวร์บนมือถือ ซึ่งสามารถนำไปขยายผลร่วมกับ Graph-based representation ได้ในอนาคต</t>
  </si>
  <si>
    <t>งานวิจัยไม่ได้ประยุกต์ใช้โมเดล Machine Learning จึงไม่มีการแบ่งชุดข้อมูลหรือเทคนิคการสุ่มตัวอย่าง</t>
  </si>
  <si>
    <t>สนับสนุนแนวทางของ Explainability โดยอาศัยการแกะรอย Dynamic Data Flow Path ซึ่งเป็นโครงสร้างเส้นทางเชิงกราฟเพื่อใช้อธิบายแหล่งที่มาของพฤติกรรมอันตราย (Malicious behaviors) ได้อย่างตรงไปตรงมา</t>
  </si>
  <si>
    <t>The tool does not consider information leakages across multiple components within Android applications.; Limitations of static taint analysis on malware using reflection, native code, or obfuscation techniques.</t>
  </si>
  <si>
    <t>Combine taint analysis tool that can precisely model intercomponent communications (ICC).; Investigate a hybrid approach that combines static and dynamic taint analysis.</t>
  </si>
  <si>
    <t>แสดงให้เห็นว่าการวิเคราะห์ความแตกต่างของความถี่ในการเกิด Data flow สามารถเป็น Feature selection เชิงกลยุทธ์ที่ช่วยยกระดับระบบ Anomaly Detection สำหรับมัลแวร์ได้</t>
  </si>
  <si>
    <t>เปเปอร์นี้ไม่ได้นำเสนอเทคนิคการสุ่มหรือจัดการ Data Leakage ที่เกี่ยวข้องกับโครงสร้างกราฟหรือเวลาอย่างเป็นระบบ</t>
  </si>
  <si>
    <t>ใช้โครงสร้าง Static Data-flow Graph เพื่อสกัดข้อมูลเบื้องต้น แต่ในขั้นตอนสร้างโมเดลเปลี่ยนไปใช้รูปแบบ Vector-based One-Class SVM ไม่ได้ใช้ Graph Learning โดยตรง</t>
  </si>
  <si>
    <t>ข้อมูลมีความซับซ้อนและมี Noise สูงส่งผลให้ประสิทธิภาพในบางคลาสยังทำได้ไม่ดี; การขาดการประเมินบนสถาปัตยกรรมแบบผสมเพื่อดึงคุณลักษณะเฉพาะที่ลึกซึ้งยิ่งขึ้น</t>
  </si>
  <si>
    <t>พัฒนามัลแวร์ classification โมเดลแบบผสม (hybrid CNN-LSTM) ร่วมกับ fully connected network; การนำโมเดลไปฝึกสอนในสภาพแวดล้อมที่ทรงพลังเช่น Graphical Processor Unit (GPU) หรือ Field Programmable Gate Array (FPGA)</t>
  </si>
  <si>
    <t>แสดงให้เห็นว่า Recurrent Neural Networks (LSTM) สามารถดึงแพทเทิร์นทางพฤติกรรมจาก API calls ได้ดีกว่า Machine Learning แบบพื้นฐาน</t>
  </si>
  <si>
    <t>ไม่ได้กล่าวถึงแนวทางการทำ Sampling Strategy หรือการป้องกัน Leakage เชิงลึกในบทความ</t>
  </si>
  <si>
    <t>งานวิจัยใช้ API Call Sequences แบบ Time-series data / Sequence modeling ไม่ได้ใช้โครงสร้างของ Graph และไม่เน้นเรื่อง Explainability</t>
  </si>
  <si>
    <t>ข้อจำกัดของการพึ่งพาเพียง Static permission โดยไม่มีข้อมูลพฤติกรรม Dynamic; การจำกัดอยู่เพียงข้อมูลชุดเดียวและขาดการทดสอบความทนทานต่อ Adaptive malware ตามเวลา</t>
  </si>
  <si>
    <t>การรวมฟีเจอร์แบบ Hybrid (Static + Dynamic); การตรวจสอบความถูกต้องข้ามชุดข้อมูล (Cross-dataset validation); การอัปเดตโมเดลแบบ Longitudinal เพื่อรับมือกับ Model drift</t>
  </si>
  <si>
    <t>เน้นย้ำความสำคัญของการออกแบบ ML Pipeline ที่ห่อหุ้มกระบวนการลดมิติข้อมูลและปรับสเกลไว้ในลูปการประเมินผล เพื่อความน่าเชื่อถือของการวิจัยเชิงสถิติด้านความปลอดภัย</t>
  </si>
  <si>
    <t>งานวิจัยแสดงให้เห็นปัญหาของ Feature Leakage และเสนอวิธีแก้ผ่าน Pipeline-validated Cross-validation อย่างชัดเจน แม้จะไม่ใช่ Graph data</t>
  </si>
  <si>
    <t>ไม่ได้ใช้ Graph หรือข้อมูลแบบ Heterogeneous แต่อย่างใด (ใช้เพียง Tabular binary features ของ Permissions)</t>
  </si>
  <si>
    <t>gaps remain in scalability, real-time effectiveness, and adaptability to defense-specific needs</t>
  </si>
  <si>
    <t>improving techniques such as privacy-preserving training and dynamic data sanitization; Research into adaptive security frameworks tailored to defense scenarios</t>
  </si>
  <si>
    <t>เน้นย้ำความจำเป็นในการพัฒนากรอบความปลอดภัยของ LLM ที่ตอบโจทย์การใช้งานทางการทหาร เช่น การทำงานร่วมกับ legacy systems และความแม่นยำสูงสุด</t>
  </si>
  <si>
    <t>The presence of data leakage issue is clearly seen when performing an evaluation of several models using the classical validation procedure.</t>
  </si>
  <si>
    <t>enhance the graph structure to cover any potential information loss; provide more information about specific attacks; extend this IDS to its distributed version in order to improve energy efficiency</t>
  </si>
  <si>
    <t>เป็นบทความสำคัญที่ชี้ให้เห็นว่าวงการ Cybersecurity จำเป็นต้องเลิกใช้ Random Split กับข้อมูล IDS และหันมาพิจารณา Entity-aware Split (เช่น IP-based) เป็นมาตรฐานเพื่อหลีกเลี่ยงผลลัพธ์ลวง</t>
  </si>
  <si>
    <t>ชี้ประเด็นปัญหา Data Leakage และ Correlated Data อย่างชัดเจน พร้อมเสนอ IP-based evaluation procedure มาช่วยลดปัญหา Train-test contamination</t>
  </si>
  <si>
    <t>โมเดลสร้าง Homogeneous Flow-based graph ที่ใช้การถ่วงน้ำหนักความคล้ายคลึง (Similarity weights) ร่วมกับ Attention Mechanism ทำให้เห็นความสัมพันธ์ของ Flow ได้ แต่ยังขาดคุณสมบัติ Dynamic และ Heterogeneous อย่างเต็มรูปแบบ</t>
  </si>
  <si>
    <t>ไม่มีการประเมินผลกระทบกรณีที่ภาพผ่านกระบวนการ post-processing ซ้อนทับหลายขั้นตอน; เปเปอร์เป็นโจทย์ Image Classification ซึ่งไม่ได้สอดคล้องกับ Graph-based APT Detection ตามโจทย์หลัก</t>
  </si>
  <si>
    <t>การปรับจูนระบบเพื่อใช้งานจริงในรูปแบบ Real-time บนโมบายด์ (Mobile forensics); พัฒนาสถาปัตยกรรมให้รองรับการทำงานในสภาพแวดล้อมที่มีข้อจำกัดด้านรันไทม์</t>
  </si>
  <si>
    <t>แสดงแนวทางที่มีประสิทธิภาพในการใช้ Compound scaling และ Focal Loss เพื่อจัดการกับความไม่สมดุลของคลาสในงาน Image Forensics</t>
  </si>
  <si>
    <t>เปเปอร์นี้ใช้วิธี Random Split และการปรับสมดุลธรรมดา ไม่ได้จัดการเรื่อง Leakage เป็นพิเศษ</t>
  </si>
  <si>
    <t>ไม่ได้ใช้ Graph ในการสร้างโมเดล เป็นการใช้ CNN วิเคราะห์ภาพแบบตารางพิกเซล</t>
  </si>
  <si>
    <t>ไม่ได้วิเคราะห์ข้อมูลกราฟอย่างแท้จริงโดยตรง เป็นเพียงการสร้าง Call graph เพื่อใช้นับจำนวนสถิติเป็นฟีเจอร์แบน (Flat vector features)</t>
  </si>
  <si>
    <t>นำโครงสร้าง Semantic-based features เช่น Data dependency graphs และ Control flow graphs มาใช้ในการจัดหมวดหมู่มัลแวร์ เพื่อสร้างโปรไฟล์พฤติกรรมมัลแวร์เชิงลึก</t>
  </si>
  <si>
    <t>แสดงให้เห็นศักยภาพของการใช้ Machine Learning เป็นตัวช่วยกรองฟีเจอร์ เพื่อลดภาระ (Computational overhead) ให้กับเครื่องมือวิเคราะห์ทางสถิติดั้งเดิม (Static taint analysis)</t>
  </si>
  <si>
    <t>ไม่ได้ครอบคลุมประเด็นเรื่อง Data leakage หรือวิธีการแบ่งข้อมูลแบบยุทธศาสตร์ในบทความ</t>
  </si>
  <si>
    <t>ผู้เขียนเพียงแต่นำเสนอในส่วน Future work ว่าการใช้ Graph representation แบบลึกซึ้ง (Semantic-based features) จะช่วยให้ระบุโปรไฟล์พฤติกรรมได้ละเอียดขึ้น แต่ยังไม่ได้พัฒนาในงานนี้</t>
  </si>
  <si>
    <t>Further research and development are required to enhance the accuracy, integration, and effectiveness of these techniques in comprehensive BYOD security strategies.</t>
  </si>
  <si>
    <t>Organizations should carefully evaluate their specific needs and consider a combination of AI techniques that complement each other.</t>
  </si>
  <si>
    <t>ชี้ให้เห็นถึงความจำเป็นในการนำเทคนิค AI หลายรูปแบบมาประยุกต์ใช้ร่วมกัน (Combination) เพื่อยกระดับความปลอดภัยและปกป้องข้อมูลในสภาพแวดล้อม BYOD ที่มีพลวัตสูง</t>
  </si>
  <si>
    <t>บทความไม่ได้กล่าวถึงการสุ่มตัวอย่าง (Sampling) หรือปัญหา Data leakage ในการฝึกสอนโมเดล</t>
  </si>
  <si>
    <t>บทความไม่ได้ใช้โครงสร้างข้อมูลแบบกราฟ หรือกล่าวถึงความสามารถในการอธิบายผล (Explainability) เชิงโครงสร้าง</t>
  </si>
  <si>
    <t>we only assessed single infotainment OS; we did not utilize a real car; our study did not propose a specific framework or methodology</t>
  </si>
  <si>
    <t>extend our research to assess AAOS, QNX, and AGL implemented in real cars</t>
  </si>
  <si>
    <t>เน้นย้ำถึงความเสี่ยงร้ายแรงของระบบ IVI และเสนอให้มีมาตรการป้องกันเบื้องต้น เช่น Fine-grained access control, การจำลอง Testbed, และการติดตั้ง Firewall</t>
  </si>
  <si>
    <t>The dependency on high-performance computing resources restricts the scalability of XR security solutions.; Current security solutions are largely reactive, detecting threats only after they have occurred.</t>
  </si>
  <si>
    <t>Adaptive threat models specifically tailored to the unique vulnerabilities of XR.; Research into quantum-resistant cryptographic algorithms.; Investigation into lightweight security protocols that are optimized for resource-constrained devices.</t>
  </si>
  <si>
    <t>เน้นย้ำความจำเป็นในการพัฒนามาตรการความปลอดภัยที่สมดุลระหว่างประสิทธิภาพการป้องกันและประสบการณ์ผู้ใช้ในสภาพแวดล้อม XR</t>
  </si>
  <si>
    <t>The system's accuracy takes a toll in case of code obfuscation.</t>
  </si>
  <si>
    <t>Identifying malwares in linux systems as well.; Use sophisticated disassemblers which can reduce the code to original flow.</t>
  </si>
  <si>
    <t>การสร้าง Static CFG จาก API Call สามารถใช้ระบุมัลแวร์ทั่วไปได้ดี แต่ยังมีช่องโหว่เมื่อเจอกับเทคนิค Evasion ทั่วไป เช่น Obfuscation ซึ่งแสดงให้เห็นว่าควรมีการประเมินในสภาวะที่มี Adversarial resistance ร่วมด้วย</t>
  </si>
  <si>
    <t>ไม่ได้อภิปรายหรือระบุเทคนิคการสุ่มตัวอย่างที่ป้องกันการรั่วไหลของข้อมูล (Leakage) เลย</t>
  </si>
  <si>
    <t>มีการใช้ Chi-squared สำหรับหา Important feature เพื่อช่วยอธิบายโมเดลบ้างเบื้องต้น แต่ไม่ได้เน้นกลไก Intrinsic Explainability ใน GNN โดยตรง</t>
  </si>
  <si>
    <t>AHR cannot distinguish the tunneling traffic when the tunneling query transmission interval is large; A naive filter derived from AHR might give a false alarm for this kind of new web access</t>
  </si>
  <si>
    <t>Investigate another cache-property-aware feature toward proposing a rare event detection method</t>
  </si>
  <si>
    <t>การเปลี่ยนกระบวนทัศน์จากการตรวจจับรูปแบบ (Payload/FQDN) ไปสู่การพิจารณาพฤติกรรมโครงสร้างการแคช (Cache property) ทำให้ผู้โจมตีทำ Obfuscation ได้ยากขึ้น</t>
  </si>
  <si>
    <t>The duration required to generate the dump is satisfactory for smaller processes but needs improvement for more extensive processes.</t>
  </si>
  <si>
    <t>Develop a privacy-preserving customized kernel integrated into the OS internally by changing core system calls</t>
  </si>
  <si>
    <t>แสดงให้เห็นว่าการผสานเทคโนโลยี NLP (BERT) เข้ากับการตรวจสอบระดับระบบปฏิบัติการ (Kernel Interception) สามารถนำมาประยุกต์ใช้เพื่อลดปัญหา data leakage จาก malicious insiders ได้</t>
  </si>
  <si>
    <t>งานวิจัยนี้ไม่ได้อ้างอิงถึงโครงสร้างข้อมูลแบบกราฟ และไม่ได้กล่าวถึงปัญหา Data Leakage หรือการสุ่มข้อมูลเชิงกลยุทธ์เลย</t>
  </si>
  <si>
    <t>ไม่ได้ใช้แบบจำลองกราฟ (Graph) แต่ใช้ BERT ซึ่งเป็น Text-based classification โมเดลเท่านั้น</t>
  </si>
  <si>
    <t>การปรับค่า VS threshold ในปัจจุบันยังต้องอาศัยการกำหนดค่าแบบ manual เพื่อหาจุดที่เหมาะสมที่สุด; การประเมินผลยังทำบนชุดข้อมูลที่มีขนาดเล็ก (1000 samples) ซึ่งอาจยังไม่ครอบคลุมความหลากหลายของ Malware</t>
  </si>
  <si>
    <t>พัฒนาอัลกอริทึมที่สามารถคัดเลือก TPs ที่ให้ผลลัพธ์ที่ดีที่สุดได้โดยอัตโนมัติ (Automated Selection); ประเมินผลความสามารถของวิธีที่นำเสนอกับ dataset ที่มีขนาดใหญ่มากขึ้น</t>
  </si>
  <si>
    <t>แสดงให้เห็นถึงความสำคัญของ Solution Space ในขั้นตอน Feature Selection ของงาน Time-interval-based detection ว่าการตั้งค่า threshold ที่มีความยืดหยุ่นแยกตามความสำคัญของ Feature ช่วยปรับปรุงประสิทธิภาพได้จริง</t>
  </si>
  <si>
    <t>ไม่ได้กล่าวถึงปัญหา Data Leakage หรือยุทธวิธีการสุ่มตัวอย่างเพื่อป้องกัน bias</t>
  </si>
  <si>
    <t>ใช้งาน Time-interval temporal patterns ที่สามารถอธิบายความสัมพันธ์ตามเวลา (before, after, overlap) ของ API calls ได้ระดับหนึ่ง แต่นำมาสร้างเป็นเพียง occurrence vector สำหรับ Logistic Regression แทนที่จะเป็นโครงสร้าง Graph ที่อธิบายตัวเองได้แบบ End-to-End</t>
  </si>
  <si>
    <t>aim to supply dynamic secure cloud database and improves different clouds storage capacity in all remote areas.</t>
  </si>
  <si>
    <t>นำเสนอการเพิ่มความปลอดภัยให้ข้อมูล IoT บนคลาวด์ผ่านอัลกอริทึมเข้ารหัสลับแบบลูกผสม (DMCCA) ระหว่าง RSA และ Blowfish</t>
  </si>
  <si>
    <t>การวิจัยนี้อ้างอิงเฉพาะโครงสร้างข้อมูลแบบ tabular โดยไม่ได้รองรับข้อมูลลักษณะกราฟเพื่อตรวจจับพฤติกรรม APT; ทดสอบบน KDD'99 เพียงฐานข้อมูลเดียว ซึ่งเก่าและไม่ได้สะท้อนรูปแบบภัยคุกคามในปัจจุบัน</t>
  </si>
  <si>
    <t>การนำโมเดลไปทดสอบเพิ่มเติมกับชุดข้อมูลตรวจจับการบุกรุก (Intrusion detection datasets) อื่น ๆ ในอนาคต</t>
  </si>
  <si>
    <t>นำเสนอทางเลือกของโมเดล Deep Ensemble ที่สามารถเรียนรู้คุณลักษณะได้ดีเทียบเท่า Deep Learning แต่ใช้เวลาฝึกฝนน้อยกว่ามากสำหรับการตรวจจับการบุกรุกบนข้อมูลเครือข่าย</t>
  </si>
  <si>
    <t>ไม่มีการกล่าวถึงการสุ่มข้อมูลเชิงกลยุทธ์เพื่อป้องกัน Data Leakage</t>
  </si>
  <si>
    <t>ไม่ได้นำเสนอกราฟหรือกลไกการอธิบายแบบ Intrinsic สำหรับกราฟแต่อย่างใด (ใช้ข้อมูลแบบตาราง)</t>
  </si>
  <si>
    <t>ขาดการระบุวิธีการทดลองและผลลัพธ์เชิงประจักษ์บนชุดข้อมูลที่ชัดเจน; ไม่ได้ลงลึกถึงสถาปัตยกรรมเฉพาะเจาะจงของโมเดล (เช่น Graph Neural Networks) สำหรับ APT</t>
  </si>
  <si>
    <t>การผสานรวมเทคโนโลยี Blockchain เพื่อจัดเก็บ Threat Intelligence Data อย่างโปร่งใสและตรวจสอบได้; การพัฒนาโมเดล AI ที่สามารถรับมือกับ Adversarial Attacks ในระบบความปลอดภัยไซเบอร์</t>
  </si>
  <si>
    <t>เน้นย้ำความจำเป็นที่องค์กรต้องเปลี่ยนผ่านจากการใช้ระบบป้องกันแบบอิงกฎเกณฑ์ดั้งเดิม (Rule-based) ไปสู่ระบบที่ขับเคลื่อนด้วย AI สำหรับการพยากรณ์และตอบสนองภัยคุกคาม</t>
  </si>
  <si>
    <t>ไม่มีการกล่าวถึงการสุ่มตัวอย่างข้อมูลหรือเทคนิคการจัดการ Leakage ในกระบวนการประเมินผล</t>
  </si>
  <si>
    <t>ไม่ได้นำเสนอการใช้กราฟหรือกลไกความสามารถในการอธิบาย (Explainability) ในระดับโครงสร้าง</t>
  </si>
  <si>
    <t>เสนอกลไกในระดับฮาร์ดแวร์และการใช้เทคนิค core-rotation/sleep pool เพื่อคงความสามารถในการทำงานของชิป MPSoC แม้มี Hardware Trojan ฝังอยู่</t>
  </si>
  <si>
    <t>Lack of explanation on how train and test sets were partitioned during evaluation; No consideration of temporal dependency in realistic network traffic flow</t>
  </si>
  <si>
    <t>In future studies, we plan to study a feature set that can minimize information leakage by defining an automated metric.</t>
  </si>
  <si>
    <t>แสดงให้เห็นว่าสามารถใช้ GAN ผลิตข้อมูลจราจรเครือข่ายจำลองที่รักษาสมดุลคลาสและป้องกันข้อมูลส่วนบุคคลรั่วไหลได้</t>
  </si>
  <si>
    <t>เปเปอร์เน้นที่ Privacy Data Leakage จากกระบวนการ Synthesis แต่ไม่ได้ให้ความสำคัญกับการควบคุม Evaluation Leakage หรือกลยุทธ์การ Sampling เชิงเวลา</t>
  </si>
  <si>
    <t>ไม่ได้นำเสนอโมเดลประเภท Graph หรือ Explainability แต่อย่างใด</t>
  </si>
  <si>
    <t>การขาดการจัดการกับปัญหา Data Overlap จากการทำ Sliding window ระหว่างการสุ่มแบ่งชุดฝึกสอนและทดสอบ</t>
  </si>
  <si>
    <t>ศึกษาความเป็นไปได้ในการใช้เครือข่ายจำแนกภาพที่มีประสิทธิภาพสูงขึ้น; ปรับใช้ Lightweight network ใหม่ๆ เช่น FasterNet</t>
  </si>
  <si>
    <t>แสดงให้เห็นว่าเทคนิค Computer Vision สามารถใช้สกัดลักษณะเฉพาะจากข้อมูล Network Time Series (IPD) เพื่อการตรวจจับภัยคุกคามได้ดี</t>
  </si>
  <si>
    <t>ผู้วิจัยตระหนักถึงปัญหา Leakage ในแง่ของ Data leakage จากการใช้ Window size ขนาดใหญ่ที่ต้องการ IPDs มากเกินไป แต่ไม่ได้เสนอวิธีการสุ่มแบ่งข้อมูล Train/Test เพื่อป้องกัน Bias</t>
  </si>
  <si>
    <t>งานวิจัยใช้เทคนิคการแปลง Time Series เป็นภาพเมทริกซ์ (Image processing) ไม่ได้ใช้คุณสมบัติเชิงกราฟหรือมีกลไก Explainability</t>
  </si>
  <si>
    <t>ข้อสรุปพึ่งพาข้อมูลความคิดเห็นจากผู้เชี่ยวชาญเพียงรายเดียว (Enterprise N); ไม่ปรากฏการประยุกต์ใช้วิธีการเรียนรู้ของเครื่อง (Machine Learning) หรือโครงสร้างกราฟทางคอมพิวเตอร์</t>
  </si>
  <si>
    <t>โครงสร้างของลำดับชั้นโมเดล เกณฑ์ และทางเลือกมาตรการความปลอดภัยสามารถนำไปศึกษาต่อในงานวิจัยในอนาคตได้</t>
  </si>
  <si>
    <t>เสนอกรอบแนวคิดในการช่วยผู้จัดการจัดลำดับความสำคัญของการป้องกันภัยคุกคามทางไซเบอร์ แต่ไม่มีความเชื่อมโยงโดยตรงกับเทคโนโลยี Graph-based APT Detection</t>
  </si>
  <si>
    <t>ไม่สนับสนุน เนื่องจากไม่ได้ใช้เทคนิค Machine Learning จึงไม่มีการใช้กลยุทธ์การสุ่มข้อมูลหรือพิจารณา Leakage</t>
  </si>
  <si>
    <t>ไม่สนับสนุน กราฟที่อ้างถึงในงานวิจัยเป็นเพียงแผนภูมิลำดับชั้นในการตัดสินใจ (Tree model of hierarchical structure) ไม่ใช่กราฟเพื่อการเรียนรู้เชิงตัวแทน</t>
  </si>
  <si>
    <t>The sensitive API library is not perfect; Source code has been obfuscated and has bad readability; Low efficiency and accuracy, false positives and false negatives</t>
  </si>
  <si>
    <t>Analyze more malware and take notes of the key characteristics of privacy theft behavior; Make corresponding analysis rules to improve efficiency and accuracy</t>
  </si>
  <si>
    <t>ชี้ให้เห็นถึงความจำเป็นในการใช้เทคนิคอื่นนอกเหนือจากเพียงการทำ static keyword matching เพื่อแก้ปัญหา code obfuscation และปรับปรุงความแม่นยำในการตรวจจับ</t>
  </si>
  <si>
    <t>งานวิจัยนี้ไม่ได้ใช้ Machine Learning หรือแบบจำลอง จึงไม่มีเนื้อหาเกี่ยวกับการแบ่งข้อมูลหรือ sampling</t>
  </si>
  <si>
    <t>งานวิจัยนี้ใช้เพียง Static API matching ด้วยคำสั่ง regex ไม่ได้ใช้โครงสร้างกราฟในการวิเคราะห์</t>
  </si>
  <si>
    <t>The proposed method cannot effectively identify low-throughput attacks.</t>
  </si>
  <si>
    <t>Investigate the effectiveness of multi-scale ensemble LSTM models for detecting DNS tunneling attacks over large periods of time.; Propose a method for detecting low-throughput attacks by long-term monitoring rather than short-term monitoring.</t>
  </si>
  <si>
    <t>เสนอทางเลือกใหม่ในการตรวจจับข้อมูลรั่วไหลผ่าน DNS tunneling โดยมุ่งเน้นที่พฤติกรรมแคช (Cache properties) ของเซิร์ฟเวอร์ แทนการวิเคราะห์ payload หรือชื่อโดเมนที่มักถูกดัดแปลงได้ง่าย</t>
  </si>
  <si>
    <t>ขาดการประเมินผลกับการทำ federated learning เพื่อความเป็นส่วนตัวตามที่กล่าวถึงในข้อจำกัด; ขาดการอธิบายผลด้วย XAI แม้จะมีการใช้กลไก Attention ที่ช่วยในการ interpret ได้ระดับหนึ่ง</t>
  </si>
  <si>
    <t>apply federated and edge computing settings to enhance scalability and data privacy; incorporating online learning and explainable AI (XAI) techniques</t>
  </si>
  <si>
    <t>แสดงให้เห็นว่าการผสาน Attention หลายมิติ (Triple Attention) บน CNN และ RNN มีประสิทธิภาพสูงมากในชุดข้อมูล IoT intrusion detection แต่ยังต้องพิสูจน์ความทนทานในสภาพแวดล้อมที่ซับซ้อนขึ้น</t>
  </si>
  <si>
    <t>งานวิจัยนี้ไม่ได้พัฒนา Graph Neural Networks แต่ใช้สถาปัตยกรรม sequence-based ธรรมดา (CNN/BiGRU)</t>
  </si>
  <si>
    <t>Currently, there are no unified definitions in the scientific literature regarding approaches to the psychological basis of security management and its prerequisites.</t>
  </si>
  <si>
    <t>Research into the impact of personal motivation of human capital on the level of information security of companies.</t>
  </si>
  <si>
    <t>ชี้ให้เห็นถึงความจำเป็นในการบูรณาการแนวคิดด้านความยืดหยุ่นทางจิตวิทยา (Psychological Resilience) เข้ากับกลยุทธ์การจัดการความปลอดภัยเพื่อรับมือกับภัยคุกคามที่ซับซ้อน</t>
  </si>
  <si>
    <t>research on cybersecurity situation awareness is still in its early stages, and many key issues remain to be further studied and resolved</t>
  </si>
  <si>
    <t>further research on algorithms related to situation understanding and cognition</t>
  </si>
  <si>
    <t>แสดงให้เห็นถึงแนวคิดการผสาน Machine Learning และ Knowledge Graph เข้ามาใช้เพื่อวิเคราะห์บริบท (Situation Awareness) และยกระดับความปลอดภัยในระบบ SCADA/Smart Grid</t>
  </si>
  <si>
    <t>เสนอการใช้ knowledge graph ในการสร้าง attack chain โดยอิงจากเบาะแสของผู้โจมตีเพื่อการสืบย้อน (source tracing) ซึ่งช่วยอธิบายบริบทของเหตุการณ์ความปลอดภัยได้</t>
  </si>
  <si>
    <t>The deployment of AI in MSNs must be accompanied by careful considerations of ethical and regulatory aspects.</t>
  </si>
  <si>
    <t>Future implementation of AI-based security measures needs transparency and user consent integrated into the development.</t>
  </si>
  <si>
    <t>เน้นย้ำความสำคัญของการพัฒนาระบบ AI ด้านความปลอดภัยที่ต้องสร้างสมดุลระหว่างประสิทธิภาพการตรวจจับและการปกป้องสิทธิส่วนบุคคล</t>
  </si>
  <si>
    <t>บทความไม่ได้กล่าวถึงการฝึกสอนโมเดล ML หรือกลยุทธ์การสุ่มตัวอย่างเลย</t>
  </si>
  <si>
    <t>ไม่ได้กล่าวถึงสถาปัตยกรรมกราฟ (Graph-based methods) หรือ Explainability แบบ Intrinsic</t>
  </si>
  <si>
    <t>The cybersecurity is more complex than the simple use of a cryptographic software. Scientists, governments and public institutions are living with a false sense of security using a vulnerable systems.</t>
  </si>
  <si>
    <t>It is recommended that vendor require the SED to redo encryption whenever a user is deleted.</t>
  </si>
  <si>
    <t>แสดงให้เห็นถึงความเสี่ยงของการนำซอฟต์แวร์เข้ารหัสระดับองค์กรมาใช้โดยขาดความเข้าใจเรื่องโครงสร้างของไฟล์ (Header/Data split) ซึ่งอาจทำให้ข้อมูลรั่วไหล (Information Leakage) สู่ผู้ใช้ที่ถูกลบออกจากระบบแล้ว</t>
  </si>
  <si>
    <t>ไม่เกี่ยวข้องเนื่องจากไม่ใช่งานวิจัยด้าน Machine Learning</t>
  </si>
  <si>
    <t>ไม่เกี่ยวข้องเนื่องจากไม่ใช่งานวิจัยด้านกราฟหรือการตรวจจับภัยคุกคามด้วยโมเดล</t>
  </si>
  <si>
    <t>จำนวนข้อมูลที่ใช้ฝึกและทดสอบ (Sample size) มีขนาดเล็กเกินไปในการยืนยันเสถียรภาพของโมเดล; ไม่มีการนำเสนอวิธีการรับมือกับ Concept drift หรือการประเมินผลเชิงเวลา (Temporal aspect)</t>
  </si>
  <si>
    <t>Increase the number of RAT samples and normal applications in order to achieve comparable classification accuracy</t>
  </si>
  <si>
    <t>แสดงความเป็นไปได้ในการวิเคราะห์พฤติกรรมเครือข่ายระดับ Session ตั้งแต่แพ็กเก็ตแรกๆ เพื่อสกัดกั้นภัยคุกคาม แต่เน้นย้ำความจำเป็นในการใช้ชุดข้อมูลที่สะท้อนความหลากหลายและพลวัตของเครือข่ายจริง</t>
  </si>
  <si>
    <t>ไม่มีการกล่าวถึงปัญหา Data leakage หรือนำเสนอกลยุทธ์การ Sampling ที่คำนึงถึงการรั่วไหล</t>
  </si>
  <si>
    <t>ไม่ได้ใช้วิธีการแบบ Graph-based แต่ใช้ Network behavioral features เชิงสถิติทั่วไป</t>
  </si>
  <si>
    <t>The previously proposed classifications and systematizations do not fully take into account all the features of these systems.</t>
  </si>
  <si>
    <t>To the development of integrated approaches to security management in this area.</t>
  </si>
  <si>
    <t>ให้กรอบแนวคิดที่เป็นระบบ (Taxonomy) สำหรับวิเคราะห์ภัยคุกคามในระบบไซเบอร์-กายภาพทางการแพทย์ เพื่อนำไปสู่การพัฒนาระบบป้องกันที่มีประสิทธิภาพครอบคลุมมากขึ้น</t>
  </si>
  <si>
    <t>The framework is not powerful enough to detect various OSes (such as Windows, Unix family, iOS) or various devices.</t>
  </si>
  <si>
    <t>เป็นรากฐานและแนวปฏิบัติในการเก็บหลักฐานดิจิทัลเบื้องต้น (Digital Triage) ได้อย่างรวดเร็วโดยยังคงความน่าเชื่อถือทางนิติวิทยาศาสตร์ แต่ยังไม่ได้เชื่อมโยงไปสู่การตรวจจับวิเคราะห์ภัยคุกคามด้วย Graph หรือ AI</t>
  </si>
  <si>
    <t>เอกสารไม่มีกระบวนการ Machine Learning จึงไม่สนับสนุนแนวคิด Sampling Strategy</t>
  </si>
  <si>
    <t>ไม่ได้นำเสนอโครงสร้างกราฟ (Graph structure) ใดๆ ในการวิเคราะห์พฤติกรรมมัลแวร์</t>
  </si>
  <si>
    <t>Feature selection is not capable of detecting attacks with as little data as feature extraction can yield.</t>
  </si>
  <si>
    <t>แสดงให้เห็นข้อได้เปรียบของการใช้ Correlation-based Feature Selection ที่มีความซับซ้อนต่ำ เหมาะสมสำหรับการพัฒนา NIDS แบบ Real-time บนอุปกรณ์ IoT</t>
  </si>
  <si>
    <t>ไม่พบเนื้อหาหรือการทดลองที่เกี่ยวข้องกับการสุ่มตัวอย่างเพื่อป้องกันการรั่วไหลของข้อมูล</t>
  </si>
  <si>
    <t>งานวิจัยใช้เทคนิคพื้นฐาน (Tabular Machine Learning) ไม่ได้ใช้ Graph-based methods</t>
  </si>
  <si>
    <t>การขาดการจำลองสภาพแวดล้อมจริงแบบ Time-dependent ในฝั่งการทดสอบโมเดลจัดประเภท; โมเดลต้องการกระบวนการ Reconfiguration แบบอัตโนมัติเพื่อรับมือกับภัยคุกคาม Zero-day รูปแบบใหม่ๆ อย่างต่อเนื่อง</t>
  </si>
  <si>
    <t>การกำหนด Standardized interfaces ที่ชัดเจนระหว่าง Module ต่างๆ ในเฟรมเวิร์ก; การพัฒนา AI ให้สามารถทำ Autonomous reconfiguration เพื่อรับมือการโจมตีทางไซเบอร์ที่ไม่ทราบรูปแบบ (Unknown/0-days); การศึกษาเปรียบเทียบ (Trade-off) ระหว่างข้อกำหนดด้านความปลอดภัยและการใช้ทรัพยากรที่มีอยู่จำกัด (Quality of Service)</t>
  </si>
  <si>
    <t>แสดงให้เห็นถึงความเป็นไปได้ในการผสมผสานระหว่าง SDN, NFV และ Machine Learning เข้าด้วยกันเพื่อสร้างเฟรมเวิร์กรักษาความปลอดภัยใน IoT แบบ Closed-loop automation</t>
  </si>
  <si>
    <t>ไม่ได้นำเสนอเทคนิคการสุ่มตัวอย่าง (Sampling) ที่ป้องกัน Data Leakage โดยเจาะจง ใช้เพียง 10-fold CV มาตรฐาน และการแบ่งทดสอบแบบแยกตามห้อง (Spatial entity)</t>
  </si>
  <si>
    <t>ไม่มีการใช้โครงสร้างกราฟ (Graph structure) หรือโมเดลที่เน้นความโปร่งใสและอธิบายได้ (Explainability) ในงานวิจัยนี้</t>
  </si>
  <si>
    <t>optimize the problem considering the feature of specific defense measures</t>
  </si>
  <si>
    <t>solve the optimization problem considering the feature of specific defense measures</t>
  </si>
  <si>
    <t>ให้มุมมองเชิงทฤษฎีเศรษฐศาสตร์ความปลอดภัย (Security Economics) ในการรักษาสมดุลระหว่างประสิทธิภาพและความคุ้มค่าในการจัดการระบบป้องกันในระดับบริการคลาวด์</t>
  </si>
  <si>
    <t>implement on active interposers as part of future work</t>
  </si>
  <si>
    <t>เสนอวิธีการป้องกัน IP theft และ reverse engineering แบบใหม่ในระดับฮาร์ดแวร์สำหรับ 2.5D Heterogeneous Integration Systems</t>
  </si>
  <si>
    <t>Developing a common optimization algorithm for all intrusion detection systems is typically a complex procedure.; The performance of the intrusion detection systems has resulted with viable variations while it is tested on limited data and real-time time.</t>
  </si>
  <si>
    <t>optimization-based semi-supervised approach must be needed, it not only avoid this issue but this approach has the ability to recognize new kinds of malicious attacks as well as testing on real-data</t>
  </si>
  <si>
    <t>ชี้ให้เห็นถึงความจำเป็นในการพัฒนาแนวทางการเรียนรู้แบบ Semi-supervised ที่ผสานการทำ Optimization เพื่อแก้ปัญหาความไม่ครอบคลุมของ Labeled data และรับมือกับ Zero-day attack ในข้อมูลจริง</t>
  </si>
  <si>
    <t>ไม่ได้มีการกล่าวถึง Sampling strategy หรือกลไกการรับมือเรื่องการรั่วไหลของข้อมูล</t>
  </si>
  <si>
    <t>เปเปอร์นี้มุ่งเน้นที่วิธี ML/DL ทั่วไปและไม่ได้เกี่ยวข้องกับโครงสร้าง Graph แต่อย่างใด</t>
  </si>
  <si>
    <t>The baseline has only evaluated one scenario... countless scenarios when this attack could happen have been left out.; Dynamic threshold calculation will result in inappropriate threshold values under high anomalous event conditions.</t>
  </si>
  <si>
    <t>นำเสนอการปรับปรุงสถาปัตยกรรม Auto-encoder (ใช้แค่ Linear layer ในส่วน Output ของการรับค่า Final time step) ทำให้โมเดลเล็กลง เทรนเร็วขึ้น และตีความความผิดปกติระดับจุด (singular point) ในข้อมูลลำดับเวลาของอุปกรณ์ IoT ได้ง่ายกว่าเดิม</t>
  </si>
  <si>
    <t>ไม่ได้นำเสนอหรืออ้างอิงถึงวิธีการจัดการการรั่วไหลของข้อมูลเชิงกราฟ</t>
  </si>
  <si>
    <t>งานวิจัยให้ความสำคัญกับ Explainability ของการแจ้งเตือนความผิดปกติ (สามารถชี้เฉพาะเหตุการณ์ผิดปกติได้ตรงจุดแทนการดูเป็น Time window) แต่ไม่ได้ประยุกต์ใช้กับโครงสร้างข้อมูลแบบกราฟ (ใช้ RNN บน Sequence)</t>
  </si>
  <si>
    <t>Evasion attacks where attackers deceive an administrator into marking a service as trusted</t>
  </si>
  <si>
    <t>ช่วยยืดระยะเวลา (Time horizon) ในการเก็บรักษาหลักฐานการโจรกรรมข้อมูลทางเครือข่ายให้ยาวนานขึ้น 15-16 เท่า ภายใต้งบประมาณพื้นที่จัดเก็บเท่าเดิม</t>
  </si>
  <si>
    <t>ไม่ได้นำเสนอโมเดล ML หรือวิธีการสุ่มตัวอย่าง (Sampling) ใดๆ สำหรับการตรวจจับ</t>
  </si>
  <si>
    <t>ไม่ได้นำเสนอโครงสร้างกราฟในการวิเคราะห์ข้อมูลเครือข่าย</t>
  </si>
  <si>
    <t>ข้อมูล cross-sectional ไม่สามารถยืนยันทิศทางความเป็นเหตุเป็นผล (Causal directions) ได้; กลไกที่เชื่อมโยงระหว่างการมีส่วนร่วมทางการเมืองออนไลน์และพฤติกรรมการป้องกันความเป็นส่วนตัวยังอธิบายได้เพียงบางส่วน (Partially mediated) และต้องการการศึกษาเพิ่มเติม; กลุ่มตัวอย่างอาจไม่สามารถเป็นตัวแทนของประเทศในเอเชียทั้งหมดได้ โดยเฉพาะประเทศที่มี Internet censorship สูงเช่นประเทศจีน</t>
  </si>
  <si>
    <t>ควรมีการศึกษาพฤติกรรมการป้องกันความเป็นส่วนตัวที่เกิดขึ้นจริง (Actual behaviors) ในการตั้งค่าแบบทดลอง (Experimental settings) เพื่อให้ได้ผลลัพธ์ที่มีคุณค่ามากขึ้น</t>
  </si>
  <si>
    <t>ให้มุมมองทางสังคมศาสตร์ว่าโครงสร้างพื้นฐานทาง Cybersecurity ระดับชาติส่งผลต่อกลไกทางจิตวิทยาและพฤติกรรมการป้องกันความเป็นส่วนตัวของบุคคลอย่างไร แต่ไม่มีความเกี่ยวข้องกับสายงาน Machine Learning หรือ APT Detection</t>
  </si>
  <si>
    <t>a conspicuous gap is evident in the literature: the lack of a structured DLP maturity model.; the challenge of evidence-based security in cybersecurity, particularly in practical contexts, is notable.</t>
  </si>
  <si>
    <t>significant opportunity for future exploration into the potential of large language models (LLMs) to revolutionize DLP strategies; ongoing refinement of DLP strategies to adapt to evolving and increasingly concealed cyber threats.</t>
  </si>
  <si>
    <t>งานวิจัยนี้ช่วยให้ผู้ปฏิบัติงานและองค์กรมีกรอบโครงสร้างที่เป็นรูปธรรม (DLP Maturity Model) เพื่อใช้วัดระดับความพร้อมปัจจุบัน และช่วยในการตัดสินใจเชิงกลยุทธ์ด้านความปลอดภัยเพื่อลดความเสี่ยงจาก Insider-driven data breach</t>
  </si>
  <si>
    <t>Under Advanced Persistent Thread (APT) or malware attacks usage of standard feature extraction methods may not useful. Because these attacks may corrupt document</t>
  </si>
  <si>
    <t>Eğer yapılan saldırının tespiti yapılabilirse ele alınan algoritma çözümlerinin tümünün uygulanması yerine saldırıya dayanıklı olan metodun uygulanması hem hız hem de başarı açısından iyi olacaktır</t>
  </si>
  <si>
    <t>แสดงให้เห็นว่าการใช้เทคนิค NLP ร่วมกับ spell correction และ ensemble classifiers สามารถยกระดับความแม่นยำของระบบ Data Leakage Prevention (DLP) ในการตรวจจับเอกสารที่ถูกดัดแปลงจาก APT ได้</t>
  </si>
  <si>
    <t>งานวิจัยนี้ไม่ได้กล่าวถึงปัญหา ML data leakage และไม่มีการใช้ leakage-aware sampling strategy</t>
  </si>
  <si>
    <t>งานวิจัยนี้วิเคราะห์ข้อความด้วย NLP (n-gram, LSA) ไม่ได้ใช้โครงสร้าง Graph-based approach แต่อย่างใด</t>
  </si>
  <si>
    <t>ระบบยังซับซ้อนและมีประเด็นความหน่วงในการสื่อสาร (Communication latency); รูปแบบ Phishing ที่ตรวจสอบยังจำกัดแค่ข้อความและเมตาดาต้า</t>
  </si>
  <si>
    <t>ปรับปรุงการลดข้อจำกัดด้าน communication latency ในระบบจริง; ขยายการตรวจจับไปสู่ข้อมูลแบบ multimodal เช่น เสียง, ภาพ และไฟล์แนบของอีเมล</t>
  </si>
  <si>
    <t>แสดงศักยภาพในการใช้คณิตศาสตร์เชิงควอนตัม (Quantum-inspired) ร่วมกับ Federated Learning เพื่อเพิ่มความแม่นยำในการรักษาความปลอดภัย</t>
  </si>
  <si>
    <t>ไม่ได้กล่าวถึงปัญหาความลำเอียงจากการรั่วไหลของข้อมูลและใช้แค่ Random Split</t>
  </si>
  <si>
    <t>งานวิจัยใช้เพียง Tensor Networks แบบ 1D เพื่อลดทอนมิติข้อความ (MPS) ไม่ได้ศึกษาโครงสร้าง Dynamic Heterogeneous Graph และไม่ได้มุ่งเน้น Explainability</t>
  </si>
  <si>
    <t>ชุดข้อมูลที่ใช้อาจไม่สะท้อนถึงความหลากหลายของทราฟฟิกจริงในระบบ รวมถึงพฤติกรรมโจมตีแบบ long-tail อาจถูกลดทอนความสำคัญลงไป; นโยบาย Reinforcement Learning (QARL) ยังไม่ได้ถูก stress-tested บนข้อมูล federated ที่เป็น non-IID อย่างเต็มรูปแบบ</t>
  </si>
  <si>
    <t>การขยายผลสถาปัตยกรรมไปยังการใช้งานจริงบน federated data แบบ non-IID เพื่อประเมิน trade-offs ของระบบปฏิบัติการอย่างเต็มรูปแบบ; การขยายขีดความสามารถให้สามารถทำงานร่วมกับ quantum-inspired kernels รูปแบบอื่นๆ ในอนาคต</t>
  </si>
  <si>
    <t>เป็นต้นแบบในการพัฒนาระบบรักษาความปลอดภัย IoT แบบ Federated Learning ที่มีการนำ Quantum-inspired AI และการปรับ Threshold ด้วย RL มาใช้เพื่อแก้ปัญหาผลบวกลวง</t>
  </si>
  <si>
    <t>ไม่ได้กล่าวถึงเทคนิคการสุ่มหรือจัดการ Data Leakage อย่างจงใจในกระบวนการประเมินผล</t>
  </si>
  <si>
    <t>มีการใช้โครงสร้าง Graph เครือข่ายในการอ้างอิงและดึงข้อมูล แต่เน้นวิเคราะห์ด้วย Feature selection และ CNN มากกว่าการใช้โมเดล GNN โดยตรง</t>
  </si>
  <si>
    <t>Evaluated effectiveness only on the UNSW-NB15 dataset</t>
  </si>
  <si>
    <t>Explore whether our observations with UNSW-NB15 are applicable to other intrusion detection datasets; Investigate the performance of various deep learning classification models for NIDS</t>
  </si>
  <si>
    <t>ให้แนวทางในการเลือกใช้วิธีลดขนาดมิติข้อมูล (Feature Selection vs Extraction) ให้เหมาะสมกับข้อจำกัดด้านเวลาประมวลผลและลักษณะชนิดการโจมตีเป้าหมายในระบบ NIDS</t>
  </si>
  <si>
    <t>ขาดการพิจารณาผลกระทบจากความคล่องตัวของโหนด (node mobility) ในระบบ; โมเดล Machine Learning แบบดั้งเดิมอาจยังมีปัญหาในการรักษาสถานะของข้อมูลเครือข่ายที่มีการเปลี่ยนแปลงเชิงลำดับเวลา</t>
  </si>
  <si>
    <t>เพิ่ม Features อื่น ๆ ในการฝึกสอนโมเดลเพื่อจำแนกทราฟฟิกปกติและทราฟฟิกประสงค์ร้ายให้ดีขึ้น; ใช้ Ensemble methods หรือการทำงานร่วมกันระหว่าง Decision tree และ Neural Networks; ทดสอบ AI โมเดลกับเครือข่ายและรูปแบบการโจมตีประเภทอื่นเพื่อยืนยันความคงทนและประสิทธิภาพ; นำเอาปัจจัยด้าน Node mobility เข้ามาพิจารณา</t>
  </si>
  <si>
    <t>ให้ข้อพิสูจน์ว่า Deep Learning (โดยเฉพาะ LSTM) เหมาะสมกับการเรียนรู้ข้อมูลแบบอนุกรมเวลาเพื่อตรวจจับ Wormhole attack ในเครือข่าย IoT ทางการเกษตร</t>
  </si>
  <si>
    <t>การจำกัดอยู่เพียง Static permission analysis อาจไม่เพียงพอ; ไม่รวมถึงพฤติกรรมเชิงพลวัตของมัลแวร์ขณะทำงาน (Dynamic runtime behaviours)</t>
  </si>
  <si>
    <t>บูรณาการฟีเจอร์แบบ Hybrid static-dynamic; การทำ Cross-dataset validation; การอัปเดตโมเดลระยะยาว (Longitudinal updates) เพื่อรับมือกับ Model drift</t>
  </si>
  <si>
    <t>เน้นย้ำความสำคัญของการสร้าง Leakage-free pipeline ในงานวิจัยด้าน Cybersecurity เพื่อให้การประเมินมีมาตรฐานและสามารถทำซ้ำได้ (Reproducible)</t>
  </si>
  <si>
    <t>เปรียบเทียบและพิสูจน์ให้เห็นอย่างชัดเจนว่าการฝังกระบวนการเลือกฟีเจอร์เข้าไปใน Pipeline ของ Cross-validation ช่วยป้องกันไม่ให้ข้อมูลจาก Test set รั่วไหลมาสู่ตอนเทรน</t>
  </si>
  <si>
    <t>งานวิจัยใช้เพียง Static binary permissions ไม่มีการใช้ Graph-based representation หรือ Heterogeneous graph ในการวิเคราะห์เลย</t>
  </si>
  <si>
    <t>นำเสนอแนวคิด Trust-aware routing แบบปรับตัวแบบพลวัต (Dynamic) ภายในเครือข่ายบนชิป (NoC) เพื่อหลีกเลี่ยงผลกระทบจากฮาร์ดแวร์โทรจันโดยไม่ทำให้ประสิทธิภาพโดยรวมตกต่ำ</t>
  </si>
  <si>
    <t>ขาดความโปร่งใสในวิธีการประเมินผล (ไม่มีรายละเอียด Data, Split หรือสภาพแวดล้อม Simulation); ไม่เกี่ยวข้องโดยตรงกับการตรวจจับ APT ด้วย Graph-based Machine Learning</t>
  </si>
  <si>
    <t>ควรประเมินด้วยชุดข้อมูลหลักฐานดิจิทัลจริงขนาดใหญ่เพื่อยืนยัน Scalability; ทดสอบการโจมตีทางไซเบอร์ที่ซับซ้อนขึ้น นอกเหนือจาก Ransomware เบื้องต้น</t>
  </si>
  <si>
    <t>เสนอกรอบแนวคิดด้านสถาปัตยกรรมคลาวด์เพื่อความปลอดภัยของการจัดเก็บหลักฐานดิจิทัล (Digital Forensics) แต่ไม่อยู่ในขอบเขตการตรวจจับการโจมตีขั้นสูงด้วยกราฟ</t>
  </si>
  <si>
    <t>The training cost of PE-FedAvg must be optimized.; Factors such as client performance, communication overhead, and network conditions can impact the framework's effectiveness.</t>
  </si>
  <si>
    <t>The performance of the PE-FedAvg system requires further optimization.</t>
  </si>
  <si>
    <t>แสดงให้เห็นว่าการใช้ Multi-Layer Perceptron พื้นฐานผสานกับ Privacy-preserving techniques สามารถให้ผลลัพธ์ที่ดีเยี่ยมสำหรับ Android malware โดยไม่ต้องพึ่งพา Deep Learning ที่ซับซ้อนเกินไป (เช่น Graph Neural Networks)</t>
  </si>
  <si>
    <t>เปเปอร์นี้ไม่ได้ใช้ Graph-based representation แต่ใช้การดึง feature เป็นเวกเตอร์ 215 มิติแทน และไม่ได้มุ่งเน้นความสามารถในการอธิบายผลลัพธ์ (Explainability)</t>
  </si>
  <si>
    <t>เน้นย้ำความสำคัญของการประเมินความปลอดภัยของอุปกรณ์ฮาร์ดแวร์และแอปพลิเคชันเพื่อปกป้องจากการโจมตี พร้อมสนับสนุนให้ผู้ใช้ตระหนักถึงความเสี่ยงเมื่อใช้งาน Wi-Fi สาธารณะ</t>
  </si>
  <si>
    <t>งานวิจัยนี้ไม่เกี่ยวข้องกับ Machine Learning จึงไม่มีประเด็นเรื่อง Dataset sampling</t>
  </si>
  <si>
    <t>ไม่ได้ใช้งานเทคนิค Graph-based แต่อย่างใด</t>
  </si>
  <si>
    <t>Inability of the iIRS to target the specific port on which the bot communicates.; GNSM generation process needs to reflect the state of the network in real time.</t>
  </si>
  <si>
    <t>Test with mobile devices and more complex malware like Emotet to discover lacking areas in existing iIRS implementation.; Improve GNSM generation process to reflect network state in real time or between POMDP time steps.; Integrate with advanced network IDS solutions like anomaly detection or AI-based systems.</t>
  </si>
  <si>
    <t>เน้นย้ำความจำเป็นในการพัฒนากราฟเครือข่าย (Attack Graphs) ให้มีความเป็นพลวัต (Dynamic) เพื่อรับมือกับพฤติกรรมมัลแวร์ปัจจุบันที่มีการเปลี่ยนพอร์ตและเซิร์ฟเวอร์แบบเรียลไทม์</t>
  </si>
  <si>
    <t>ไม่ได้ใช้ Machine Learning จึงไม่มีการพูดถึง Data Splits หรือ Sampling Method</t>
  </si>
  <si>
    <t>ระบบใช้ Logical Attack Graph (LAG/BAG) ที่มีความหมายในตัวเอง (Explainable ผ่าน OR/AND nodes) ร่วมกับ POMDP ในการเลือกเป้าหมายการป้องกัน แต่ยังขาดความสามารถในการปรับปรุงกราฟได้แบบเรียลไทม์</t>
  </si>
  <si>
    <t>การศึกษาถูกจำกัดอยู่เพียงการจำลองพฤติกรรมการโจมตีในระดับห้องปฏิบัติการ (Lab-based Simulation) ขาดการทดสอบในโครงข่ายจริงขนาดใหญ่</t>
  </si>
  <si>
    <t>ให้แนวทางเชิงปฏิบัติในการจำลองการโจมตีและทำความเข้าใจพฤติกรรมของ APT, DDoS และ Ransomware เพื่อพัฒนามาตรการป้องกันเบื้องต้น</t>
  </si>
  <si>
    <t>ไม่ได้นำเสนอโมเดล Machine learning และไม่มีการใช้ชุดข้อมูลเพื่อการฝึกสอนโมเดล</t>
  </si>
  <si>
    <t>ไม่ได้ใช้งานโครงสร้าง Graph-based detection ในการวิจัย</t>
  </si>
  <si>
    <t>Lack of standardized datasets across studies introduces significant variability in task difficulty and evaluation metrics; Many included studies evaluate models using synthetic data which lack the volatility, noise, and ambiguity present in real-world deployments; Current agent frameworks in cloud security have not yet fully addressed robustness against adversarial attacks</t>
  </si>
  <si>
    <t>Prioritize unified evaluation frameworks, particularly for safety-critical SOC tasks; Focus on explainable and privacy-preserving models; Empirical testing in operational SOC environments to validate real-world resilience</t>
  </si>
  <si>
    <t>ชี้ให้เห็นอย่างชัดเจนถึงความจำเป็นเร่งด่วนในการสร้าง Framework ด้านการประเมินผลที่เป็นมาตรฐานเดียวกัน (Unified evaluation frameworks) เพื่อประเมินประสิทธิภาพของระบบความปลอดภัยในโลกจริง</t>
  </si>
  <si>
    <t>บทความกล่าวถึง Data Poisoning และความเสี่ยงในการรั่วไหลของข้อมูลด้านความเป็นส่วนตัว แต่ไม่ได้กล่าวถึง Leakage-aware sampling strategy อย่างเป็นรูปธรรมในเชิงกราฟ</t>
  </si>
  <si>
    <t>มีการสนับสนุนการใช้ Knowledge Graphs ควบคู่กับ XAI (Explainable AI) และ LLM เพื่อปรับปรุงความโปร่งใสและสร้างคำอธิบายในกระบวนการทำงานด้านความปลอดภัย แม้จะไม่ได้จำเพาะถึงโครงสร้าง Intrinsic model ก็ตาม</t>
  </si>
  <si>
    <t>วิธีการจัดกลุ่มตาม Main domain name ไม่สามารถป้องกันการโจมตีแบบ Distributed attacks ที่กระจายการส่งข้อมูลผ่านหลายโดเมนย่อยและหลายเครื่องได้; การใช้ Reputation-based rules กรองโดเมนปกติอาจเกิดข้อผิดพลาดหากโดเมนยอดนิยมนั้นถูกโจมตีและใช้เป็นช่องทาง Covert channel</t>
  </si>
  <si>
    <t>ควรพิจารณาจัดกลุ่มข้อมูลตาม Domain name servers แทน Main domain names เพื่อระบุ Covert data exfiltration จากฝั่งผู้รับ (Receiving points); พัฒนาระบบเพื่อรองรับการเชื่อมโยงและตรวจจับ Distributed transmission ผ่านเครื่อง Zombie หลายเครื่อง</t>
  </si>
  <si>
    <t>แสดงให้เห็นถึงความเป็นไปได้ในการใช้งาน Anomaly detection และ Domain-based clustering เพื่อตรวจจับ Data leakage ในระดับ ISP แต่ตอกย้ำข้อจำกัดของโมเดลที่พึ่งพาเพียง Main domain ในกรณีภัยคุกคามแบบกระจายตัว</t>
  </si>
  <si>
    <t>Framework ไม่สามารถสั่งรัน Native codes (C/C++) ที่ถูกเรียกใช้โดยตรงในแอปพลิเคชันได้; แอปพลิเคชันมัลแวร์บางตัวไม่สร้าง Manifest file ในกระบวนการ Disassembling ทำให้วิเคราะห์ไม่ได้</t>
  </si>
  <si>
    <t>พัฒนาวิธีการรับมือกับแอปพลิเคชันที่ซ่อนการทำงานในระดับ Native code; พัฒนาเทคนิคสกัดโครงสร้างในกรณีที่แอปพลิเคชันไม่ยอมสร้าง Manifest file</t>
  </si>
  <si>
    <t>แสดงให้เห็นประโยชน์ของการใช้ Static Graph Analysis (Call Graph) เพื่อสนับสนุนและเสริมประสิทธิภาพให้กับการทำ Dynamic Malware Analysis</t>
  </si>
  <si>
    <t>สนับสนุนแนวคิดเบื้องต้นเรื่องการใช้ความเชื่อมโยงของ Call Graph เพื่ออธิบายเส้นทางการเรียกใช้ Component ก่อนนำไปประมวลผลเชิงลึก</t>
  </si>
  <si>
    <t>ไม่ได้กล่าวถึงการตรวจจับภัยคุกคามขั้นสูงแบบเจาะจงเป้าหมาย (APT) ด้วยวิธีการสร้างกราฟ (Graph-based); ไม่มีการนำเสนอข้อมูลเชิงประจักษ์เกี่ยวกับการประเมินผลทางเลือกต่างๆ ของโมเดล AI</t>
  </si>
  <si>
    <t>จำเป็นต้องส่งเสริมการพัฒนาเทคโนโลยี AI และ ML อย่างต่อเนื่องเพื่อปกป้องระบบ IoT ให้ทันต่อวิวัฒนาการทางเทคโนโลยีที่รวดเร็ว; พัฒนาสถาปัตยกรรมการป้องกันแบบหลายลำดับชั้นที่ผสานการทำงานของ AI ในทุกๆ เลเยอร์</t>
  </si>
  <si>
    <t>เน้นย้ำถึงความจำเป็นในการใช้กรอบการทำงานด้านความปลอดภัยที่ขับเคลื่อนด้วย AI แบบปรับตัวได้ เพื่อรับมือกับความต้องการด้านความปลอดภัยทางไซเบอร์ของ IoT ที่ซับซ้อนขึ้น</t>
  </si>
  <si>
    <t>need to develop a content inspection method which detect leaks of important data in the content of files or network traffic.</t>
  </si>
  <si>
    <t>In future such systems are necessary to detect data leak of personal, finance transactions, online shopping, and social media and so on.</t>
  </si>
  <si>
    <t>งานวิจัยนี้เป็นเพียงการสำรวจและนำเสนอแนวคิดการตรวจจับการรั่วไหลของข้อมูลข้อความผ่าน Sequence Alignment ซึ่งไม่ได้เกี่ยวข้องกับ Graph-based APT Detection ตามหัวข้อหลัก</t>
  </si>
  <si>
    <t>นำเสนอแนวทางการใช้ Blockchain เข้ามาเพิ่มความน่าเชื่อถือและความโปร่งใสให้กับระบบที่พึ่งพา Third-party Authority (TPAs) ในการจัดการ Key ต่างๆ สำหรับ Privacy-preserving applications</t>
  </si>
  <si>
    <t>งานวิจัยนี้ไม่ได้เกี่ยวข้องกับ Graph-based APT Detection หรือประเด็น Data Leakage ในการฝึกสอนโมเดล Machine Learning</t>
  </si>
  <si>
    <t>งานวิจัยนี้ไม่ได้ศึกษาเกี่ยวกับ Graph Neural Networks หรือ Explainability ของโมเดล Graph แต่อย่างใด</t>
  </si>
  <si>
    <t>Sanction-related deployment challenges for RealityCapture in the Russian Federation.; Cloud-based AI processing poses data leakage risks for classified energy facilities.</t>
  </si>
  <si>
    <t>Development of domestic hybrid methodologies combining classical SfM/MVS algorithms with neural network approaches.; Creation of solutions emphasizing data security and support for domestic CAD systems.; Standardization of accuracy assessment protocols for complex industrial facilities.</t>
  </si>
  <si>
    <t>เน้นย้ำความจำเป็นในการพัฒนาซอฟต์แวร์เฉพาะทางภายในประเทศที่ผสานความแม่นยำแบบคลาสสิกกับอัลกอริทึม AI โดยต้องรับประกันความปลอดภัยทางไซเบอร์ในการจัดการข้อมูลของโครงสร้างพื้นฐาน</t>
  </si>
  <si>
    <t>There is a need to continuously promote the development of AI and ML technologies for the protection of IoT systems in the precepts of fast-paced technological evolution</t>
  </si>
  <si>
    <t>Defence focusing on multi-layered architecture with the application of AI enabled protection mechanisms in perception, network and application layers</t>
  </si>
  <si>
    <t>เปเปอร์นี้เน้นย้ำถึงความจำเป็นเร่งด่วนในการเปลี่ยนผ่านจากมาตรการรักษาความปลอดภัยแบบดั้งเดิมไปสู่สถาปัตยกรรมการป้องกันแบบ Multi-layered ที่ขับเคลื่อนด้วย AI เพื่อรองรับเครือข่าย IoT ที่ขยายตัวรวดเร็ว</t>
  </si>
  <si>
    <t>ขาดการทดสอบการขยายขนาด (Scalability) ในชุดข้อมูลที่มีขนาดใหญ่และซับซ้อนกว่านี้; ไม่ได้ประเมินการใช้ Deep Learning integration หรือความเหมาะสมด้าน computational efficiency อย่างลึกซึ้ง</t>
  </si>
  <si>
    <t>นำโมเดลไปปรับใช้ในระบบ real-time จริงๆ (real-time systems deployement); ทดสอบความสามารถในการขยายขอบเขตเฟรมเวิร์กไปยังโดเมนอื่นๆ เพื่อดู generalizability</t>
  </si>
  <si>
    <t>แสดงให้เห็นว่าการทำ Dynamic data segmentation สามารถยกระดับความสามารถในการเรียนรู้ในสภาวะแวดล้อมที่มีการเปลี่ยนแปลงทางสถิติของข้อมูล (Concept Drift)</t>
  </si>
  <si>
    <t>พูดถึงหลักการสุ่มแบบ Undersampling และ Oversampling (SMOTE) อย่างละเอียดเพื่อแก้ class imbalance แต่ไม่ได้พิจารณาในบริบทของการแก้ Data Leakage</t>
  </si>
  <si>
    <t>ไม่ปรากฏการประยุกต์ใช้งานกราฟ (Graph) ใดๆ ในงานวิจัยนี้</t>
  </si>
  <si>
    <t>การวิเคราะห์พฤติกรรมมุ่งเน้นไปที่ static analysis ของ permissions เป็นหลัก ขาดการวิเคราะห์ในมุมมองของความเชื่อมโยงหรือ Graph-based structures; ขาดการทดสอบด้วยข้อมูลที่มีการแบ่งตามลำดับเหตุการณ์ (Chronological split) เพื่อหลีกเลี่ยงการจำลองการตรวจจับที่เห็นข้อมูลในอนาคต</t>
  </si>
  <si>
    <t>แสดงให้เห็นความสำคัญของการจัดการ Data duplication ก่อนนำข้อมูลไปฝึกสอนในโมเดล และเน้นย้ำความเสี่ยงเชิงพฤติกรรมในการขอ Permission ของแอปพลิเคชันที่ถูกดัดแปลง (Plus apps)</t>
  </si>
  <si>
    <t>มีการใช้กระบวนการ Data Cleansing ด้วยเทคนิค MD5 hashing เพื่อลบตัวอย่างข้อมูลที่ซ้ำกัน (Deduplication) ก่อนทำการ Train/Test แบบ CV</t>
  </si>
  <si>
    <t>ไม่มีการอ้างถึงการใช้งานโมเดลเชิงกราฟแต่อย่างใด เปเปอร์นี้ใช้การประมวลผลผ่านเวกเตอร์ของคุณลักษณะ (Feature vectors) ทางสถิติเท่านั้น</t>
  </si>
  <si>
    <t>the samples in existing datasets provide prior knowledge for new APT attacks, resulting in traceability techniques always falling behind variants; Both static detection and dynamic detection have certain limitations in the detection process; The behavior and mutation speed of malware are very fast, and some malware even have the ability to self transform</t>
  </si>
  <si>
    <t>Delve into the principles of adversarial attacks and analyze the patterns and characteristics of adversarial techniques used in malware; Strengthen dynamic real-time behavior analysis and extract high-level semantic features; Build a detection model that is more suitable for zero-day software by combining multiple types of features; Build models for self-learning and adapting to new environmental changes based on unsupervised techniques and meta-learning</t>
  </si>
  <si>
    <t>งานวิจัยนี้ทำหน้าที่เป็นเสมือนแผนที่นำทาง (roadmap) โดยเน้นย้ำความสำคัญของการก้าวข้ามข้อจำกัดของ Dataset ในปัจจุบัน เพื่อไปสู่การใช้ Dynamic และ Hybrid Graph Modeling ที่ทนทานต่อ Evasion และ Zero-day APTs</t>
  </si>
  <si>
    <t>เน้นย้ำถึงปัญหาของ prior knowledge ใน dataset เดิมที่ทำให้โมเดลไม่สามารถประเมิน Zero-day APT ได้จริง ซึ่งสนับสนุนให้มีการสร้างกลยุทธ์การทดสอบและการสุ่มข้อมูลที่จำลองสถานการณ์ใหม่ๆ ได้ดีกว่าเดิม</t>
  </si>
  <si>
    <t>สนับสนุนชัดเจนผ่านข้อเสนอแนะให้ผสมผสาน dynamic behavior analysis เข้ากับโครงสร้างกราฟ (เช่น CFG, PDG) และการดึง semantic feature ระดับสูง เพื่อให้เข้าใจพฤติกรรมเจตนาร้ายได้อย่างชัดเจนและรับมือกับ zero-day/adversarial evasion ได้</t>
  </si>
  <si>
    <t>it is necessary to further enhance the deep integration of cyber security and rural infrastructure construction</t>
  </si>
  <si>
    <t>งานวิจัยนี้นำเสนอแนวคิดกว้างๆ ในการประยุกต์ใช้ AI และ Big Data ร่วมกับปัจจัยด้าน Cybersecurity เพื่อสนับสนุนการตัดสินใจลงทุนโครงสร้างพื้นฐานระดับชนบท แต่ไม่มีนัยยะสำคัญต่อด้าน Graph-based APT Detection</t>
  </si>
  <si>
    <t>โมเดลมีความซับซ้อนและใช้เวลาในการฝึกสอนสูงกว่าระบบแบบดั้งเดิม (high training complexity); โมเดล Deep Learning ขาดความสามารถในการอธิบายตนเอง (black box nature)</t>
  </si>
  <si>
    <t>ปรับปรุงโครงสร้างโมเดล (Model structure) ผ่านการปรับแต่งจำนวน Layers, Neurons และ Activation function; สำรวจและนำลักษณะเฉพาะของการรับส่งข้อมูลเครือข่ายเพิ่มเติมเข้ามาใช้เพื่อเพิ่มประสิทธิภาพ</t>
  </si>
  <si>
    <t>งานวิจัยนี้ยืนยันถึงความสามารถของ CNN ในการประมวลผลข้อมูลจราจรเครือข่ายแบบสถิติ แต่ยังขาดการใช้ความสัมพันธ์เชิงโครงสร้าง (Graph) แบบสมัยใหม่ในการทำ IDS</t>
  </si>
  <si>
    <t>ไม่มีการกล่าวถึง Sampling Strategy พิเศษเพื่อป้องกัน Leakage นอกจาก Random Split</t>
  </si>
  <si>
    <t>ไม่ได้ใช้ Graph Neural Networks หรือโครงสร้าง Graph ใดๆ และยังคงใช้ Black-box CNN Model พื้นฐาน</t>
  </si>
  <si>
    <t>The current body of scholarly work pertaining to cloud security is characterized by fragmentation and dispersion.</t>
  </si>
  <si>
    <t>Increased reliance on AI and Machine Learning; Greater emphasis on zero trust architectures; Expansion of edge computing; Blockchain for improved security</t>
  </si>
  <si>
    <t>รวบรวมองค์ความรู้ด้านความปลอดภัยคลาวด์เพื่อเป็นแนวทางปฏิบัติให้กับองค์กร และชี้ให้เห็นความจำเป็นของการใช้ AI/ML ในการวิเคราะห์และป้องกันภัยคุกคามในอนาคต</t>
  </si>
  <si>
    <t>รูปแบบการตรวจจับอาศัยคุณลักษณะทางสถิติของแพ็กเก็ตที่ผิดปกติอย่างชัดเจน ซึ่งหากผู้โจมตีทำการส่งข้อมูลทีละน้อยและลดความถี่ลงอาจทำให้หลบเลี่ยงการตรวจจับได้</t>
  </si>
  <si>
    <t>ควรศึกษาและพัฒนาการตรวจจับ Tunnelling ที่ถูกออกแบบมาเพื่อหลบหลีก classifier โดยเฉพาะ; อาจมีความจำเป็นต้องนำฟีเจอร์จากระดับฝั่งของสแตกการทำงานที่ไม่ถูกเข้ารหัส (non-encrypted side) มาใช้ร่วมด้วย</t>
  </si>
  <si>
    <t>แสดงให้เห็นว่าแม้การสืบค้น DNS จะถูกครอบทับด้วยการเข้ารหัส HTTPS (DoH) แต่ทราฟฟิกที่มีลักษณะเป็น Tunneling ยังคงทิ้งร่องรอยด้านขนาดและเวลาที่โมเดล Outlier detection พื้นฐานสามารถจับได้</t>
  </si>
  <si>
    <t>There is need for improvement on all the currently used data privacy models, in order to have stronger data privacy model; Some of the data privacy model can combine to see if they can be used to address some the highlighted challenges</t>
  </si>
  <si>
    <t>Concentrate on the combination of differential privacy and k-anonymity; Investigate the best method that can solve this issue of scalability</t>
  </si>
  <si>
    <t>ให้แนวทางในการพัฒนาระบบรักษาความเป็นส่วนตัวของข้อมูลที่มีความแข็งแกร่งขึ้น โดยการนำโมเดลหลายรูปแบบมาทำงานร่วมกันเพื่อลดข้อจำกัดของแต่ละโมเดลในยุค IoT และ Big Data</t>
  </si>
  <si>
    <t>false alarms of detected concept drift from DDM-OCI; only consider two-class data with abrupt concept drifts</t>
  </si>
  <si>
    <t>reduce the impact of false alarms of detected concept drift; examine the performance when the class imbalance detector and concept drift detector work together; extend this work to data streams with arbitrary number of classes</t>
  </si>
  <si>
    <t>ชี้ให้เห็นถึงความจำเป็นในการแยกแยะระหว่าง Concept Drift และ Class Imbalance Change โดยเฉพาะเมื่อต้องจัดการกับ Streaming data แบบ Real-time</t>
  </si>
  <si>
    <t>เปเปอร์นี้ไม่ได้เกี่ยวกับการสุ่มตัวอย่างบนกราฟ แต่เทคนิคการใช้ Time-decayed metric และ Online bagging resampling สะท้อนแนวคิดการประเมินผลที่ตระหนักถึงการแปรผันตามเวลา</t>
  </si>
  <si>
    <t>ไม่มีการใช้ข้อมูลกราฟหรือโมเดลที่เกี่ยวข้องกับ Explainability ใดๆ</t>
  </si>
  <si>
    <t>แพลตฟอร์ม FL มีประสิทธิภาพลดลงเมื่อจัดการกับข้อมูลที่แตกต่างกันสูง (highly heterogeneous / non-IID data) จากหลายอุปกรณ์; โมเดล FL ยังคงมีความเสี่ยงต่อ adversarial attacks จาก malicious clients</t>
  </si>
  <si>
    <t>สำรวจและป้องกัน adversarial attacks (เช่น poisoned models) ในเครือข่าย FL; พัฒนาเทคนิคระดับสูงเพื่อบรรเทาผลกระทบจากข้อมูลแบบ non-IID ในอุปกรณ์ IoT</t>
  </si>
  <si>
    <t>แสดงให้เห็นว่า Federated Learning เป็นทางเลือกที่มีประสิทธิภาพและปลอดภัยสำหรับระบบตรวจจับการบุกรุก (IDS) ในสถาปัตยกรรม IoT แบบกระจายศูนย์</t>
  </si>
  <si>
    <t>งานวิจัยไม่ได้ศึกษาหรือกล่าวถึง leakage-aware sampling</t>
  </si>
  <si>
    <t>งานวิจัยไม่ได้ใช้โครงสร้างข้อมูลแบบ Graph และไม่ได้เน้นเรื่อง Explainability</t>
  </si>
  <si>
    <t>ขาดการอธิบายโครงสร้างการฝึกสอน (training split) สำหรับการตรวจจับ anomaly บน dataset สมัยใหม่; ไม่มีการประเมินโมเดลกับภัยคุกคามที่มีความซับซ้อนสูงระดับ APT บนกราฟแบบ heterogeneous</t>
  </si>
  <si>
    <t>implement dynamic strategies for bandwidth allocation to reduce computational power required; integrate a mobile cloud-based platform to handle on-demand high-power requests</t>
  </si>
  <si>
    <t>เสนอกรอบการทำงานที่มีน้ำหนักเบาสำหรับการหาเส้นทางและตรวจจับสิ่งผิดปกติบน IoT Edge ผ่านโครงสร้าง Multi-Agent แต่ยังขาดกระบวนการประเมินผลด้าน Machine Learning ที่เคร่งครัดเรื่อง data leakage</t>
  </si>
  <si>
    <t>ไม่ได้กล่าวถึงการแก้ปัญหา leakage ผ่านกระบวนการ sampling</t>
  </si>
  <si>
    <t>มีการใช้ dynamic connectivity graph เพื่อปรับปรุงคะแนน trust score ตามพฤติกรรมในอดีต (historical metrics) ซึ่งช่วยสร้าง Explainability ได้บ้าง แต่ไม่ใช่ deep learning model แบบอธิบายได้ในตัวเอง</t>
  </si>
  <si>
    <t>There is still a lack of a mechanism to address the authority transparency issues for emerging crypto-based privacy-preserving applications without relying on the complex secure logging systems.</t>
  </si>
  <si>
    <t>แสดงให้เห็นถึงความเป็นไปได้ในการใช้ Blockchain เพื่อเพิ่มความโปร่งใสให้กับ TPA ในระบบการเรียนรู้เชิงลึกที่รักษาความเป็นส่วนตัว (Privacy-preserving federated learning)</t>
  </si>
  <si>
    <t>บทความนี้ไม่เกี่ยวข้องกับการป้องกันข้อมูลรั่วไหลระหว่างการฝึกสอนและการทดสอบ (Train-test contamination)</t>
  </si>
  <si>
    <t>บทความไม่ได้มุ่งเน้นหรือประยุกต์ใช้ Graph Neural Networks หรือการทำ Explainability สำหรับโมเดลความปลอดภัยบนกราฟ</t>
  </si>
  <si>
    <t>Lack of Real-World Testing; GAN Stability issues; Sensitivity to Hyperparameters; Complexity of Temporal Dependencies</t>
  </si>
  <si>
    <t>Evaluate the model in the real world with real IoT traffic; Research into auto tuning mechanisms; Exploration of hybrid approaches, such as the integration of recurrent neural networks (RNNs)</t>
  </si>
  <si>
    <t>แสดงให้เห็นว่าการผสมผสาน TCN, GAN (สำหรับการเพิ่มข้อมูล minority class) และ Federated Learning สามารถรับมือกับปัญหา class imbalance และ privacy ในเครือข่าย IoT ได้ดี</t>
  </si>
  <si>
    <t>สนับสนุนในแง่ของสถาปัตยกรรม (Architecture) ที่ใช้ Causal Dilated Convolutions เพื่อป้องกันข้อมูลจากอนาคตรั่วไหล (Temporal leakage) แต่ไม่ได้ใช้เทคนิค Sampling แบบพิเศษเพื่อป้องกัน Data leakage โดยตรง</t>
  </si>
  <si>
    <t>เปเปอร์นี้ไม่ได้ใช้สถาปัตยกรรมกลุ่ม Graph Neural Networks (GNNs) ใช้เพียงการจัดการเชิงอนุกรมเวลา (Sequence/Temporal features) และใช้วิธี SHAP เป็น Post-hoc explainability ซึ่งไม่ใช่ Intrinsic explainability</t>
  </si>
  <si>
    <t>investigate further the integration of this automata learning method into the context of an automated management framework for security chains with our Synaptic checker.</t>
  </si>
  <si>
    <t>work on the generation or selection of chains of security functions, based on the inferred finite-state automata; optimizing the formal models that we generate, based on the nature of the properties to ensure</t>
  </si>
  <si>
    <t>แสดงให้เห็นถึงความเป็นไปได้ในการใช้ Automata learning กับข้อมูล Network Flow Graph (ที่ถูก Aggregated) เพื่อสร้างและปรับใช้ SDN Policies สำหรับป้องกัน Android environment อย่างอัตโนมัติ</t>
  </si>
  <si>
    <t>ไม่ได้นำเสนอหรือพูดถึงกลยุทธ์การ Sampling และปัญหา Data Leakage ในการประเมินผล</t>
  </si>
  <si>
    <t>Finite-state automata นำเสนอรูปแบบคล้ายกราฟที่อธิบายกลไก State/Transition ของแอปพลิเคชันได้ (Explainability) แต่ยังไม่รองรับ Heterogeneous Graph เชิงลึก</t>
  </si>
  <si>
    <t>Traditional monitoring tools may struggle to keep pace with the continuous flow of data; Encrypted data traffic obscures the contents of communications, making it difficult to inspect</t>
  </si>
  <si>
    <t>Advanced Analytics and Machine Learning; Behavioral Analysis; Integration with Security Ecosystem (SIEM, EDR); Cloud-Native Solutions (CASBs, CWPPs, CSPM)</t>
  </si>
  <si>
    <t>ให้ภาพรวมของงานวิจัยด้าน DLP โดยเน้นย้ำถึงความจำเป็นในการใช้เทคโนโลยีขั้นสูงอย่าง Machine Learning และ Behavioral Analysis เพื่อรับมือกับภัยคุกคามภายใน (Insider Threats) ในสภาพแวดล้อมที่มีการเข้ารหัสและซับซ้อนมากขึ้น</t>
  </si>
  <si>
    <t>Critical gaps remain in standardized AI audit tools, real-time misinformation detection; Lack of understanding the long-term cognitive effects of AI in education</t>
  </si>
  <si>
    <t>Conduct empirical investigations into how engineering managers implement GenAI governance frameworks in real educational settings; Develop managerial metrics to evaluate organizational readiness and cognitive security maturity; Explore organizational capabilities required to sustain GenAI cognitive security</t>
  </si>
  <si>
    <t>สร้างรากฐานแนวคิดเชิงระบบและแผนงานการกำกับดูแล เพื่อสนับสนุนการนำ GenAI ไปใช้อย่างปลอดภัยและน่าเชื่อถือในระบบการศึกษาแบบสมาร์ท</t>
  </si>
  <si>
    <t>ขาดการปรับใช้และประเมินผลการตรวจจับกับการโจมตีด้าน side-channel รูปแบบอื่นๆ เช่น timing และ electromagnetic attacks; การขาดระบบ training แบบกระจายศูนย์ (distributed training) สำหรับจัดการปัญหาเรื่อง Data Privacy ในระดับคลาวด์</t>
  </si>
  <si>
    <t>ศึกษาและปรับใช้โมเดล HEDL กับการโจมตี SCA ชนิดอื่น (timing and electromagnetic attacks); บูรณาการ Federated Learning เข้ากับ HEDL เพื่อเพิ่ม Scalability และรักษา Privacy ของข้อมูล</t>
  </si>
  <si>
    <t>แสดงให้เห็นว่าการใช้ Hybrid Deep Learning ร่วมกับ Attention มีประสิทธิภาพสูงสำหรับข้อมูลสัญญาณที่มีสัญญาณรบกวนมาก แต่การวัดผลบนบริบทความปลอดภัยของโครงสร้างกราฟยังไม่อยู่ในขอบเขตการศึกษา</t>
  </si>
  <si>
    <t>มีการกล่าวถึงการแบ่งข้อมูลอย่างถูกต้องเพื่อหลีกเลี่ยง data leakage แต่ใช้วิธีสุ่มแบ่งแบบพื้นฐาน (80/10/10) เท่านั้น</t>
  </si>
  <si>
    <t>งานวิจัยนี้ประมวลผล Time-series power traces โดยไม่ได้ใช้โครงสร้างข้อมูลแบบกราฟ (Graph structure)</t>
  </si>
  <si>
    <t>Lack of empirical evaluation using real-world distribution system datasets; No experimental validation of the proposed combinatorial risk optimization model</t>
  </si>
  <si>
    <t>Promoting the development of intelligent distribution terminal operation and maintenance security in all directions</t>
  </si>
  <si>
    <t>เสนอกรอบแนวคิดเชิงสถาปัตยกรรมและโปรโตคอลเพื่อเสริมความปลอดภัยในเครือข่าย Smart Grid ระดับสถานีจ่ายไฟและอุปกรณ์ปลายทาง</t>
  </si>
  <si>
    <t>ขาดการใช้ Temporal split ในการประเมินผลข้อมูลประเภท Time-series; ผลประเมินที่ 100% อาจมาจาก Data leakage มากกว่าประสิทธิภาพที่แท้จริงของโมเดล</t>
  </si>
  <si>
    <t>มุ่งเน้นการทดสอบกับสถานการณ์ในโลกจริง (Real-world scenarios); เพิ่มจำนวนตัวอย่างและรูปแบบของชุดข้อมูลให้หลากหลายเพื่อทดสอบ Generalization</t>
  </si>
  <si>
    <t>การนำ Mamba มาใช้กับ Time-series intrusion detection แสดงให้เห็นถึงศักยภาพที่ดีในการลด Time complexity แต่จำเป็นต้องมีวิธีการวัดผลที่เข้มงวดและสมจริงขึ้นเพื่อยืนยันประสิทธิภาพ</t>
  </si>
  <si>
    <t>ภัยคุกคามด้านความปลอดภัยมีความซับซ้อนและหลากหลายมากขึ้นตามกาลเวลา จึงจำเป็นต้องมีการตรวจสอบและปรับปรุงอย่างต่อเนื่อง</t>
  </si>
  <si>
    <t>ควรมีการวิจัยเพิ่มเติมเพื่อพัฒนาโซลูชันความปลอดภัยอัตโนมัติ (Automated Security Solutions) โดยใช้ Artificial Intelligence (AI) และ Machine Learning</t>
  </si>
  <si>
    <t>ความปลอดภัยของ Medical Software ไม่ใช่แค่ปัญหาทางเทคนิค แต่เป็นปัจจัยสำคัญในการรักษาความปลอดภัยของผู้ป่วยและความน่าเชื่อถือของระบบสาธารณสุข</t>
  </si>
  <si>
    <t>lack of richer heterogeneous information network data; interaction efficiency between the model and HIN needs improvement</t>
  </si>
  <si>
    <t>construct a richer heterogeneous information network data and mine more node structure features; combine more effective reinforcement learning methods to improve the interaction efficiency</t>
  </si>
  <si>
    <t>ลดความจำเป็นที่ผู้เชี่ยวชาญต้องพึ่งพา domain knowledge ในการออกแบบ meta-paths แบบแมนนวล ด้วยการใช้ RL สร้าง adaptive meta-paths ขุดค้น semantic features อัตโนมัติ</t>
  </si>
  <si>
    <t>สนับสนุนทางอ้อมผ่านการเก็บข้อมูลและประเมินผลแยกเป็นรายปี (Temporal Split) ตั้งแต่ 2013-2021 แต่ไม่ได้จัดการ leakage เชิงรุก</t>
  </si>
  <si>
    <t>ใช้ Heterogeneous Graph (APP, API, Permission) ช่วยอธิบายเชิงโครงสร้าง (Explainability) ผ่าน adaptive meta-paths แต่ยังเป็นโมเดลสำหรับ Static Graph ไม่ใช่ Dynamic/Streaming</t>
  </si>
  <si>
    <t>แสดงให้เห็นถึงความเป็นไปได้และความเสี่ยงของการประยุกต์ใช้โมเดลโครงข่ายประสาทเทียมขนาดเล็ก (MLP) บนแผงวงจร FPGA สำหรับทำหน้าที่เป็น Hardware Trojan อัจฉริยะในระดับบัสข้อมูล</t>
  </si>
  <si>
    <t>บทความนี้ไม่ได้กล่าวถึงปัญหาการรั่วไหลของข้อมูล (Data Leakage) หรือกลยุทธ์การสุ่มตัวอย่าง</t>
  </si>
  <si>
    <t>บทความไม่ได้ใช้วิธีการอิงตามกราฟ (Graph-based) และไม่ได้ออกแบบกลไกเพื่ออธิบายผลเชิงโครงสร้าง (Explainability)</t>
  </si>
  <si>
    <t>How to reduce the complexity and running time of the algorithm while ensuring the detection accuracy is an important direction of future research</t>
  </si>
  <si>
    <t>Focus on the optimization and innovation of algorithms to adapt to the ever-changing network security environment; Optimize and improve the high-load scenario</t>
  </si>
  <si>
    <t>แสดงให้เห็นถึงศักยภาพของการใช้ Deep learning (CNN+LSTM) ผสานกับการปรับตัวอัตโนมัติ (Adaptive strategy) ในการยกระดับความปลอดภัยบนเครือข่าย 5G</t>
  </si>
  <si>
    <t>ไม่ระบุ เนื่องจากไม่มีการกล่าวถึง Sampling strategy หรือ Data leakage</t>
  </si>
  <si>
    <t>ไม่ได้ใช้งาน Graph-based model ในการวิจัยนี้</t>
  </si>
  <si>
    <t>DNA signature analysis using PCR and gel electrophoresis is susceptible to temperature, ionic properties, and pH; Cost of obtaining specialized chemicals, enzymes, and oligonucleotide synthesis at scale is still greater than in classical cryptography</t>
  </si>
  <si>
    <t>Use new polymerase enzymes or hydrogels to customize biological processes in different environments; Photonic circuits embedded in DNA logic gate arrays automate and parallelize analytical workflows; Machine learning can improve DNA primer design, cryptography, and replication</t>
  </si>
  <si>
    <t>บทความนี้นำเสนอแนวทางข้ามศาสตร์ (Interdisciplinary) ระหว่าง DNA nanotechnology และสถาปัตยกรรมความปลอดภัยของคลาวด์ เพื่อเป็นทางเลือกในการพัฒนาระบบป้องกันข้อมูลในอนาคต</t>
  </si>
  <si>
    <t>ไม่ได้ศึกษาถึงวิธีการแบ่งข้อมูลแบบ temporal evaluation บนชุดข้อมูลความปลอดภัยของ IoT ซึ่งเป็นสิ่งจำเป็นต่อการวัดประสิทธิภาพที่สมจริง</t>
  </si>
  <si>
    <t>แสดงถึงศักยภาพของกลไก Federated Learning แบบ Lightweight ที่ทนทานต่อ Poisoning attacks ได้จริง แต่อาจไม่ตอบโจทย์เรื่อง Graph-based APT Detection</t>
  </si>
  <si>
    <t>ไม่ได้กล่าวถึงเทคนิคการทำ Sampling เพื่อลดการรั่วไหลของข้อมูล</t>
  </si>
  <si>
    <t>เป้าหมายหลักคือการใช้ LightGBM ในรูปแบบตารางหรือ feature (Tabular Data) ไม่ใช่โมเดลประเภทกราฟ (Graph Neural Networks)</t>
  </si>
  <si>
    <t>ไม่มีการเปิดเผยรายละเอียดกระบวนการสร้างและประเมินชุดข้อมูล Machine Learning อย่างสมบูรณ์ ทำให้ผลทดสอบตรวจสอบซ้ำได้ยาก</t>
  </si>
  <si>
    <t>accuracy can be further increased with the availability of more datasets for malwares; protection can be increased with the help of fine tuning the sensitive data by the user himself</t>
  </si>
  <si>
    <t>แสดงถึงความพยายามเบื้องต้นในการรวมกลไก ML เข้าไปป้องกันภัยคุกคามในระดับระบบปฏิบัติการของ Mobile OS แต่ยังขาดความรัดกุมในการประเมินผลทางวิทยาศาสตร์ข้อมูล</t>
  </si>
  <si>
    <t>ไม่ได้กล่าวถึงปัญหา Data Leakage ในมุมมองของการฝึกสอนโมเดล Machine Learning แต่อย่างใด (คำว่า Data Leakage ในเอกสารหมายถึง Sensitive Data Leakage Prevention สำหรับข้อมูลผู้ใช้ส่วนบุคคล)</t>
  </si>
  <si>
    <t>ไม่ได้นำเสนอโมเดลแบบ Graph-based และไม่มีการพูดถึง Explainability ของผลลัพธ์มัลแวร์</t>
  </si>
  <si>
    <t>ขนาดของงานวิจัยที่นำมาศึกษามีจำกัด และข้อมูลไม่ได้เป็นตัวแทนของประชากรทั้งประเทศอินโดนีเซีย; การศึกษาที่ผ่านมาส่วนใหญ่มุ่งเน้นไปที่องค์กรใหญ่หรือเมืองหลัก ไม่ครอบคลุมประชากรในชนบท</t>
  </si>
  <si>
    <t>ควรมีการศึกษาวิจัยเพิ่มเติมโดยใช้แหล่งข้อมูลและวิธีการที่หลากหลาย เพื่อให้ได้ผลลัพธ์ที่แม่นยำและครอบคลุมมากยิ่งขึ้น</t>
  </si>
  <si>
    <t>เน้นย้ำถึงความจำเป็นเร่งด่วนในการกำหนดแคมเปญให้ความรู้ที่มีเป้าหมายชัดเจน เพื่อเพิ่มความตระหนักรู้สาธารณะเกี่ยวกับฟิชชิงและภัยคุกคามทางไซเบอร์ในอินโดนีเซีย</t>
  </si>
  <si>
    <t>ไม่ได้นำเสนอหรือใช้งานเทคนิค Machine Learning จึงไม่มีการพูดถึง Sampling Strategy หรือ Data Leakage เลย</t>
  </si>
  <si>
    <t>ไม่ได้ใช้ Graph-based models หรือแนวคิดทาง Graph dynamics ใดๆ สำหรับการตรวจจับภัยคุกคาม</t>
  </si>
  <si>
    <t>There needs to be an institution that has specific tasks and, more importantly, is independent in supervising personal data.; Election law must be adjusted to protect electronic personal data and other developments.</t>
  </si>
  <si>
    <t>Optimizing the role of the cybersecurity task force team can be an alternative to mitigating data leakage.; The government should immediately issue regulations related to data protection officers as mandated by the PDP Law.</t>
  </si>
  <si>
    <t>บทความนี้ตอกย้ำถึงความจำเป็นที่จะต้องยกระดับความปลอดภัยทางไซเบอร์ในโครงสร้างพื้นฐานของรัฐ ควบคู่ไปกับการบังคับใช้กฎหมายที่เท่าทันต่อเทคโนโลยี</t>
  </si>
  <si>
    <t>There are significant gaps in our understanding of its full potential, limitations, and broader societal implications.</t>
  </si>
  <si>
    <t>Protecting user privacy, ensuring transparency, and obtaining user consent are crucial factors that should be integrated into the development</t>
  </si>
  <si>
    <t>ชี้ให้เห็นถึงความจำเป็นในการรักษาสมดุลระหว่างประสิทธิภาพของ AI ในการปกป้อง MSNs และการคุ้มครองความเป็นส่วนตัวของผู้ใช้ (Privacy vs. Security)</t>
  </si>
  <si>
    <t>Current malware primarily targets small data sets such as binary data, passwords, and encryption keys.; Potential for more research on malware techniques for data infiltration.; More studies should focus on software techniques for detecting malware.</t>
  </si>
  <si>
    <t>Exploring new malware techniques to expand the understanding of their functionality.; Investigating new covert channels for data exfiltration, such as Vibration Attack Techniques.; Handling large-scale data exfiltration including historical data, videos, and high-quality images.; Developing novel transmitter and receiver components.</t>
  </si>
  <si>
    <t>บทความนี้เน้นย้ำความเสี่ยงที่ยังคงอยู่ของระบบ Air-gapped ICS จากภัยคุกคามภายในและเทคนิคระดับกายภาพ ซึ่งชี้ให้เห็นความต้องการของระบบตรวจจับพฤติกรรมผิดปกติรูปแบบใหม่ๆ</t>
  </si>
  <si>
    <t>ไม่มีการกล่าวถึงการแบ่งชุดข้อมูลหรือเทคนิค Sampling เนื่องจากไม่ใช่งานวิจัยด้าน ML</t>
  </si>
  <si>
    <t>ไม่ได้นำเสนอโมเดลความสัมพันธ์แบบกราฟ</t>
  </si>
  <si>
    <t>The proposed approach depends on the presence of detailed system models and data flow diagrams, which may not always be readily accessible</t>
  </si>
  <si>
    <t>Automating or semi-automating the generation of the DFD; Investigate the integration of our approach with common CPS design and engineering software tools; Empirical studies to quantify the benefits of our approach</t>
  </si>
  <si>
    <t>เสนอกรอบการคิดแบบ Security-by-design ที่ช่วยวิเคราะห์และจำลองความเชื่อมโยงของการโจมตี (Multi-step attacks) เพื่อค้นหาจุดอ่อนตั้งแต่กระบวนการออกแบบระบบ (Design Phase) ของ Cyber-Physical Systems (CPS)</t>
  </si>
  <si>
    <t>ไม่ได้เสนอหรือเกี่ยวข้องกับการทำ Data Sampling และ ML Training Pipeline ใดๆ</t>
  </si>
  <si>
    <t>อาศัย Data Flow Diagram (DFD) ซึ่งเป็นกราฟแสดงการไหลของข้อมูล (อธิบายสาเหตุและลำดับขั้นตอนได้ดี) แต่ยังเป็นเพียง Static graph เชิงโครงสร้าง ไม่ใช่ Dynamic Heterogeneous Graph สำหรับตรวจจับความผิดปกติแบบเรียลไทม์</t>
  </si>
  <si>
    <t>Existing single-node forensics traceability method... has the problem of fragmentation... and is difficult to be used for accountability</t>
  </si>
  <si>
    <t>เสนอสถาปัตยกรรมเก็บหลักฐานจราจรทางเครือข่ายที่เน้นความน่าเชื่อถือ (Trust) มากกว่าเทคนิคการเรียนรู้ (Learning)</t>
  </si>
  <si>
    <t>มีการสร้าง 'Attack trace graph' เพื่อแสดงผลลัพธ์แก่ผู้ใช้ แต่ไม่ได้ระบุวิธีการสร้างเชิง Graph Learning หรือ Explainability model ที่ชัดเจน</t>
  </si>
  <si>
    <t>Manual meta-path design requires domain knowledge and is difficult for detectors to understand.; Fixed meta-paths limit the exploration of node paths in different graphs.; Existing models have poor robustness against obfuscation techniques.</t>
  </si>
  <si>
    <t>Construct a richer heterogeneous information network data.; Combine more effective reinforcement learning methods to improve interaction efficiency.; Mine more node structure features in the APP.</t>
  </si>
  <si>
    <t>การใช้ RL เพื่อค้นหาโครงสร้าง Graph (Meta-path) อัตโนมัติช่วยแก้ปัญหาการพึ่งพาผู้เชี่ยวชาญ และเพิ่มความยืดหยุ่นในการตรวจจับ Malware ที่มีการเปลี่ยนแปลงโครงสร้าง</t>
  </si>
  <si>
    <t>สนับสนุนการใช้ Heterogeneous Graph และ Attention Mechanism เพื่อความสามารถในการอธิบาย (Explainability) ผ่าน Meta-path แต่ยังไม่ได้เป็น Dynamic Graph เต็มรูปแบบ (Graph เป็น Static แต่ Path generation เป็น Adaptive)</t>
  </si>
  <si>
    <t>The overall process of randomization increases the area of the entire design</t>
  </si>
  <si>
    <t>The future focus would be extending RECORD design using two-bit random which is applicable to all sequential circuits</t>
  </si>
  <si>
    <t>Not Applicable for Graph-based APT Detection (Hardware Security focus)</t>
  </si>
  <si>
    <t>เนื้อหาไม่เกี่ยวข้องกับการสุ่มตัวอย่างข้อมูล (Sampling) ใน Machine Learning</t>
  </si>
  <si>
    <t>เนื้อหาไม่เกี่ยวข้องกับ Graph Learning หรือ Explainability ในบริบท AI</t>
  </si>
  <si>
    <t>lack of comprehensively benchmarking different deep learning models on the same dataset</t>
  </si>
  <si>
    <t>extend the capability of uitMultiClandroid with more labels rather than only two labels; focus on features relating to static analysis in this work, other features in dynamic manner ... should also be considered</t>
  </si>
  <si>
    <t>การแปลง Static features เป็นรูปภาพเพื่อใช้กับ CNN เป็นทางเลือกหนึ่ง แต่การประเมินผลยังขาดความรัดกุมเรื่อง Temporal consistency</t>
  </si>
  <si>
    <t>ไม่ได้กล่าวถึงปัญหา Leakage หรือ Sampling strategy ที่ซับซ้อน ใช้เพียง Random split</t>
  </si>
  <si>
    <t>งานวิจัยนี้เป็น Image-based approach ไม่ใช่ Graph-based</t>
  </si>
  <si>
    <t>Data imbalance and noise may affect model training; Large amount of computing resources required for model training and reasoning</t>
  </si>
  <si>
    <t>Continuously optimized in terms of data quality, model generalization ability and calculation consumption</t>
  </si>
  <si>
    <t>การรวม Deep Learning (CNN/LSTM) เข้ากับ Reinforcement Learning (Q-learning) แสดงศักยภาพในการสร้างระบบป้องกันแบบ Adaptive แต่ยังต้องคำนึงถึงทรัพยากรที่ใช้</t>
  </si>
  <si>
    <t>บทความไม่ได้เน้นเรื่อง Sampling strategy หรือ Leakage control</t>
  </si>
  <si>
    <t>บทความใช้ CNN และ LSTM ไม่ได้ใช้ Graph Neural Networks</t>
  </si>
  <si>
    <t>Excessive broadening can reduce the data’s usefulness; Differential privacy entails a more substantial computational reduction compared to other anonymization techniques</t>
  </si>
  <si>
    <t>Exploring and testing hybrid anonymization approaches; Performance optimization; Adaptive anonymization strategies</t>
  </si>
  <si>
    <t>การนำเทคนิค Anonymization มาใช้ใน HIS ต้องคำนึงถึง trade-off ระหว่างความเป็นส่วนตัว (Privacy) และประสิทธิภาพการทำงานของระบบ (Performance/Utility)</t>
  </si>
  <si>
    <t>Classical classifiers were frequently evaluated on synthetic or restricted IoT datasets without taking into account genuine wireless sensor network (WSN) constraints.; Unusually high values of precision and recall (near 1.0) require critical consideration... may be due to... lack of real-world diversity in attack vectors.</t>
  </si>
  <si>
    <t>Integration of on-node lightweight classifiers with gateway-level deep feature extraction.; Validation on a more diverse set of traffic, such as unseen devices, and blended protocols.; Merging federated and hybrid learning methodologies.</t>
  </si>
  <si>
    <t>เน้นย้ำความสำคัญของการเลือก Model ให้เหมาะกับข้อจำกัดทรัพยากร (เช่น LR บน Sensor node, RF บน Cluster-head) แต่ยังคงใช้ Evaluation แบบดั้งเดิมที่เสี่ยงต่อ Bias ในงาน Security</t>
  </si>
  <si>
    <t>ไม่ได้นำเสนอ Sampling แบบใหม่ ใช้เพียง Stratified Sampling ปกติ</t>
  </si>
  <si>
    <t>งานวิจัยนี้เป็น Tabular Machine Learning (LR, RF, GB) ไม่ใช่ Graph-based methods</t>
  </si>
  <si>
    <t>Expand the scope of URL detection to the whole web detection; Add malicious web attack analysis, real-time analysis; Update function of the dataset; Malicious source code detection function based on image recognition</t>
  </si>
  <si>
    <t>บทความไม่ได้กล่าวถึง Graph sampling หรือ Leakage control ในบริบทของ Graph-based detection</t>
  </si>
  <si>
    <t>งานวิจัยนี้เป็น Feature-based learning (Lexical/Content) บน URL ไม่ได้ใช้ Graph structure</t>
  </si>
  <si>
    <t>The need for numerous communication cycles increases computational costs</t>
  </si>
  <si>
    <t>Optimize the learning algorithms to reduce the number of iterations; Minimize the computational cost of the IoMT clients</t>
  </si>
  <si>
    <t>แสดงให้เห็นถึงศักยภาพของ Lightweight ML (XGBoost) ในสภาพแวดล้อม Federated Learning สำหรับ IoMT แต่ยังขาดความตระหนักเรื่อง Evaluation pitfalls ที่พบบ่อยในงาน Network Security</t>
  </si>
  <si>
    <t>Paper นี้ไม่ได้นำเสนอกลยุทธ์การสุ่มตัวอย่าง (Sampling) ที่คำนึงถึง Leakage</t>
  </si>
  <si>
    <t>Paper นี้ใช้วิธี Tree-based (XGBoost) และไม่ได้ใช้งาน Graph-based methods</t>
  </si>
  <si>
    <t>Lack of investigation into the impact of variants of statistical LDP on FedAVG in IoFT security domain.</t>
  </si>
  <si>
    <t>Investigate the impact of advanced aggregation algorithms and differential privacy mechanisms.; Analyze the interplay among privacy, communication costs, and utility.</t>
  </si>
  <si>
    <t>Differential Privacy สามารถนำมาใช้ร่วมกับ Federated Learning ในงาน Intrusion Detection ได้โดยไม่ลดทอนประสิทธิภาพโมเดลมากจนเกินไป หากมีการปรับจูน Noise parameter ที่เหมาะสม</t>
  </si>
  <si>
    <t>งานวิจัยเน้น Privacy Leakage ไม่ใช่ Evaluation Data Leakage และใช้วิธีสุ่มแบ่งข้อมูลแบบพื้นฐาน</t>
  </si>
  <si>
    <t>งานวิจัยใช้ Deep Neural Network แบบมาตรฐาน (MLP) บนข้อมูล Tabular features ไม่ได้ใช้ Graph-based methods</t>
  </si>
  <si>
    <t>Requires heavy computing resources in reassembling packets and only well-known protocols can be interpreted.; Finding similar files from a storage requires pairwise comparisons.</t>
  </si>
  <si>
    <t>นำเสนอแนวทาง Non-Graph (Set-intersection based) ที่มีประสิทธิภาพสูงสำหรับการตรวจจับไฟล์ ซึ่งอาจเป็น Baseline ที่ดีสำหรับวิธีการซับซ้อนกว่า</t>
  </si>
  <si>
    <t>มีการแยกชุดข้อมูลทดสอบเป็นกลุ่ม Identical, Similar (Variants), และ Different เพื่อทดสอบความสามารถในการ Generalize แต่ไม่ได้พูดถึง Sampling ในบริบทของ Machine Learning Training</t>
  </si>
  <si>
    <t>Manual efforts to secure an IoT cloud... SecHARE requires the user to provide a configuration file.</t>
  </si>
  <si>
    <t>Integrating NLP techniques into SecHARE to improve its automation and accuracy (automatically locate/identify method names).; Explore applicability of frameworks like GoAOP or AspectDNG to support other languages (Go, C#) beyond Java.</t>
  </si>
  <si>
    <t>Highlights the prevalence of ad-hoc authorization mechanisms in IoT clouds leading to data leakage and demonstrates an automated, aspect-oriented patching approach.</t>
  </si>
  <si>
    <t>The paper does not address sampling strategies for learning-based systems.</t>
  </si>
  <si>
    <t>The paper does not utilize graph-based learning. It mentions using an AST (Abstract Syntax Tree) for static analysis to generate patches, but not for APT detection.</t>
  </si>
  <si>
    <t>Traditional access control models were designed for particular environments and could not be deployed directly in the cloud without security investigations; Many of the factors influencing the risk assessment process must be considered. Besides, it lacks adaptive features</t>
  </si>
  <si>
    <t>To enhance access control models in the cloud, proper risk control and mitigation methods should be deployed and integrated into any access control models used in the cloud</t>
  </si>
  <si>
    <t>เน้นย้ำความจำเป็นของการบูรณาการ Risk Assessment เข้ากับ Access Control (เช่น RBAC) เพื่อรองรับ Dynamic environment ของ Cloud</t>
  </si>
  <si>
    <t>บทความนี้ไม่เกี่ยวข้องกับ Sampling strategy หรือ Machine Learning evaluation</t>
  </si>
  <si>
    <t>บทความนี้ไม่เกี่ยวข้องกับ Graph-based methods</t>
  </si>
  <si>
    <t>Existing DLP solutions ignore malicious attacks on documents; Content-based attacks are successful evading fingerprinting and regex algorithms</t>
  </si>
  <si>
    <t>การใช้ NLP features (n-grams, LSA) ร่วมกับ Ensemble Classifier ช่วยเพิ่มความทนทานต่อการโจมตี DLP evasion ได้ดีกว่า Deep Learning (CNN) แบบดั้งเดิมในบริบทนี้</t>
  </si>
  <si>
    <t>ไม่ได้เน้นเรื่อง Graph-based หรือ Sampling strategy ที่ซับซ้อน เป็นเพียงการ balance จำนวนคลาสใน test set</t>
  </si>
  <si>
    <t>งานวิจัยนี้เป็น Text Classification โดยใช้ NLP features ไม่ใช่งาน Graph-based</t>
  </si>
  <si>
    <t>Current version is still bulky and costly for ubiquitous power measurement; Need to be validated in real-world deployment with commercial IoT devices; Convolutional layer consumes majority of processing time</t>
  </si>
  <si>
    <t>Develop small form-factor AC-plug meter (smart plug integration); Apply unsupervised learning to avoid labeling requirement; Enhance inference protocol performance</t>
  </si>
  <si>
    <t>แสดงให้เห็นความเป็นไปได้ในการใช้ Power Side-channel ตรวจจับ Intrusion ใน IoT โดยไม่ต้องแก้ไข Software ภายในอุปกรณ์ และเสนอแนวทาง Distributed Privacy-preserving ML</t>
  </si>
  <si>
    <t>สนับสนุนแนวคิดการแบ่งข้อมูลแบบ Entity-aware (Device-aware/Botnet-aware) เพื่อลด Bias จากการจำรูปแบบเฉพาะเจาะจง แต่ไม่ได้ทำในบริบทของ Graph</t>
  </si>
  <si>
    <t>งานวิจัยนี้เป็น Time-series analysis (Power traces) ไม่เกี่ยวข้องกับ Graph-based methods</t>
  </si>
  <si>
    <t>Current attacks do not consider malicious data embedding and privacy leakage between domains in parameter exchange.</t>
  </si>
  <si>
    <t>Investigate data embedding challenges when FL is combined with differential privacy and homomorphic encryption.; Propose mitigation and detection methods for this kind of covert communication.</t>
  </si>
  <si>
    <t>Demonstrates that Federated Learning gradients can be used as a covert channel for data exfiltration without significant performance degradation.</t>
  </si>
  <si>
    <t>Paper uses standard random splitting for image classification in FL, irrelevant to strategic sampling in security graphs.</t>
  </si>
  <si>
    <t>No graph methodology used.</t>
  </si>
  <si>
    <t>Existing TES works only focus on the coordination mechanism instead of privacy and security issues.; Technique in [17] cannot detect data replace or reorder attacks.</t>
  </si>
  <si>
    <t>Investigate scenarios where suppliers and customers themselves could be corrupted and submit distorted amounts.; Study of Byzantine attacks.</t>
  </si>
  <si>
    <t>นำเสนอวิธีการใช้ Cryptography (Homomorphic Encryption) ในระบบควบคุมแบบลำดับชั้น (Hierarchical Control) เพื่อป้องกัน Privacy และตรวจสอบ Data Integrity โดยไม่ต้องอาศัย ML</t>
  </si>
  <si>
    <t>งานวิจัยนี้ไม่ใช้วิธีการเรียนรู้ของเครื่อง (Machine Learning) หรือการสุ่มตัวอย่าง (Sampling) จึงไม่สนับสนุนหัวข้อนี้</t>
  </si>
  <si>
    <t>แม้ระบบจะมีโครงสร้างเป็นกราฟแบบลำดับชั้น (Hierarchical) แต่วิธีการตรวจจับเป็นแบบ Deterministic (Signature Verification) ไม่ใช่ Graph Learning ที่ต้องการความสามารถในการอธิบาย (Explainability) ในเชิง AI</t>
  </si>
  <si>
    <t>นำเสนอแนวทางใช้ Blockchain เพื่อรักษาความลับในการส่งข้อความ แต่ไม่เกี่ยวข้องโดยตรงกับ Graph-based APT Detection.</t>
  </si>
  <si>
    <t>บทความนี้เน้นระบบแนะนำงาน (Job Recommendation) โดยมีการกล่าวถึง Network Security เป็นเพียงโมดูลป้องกันระบบ ไม่ใช่การใช้ Graph Learning เพื่อตรวจจับ APT จึงมีความเกี่ยวข้องน้อยมากกับหัวข้อวิจัยหลัก</t>
  </si>
  <si>
    <t>ให้ภาพรวมเชิงสถิติและการจัดการความปลอดภัยในองค์กร แต่ไม่เกี่ยวข้องโดยตรงกับการพัฒนาเทคนิค Graph-based APT Detection</t>
  </si>
  <si>
    <t>Encryption and Anonymization: Encrypted data traffic obscures the contents of communications; Traditional monitoring tools may struggle to keep pace with the continuous flow of data</t>
  </si>
  <si>
    <t>Advanced Analytics and Machine Learning to analyze large volumes of data in real-time; Integration with Security Ecosystem (SIEM, EDR); Behavioral Analysis for identifying suspicious activities</t>
  </si>
  <si>
    <t>บทความนี้ใช้คำว่า 'Data Leakage' ในความหมายของการรั่วไหลของข้อมูลความลับ (Information Security) ไม่ใช่ Data Leakage ในความหมายของการปนเปื้อนข้อมูลใน ML (Evaluation Methodology)</t>
  </si>
  <si>
    <t>มีการกล่าวถึง Graph ในงานวิจัยที่ถูกรีวิวบางชิ้น (เช่น dependency graphs, social networks) แต่ตัวบทความหลักเป็น Survey ทั่วไป</t>
  </si>
  <si>
    <t>การประเมินผลบนข้อมูล Streaming ควรระมัดระวังเรื่อง Temporal Leakage และการใช้ SMOTE แบบ Global; ไม่ได้ระบุวิธีการจัดการกับ Concept Drift ในแง่ของการ update โมเดลที่ชัดเจนในผลการทดลอง (แสดงเพียง Metrics โดยรวม)</t>
  </si>
  <si>
    <t>เพิ่มประสิทธิภาพด้วย clustering และ feature selection techniques</t>
  </si>
  <si>
    <t>งานวิจัยนี้เป็นตัวอย่างของการประเมินผลที่มีความเสี่ยงสูง (High Risk of Bias) ในด้าน Security AI เนื่องจากลำดับขั้นตอนการ Preprocessing ที่อาจทำให้ผลลัพธ์เฟ้อเกินจริง</t>
  </si>
  <si>
    <t>เอกสารไม่ได้สนับสนุนแนวทาง Leakage-aware แต่แสดงให้เห็นถึงวิธีปฏิบัติที่อาจก่อให้เกิด Leakage (Global SMOTE before streaming)</t>
  </si>
  <si>
    <t>ไม่ได้ใช้งาน Graph-based approach โดยตรง (ใช้ Bi-LSTM สำหรับ sequence)</t>
  </si>
  <si>
    <t>Lack of research on this specific NP-Hard problem (two-router scheduling with security classification constraints).</t>
  </si>
  <si>
    <t>Develop an exact solution using mathematical formulation or solver Cplex.; Apply proposed algorithms to other network problems.; Enhance algorithms by applying metaheuristics.</t>
  </si>
  <si>
    <t>Not Applicable for Graph-based APT Detection (Field: Algorithmic Scheduling).</t>
  </si>
  <si>
    <t>นำเสนอแนวทางการใช้ Blockchain เพื่อรักษาความเป็นส่วนตัวของข้อมูล (Data Privacy) ในระบบส่งข้อความ ซึ่งอาจประยุกต์ใช้ในการป้องกัน Data Leakage</t>
  </si>
  <si>
    <t>Type</t>
  </si>
  <si>
    <t>Claim</t>
  </si>
  <si>
    <t>Quote</t>
  </si>
  <si>
    <t>Page_or_Section</t>
  </si>
  <si>
    <t>Focus on passive monitoring to avoid disrupting dynamic environments</t>
  </si>
  <si>
    <t>passive monitoring of these environments offers insights into the behavior of these devices... active scanning... is either discouraged or ineffective.</t>
  </si>
  <si>
    <t>Page 10 (Introduction)</t>
  </si>
  <si>
    <t>Code Availability</t>
  </si>
  <si>
    <t>Any source code... is available to readers on GitHub via the book’s product page... or visit http://www.apress.com/source-code.</t>
  </si>
  <si>
    <t>Page 2 (Copyright)</t>
  </si>
  <si>
    <t>Methodology is baselining behavior via packet capture</t>
  </si>
  <si>
    <t>passively monitor, detect, baseline, and provide insight into these behaviors... PacketRecorder.py</t>
  </si>
  <si>
    <t>Page 10 (Introduction) &amp; Page 5 (TOC)</t>
  </si>
  <si>
    <t>Verify</t>
  </si>
  <si>
    <t>Future Work</t>
  </si>
  <si>
    <t>Page 6 (TOC Chapter 7)</t>
  </si>
  <si>
    <t>Evaluation/Metrics</t>
  </si>
  <si>
    <t>Entire Book (Not found in TOC or Intro)</t>
  </si>
  <si>
    <t>Task definition and Model</t>
  </si>
  <si>
    <t>We use Convolutional Neural Network (CNN)... applied conv1D where convolutional works like a filter.</t>
  </si>
  <si>
    <t>Page 3, Section III-A</t>
  </si>
  <si>
    <t>Use of Cross-Dataset Evaluation</t>
  </si>
  <si>
    <t>To observe our already trained model performance in different network environment, we have used a real time dataset... named CICIoT2023</t>
  </si>
  <si>
    <t>Page 6, Section IV-D</t>
  </si>
  <si>
    <t>Privacy vs Evaluation Leakage</t>
  </si>
  <si>
    <t>Data leakage is minimized by this approach while maintaining model accuracy.</t>
  </si>
  <si>
    <t>Page 2, Abstract (Refers to privacy preservation, not dataset split leakage)</t>
  </si>
  <si>
    <t>Datasets Used</t>
  </si>
  <si>
    <t>CIC IoMT dataset 2024... To accomplish the dataset 18 types of attacks were executed on 40 IoMT devices</t>
  </si>
  <si>
    <t>Page 5, Section IV-A</t>
  </si>
  <si>
    <t>Splitting Strategy</t>
  </si>
  <si>
    <t>Section IV (Experimental Evaluation)</t>
  </si>
  <si>
    <t>Paper topic and scope</t>
  </si>
  <si>
    <t>Enhancing the security of home automation systems using user authentication methods is the primary topic of this research study.</t>
  </si>
  <si>
    <t>Page 1, Abstract</t>
  </si>
  <si>
    <t>Methodology is descriptive/survey based</t>
  </si>
  <si>
    <t>Different authentication techniques will be used in the system, and the research will attempt to identify the most reliable authentication method.</t>
  </si>
  <si>
    <t>Page 3, Section III</t>
  </si>
  <si>
    <t>Future work involves implementation</t>
  </si>
  <si>
    <t>As an extension to this paper, we are going to implement the mentioned methods on a home automation system to find out which method is more secure to use.</t>
  </si>
  <si>
    <t>Page 5, Conclusion</t>
  </si>
  <si>
    <t>Abstract / Introduction</t>
  </si>
  <si>
    <t>Evaluation</t>
  </si>
  <si>
    <t>Conclusion &amp; Future Scope</t>
  </si>
  <si>
    <t>Task is unsupervised anomaly detection</t>
  </si>
  <si>
    <t>In this study, we propose a lightweight unsupervised intrusion detection model based on a variational autoencoder named LVA-SP.</t>
  </si>
  <si>
    <t>Page 2, Introduction</t>
  </si>
  <si>
    <t>Dataset and Split Strategy</t>
  </si>
  <si>
    <t>80% of the data of the first 7 days was used as the training dataset... remaining 20% was used as the validation dataset. The data of the last 4 days were used as a test dataset</t>
  </si>
  <si>
    <t>Page 15, Section 4.1</t>
  </si>
  <si>
    <t>Sampling Strategy (Sliding Window)</t>
  </si>
  <si>
    <t>we set the training set shift to 1... and we set the test set shift to w_size.</t>
  </si>
  <si>
    <t>Page 8, Section 3.2.1</t>
  </si>
  <si>
    <t>Use of Spectral Residual</t>
  </si>
  <si>
    <t>we use the spectral residual (SR) to process the data to amplify the distribution difference between the intrusion samples and the normal samples</t>
  </si>
  <si>
    <t>Page 2, Abstract</t>
  </si>
  <si>
    <t>Split Strategy</t>
  </si>
  <si>
    <t>Section 4.1 Dataset and Experimental Environment</t>
  </si>
  <si>
    <t>Section 4.3 Evaluation Metrics</t>
  </si>
  <si>
    <t>Use of Bi-LSTM</t>
  </si>
  <si>
    <t>Bidirectional Long Short-Term Memory (Bi-LSTM) model is applied for classification.</t>
  </si>
  <si>
    <t>Abstract</t>
  </si>
  <si>
    <t>Use of SMOTE for sampling</t>
  </si>
  <si>
    <t>MOMBD-CDD model handles class imbalance problem by Synthetic Minority Over-sampling Technique (SMOTE).</t>
  </si>
  <si>
    <t>Dataset usage</t>
  </si>
  <si>
    <t>evaluated using high dimensional benchmark streaming datasets namely intrusion detection (NSL KDDCup) dataset and ECUE spam dataset.</t>
  </si>
  <si>
    <t>Evaluation Metrics</t>
  </si>
  <si>
    <t>sensitivity, specificity, precision, accuracy, F-score, and kappa value</t>
  </si>
  <si>
    <t>Section 4.2</t>
  </si>
  <si>
    <t>Section 4.1 Dataset Used / Section 4.2 Results</t>
  </si>
  <si>
    <t>Document focus on Physical Layer Security in RIS</t>
  </si>
  <si>
    <t>Title Page (Page 377)</t>
  </si>
  <si>
    <t>List of attacks addressed</t>
  </si>
  <si>
    <t>These threats include pilot contamination attacks, pilot spoofing attacks, jamming, environment reconfiguration attacks (ERAs), and eavesdropping</t>
  </si>
  <si>
    <t>Page 378 (Section 11.1)</t>
  </si>
  <si>
    <t>Proposed solutions rely on signal processing, not graph learning</t>
  </si>
  <si>
    <t>Techniques such as robust authentication mechanisms, secure channel estimation algorithms, and anomaly detection methods can help identify...</t>
  </si>
  <si>
    <t>Page 390 (Section 11.4.2)</t>
  </si>
  <si>
    <t>Abstract/Introduction</t>
  </si>
  <si>
    <t>Evaluation_Metrics</t>
  </si>
  <si>
    <t>Section 11.2 Related Work (Table 11.1)</t>
  </si>
  <si>
    <t>Use of TabNet for extraction</t>
  </si>
  <si>
    <t>We develop an intelligent extraction model based on TabNet, significantly enhancing robustness and detection accuracy under jitter and packet loss conditions.</t>
  </si>
  <si>
    <t>Experimental Setup</t>
  </si>
  <si>
    <t>The experimental platform was composed of a simulated data transmission network and a watermarking system... Sender: Generates real data flows to emulate data requests.</t>
  </si>
  <si>
    <t>Page 5, Experimental Setup</t>
  </si>
  <si>
    <t>Evaluation Method</t>
  </si>
  <si>
    <t>All reported results are calculated as the average over 200 independent runs.</t>
  </si>
  <si>
    <t>Lack of Graph Usage</t>
  </si>
  <si>
    <t>This framework innovatively combines time-domain and sequence-domain features... intelligent watermark extraction model based on TabNet</t>
  </si>
  <si>
    <t>Evaluation Split Strategy</t>
  </si>
  <si>
    <t>To build a decision tree in random forest, we first use K-fold cross-validation to split the behavioral characteristic dataset D into K portions.</t>
  </si>
  <si>
    <t>Page 12, Section 4.2.1</t>
  </si>
  <si>
    <t>Dataset Composition</t>
  </si>
  <si>
    <t>We collected 3986 Android malwares from these kinds of datasets... Drebin [7], Android Malware Genome Project and the Contagio Community.</t>
  </si>
  <si>
    <t>Page 13, Section 5.1</t>
  </si>
  <si>
    <t>Sampling Strategy for Benign Apps</t>
  </si>
  <si>
    <t>we randomly choose 3986 apps from 90,000 of them.</t>
  </si>
  <si>
    <t>Methodology</t>
  </si>
  <si>
    <t>employ data portrait technology to build a multidimensional behavioral portrait... and finally uses the behavioral portrait to identify malware.</t>
  </si>
  <si>
    <t>Section 4.2.1 Decision Tree Construction</t>
  </si>
  <si>
    <t>Section 5.1 Dataset</t>
  </si>
  <si>
    <t>Definition of communication types</t>
  </si>
  <si>
    <t>In organizations, two types of communication can be distinguished... communication based on equality - 'Network communication'... and 'Hierarchical organizational communication'</t>
  </si>
  <si>
    <t>Application of DLP</t>
  </si>
  <si>
    <t>IS management approaches in Hierarchical Communication include Data Classification and Data Leakage Prevention (DLP) systems.</t>
  </si>
  <si>
    <t>Statistical Data Source</t>
  </si>
  <si>
    <t>National Statistical Institute of Bulgaria data from the last two state observations regarding 'Enterprises whose business processes are automatically connected...'</t>
  </si>
  <si>
    <t>Page 1, Introduction</t>
  </si>
  <si>
    <t>Page 1 / Fig. 1 and Fig. 2</t>
  </si>
  <si>
    <t>Evaluation dataset size and composition</t>
  </si>
  <si>
    <t>DROIDPF has been evaluated with 131 apps, which include real-world apps, third-party libraries, malware samples and benchmarks...</t>
  </si>
  <si>
    <t>Use of Deterministic Finite Automata (DFA)</t>
  </si>
  <si>
    <t>We use deterministic finite automata (DFA) to specify the dependency relations among the events.</t>
  </si>
  <si>
    <t>Section 6.1</t>
  </si>
  <si>
    <t>Sampling strategy explanation</t>
  </si>
  <si>
    <t>We evaluate DROIDPF using three sets (a total of 131) of apps: thirteen real-world apps ... seven known malware samples ... and the DroidBench</t>
  </si>
  <si>
    <t>Section 2 / Section 7</t>
  </si>
  <si>
    <t>Limitation on native code</t>
  </si>
  <si>
    <t>DROIDPF cannot handle hybrid apps that include native code (in the app itself not from the Android OS)</t>
  </si>
  <si>
    <t>Section 3.1</t>
  </si>
  <si>
    <t>Table 3 Statistics in Our Experiments</t>
  </si>
  <si>
    <t>Section 6.1 Dependency-Constrained Event Permutation</t>
  </si>
  <si>
    <t>Task is scheduling optimization, not ML</t>
  </si>
  <si>
    <t>This problem is to schedule packets through routers under a security classification level constraint... The studied problem is an NP-hard.</t>
  </si>
  <si>
    <t>Dataset generation</t>
  </si>
  <si>
    <t>To assess the proposed algorithms, we used 1,500 instances detailed as follows... based on the uniform distribution... and the binomial distribution</t>
  </si>
  <si>
    <t>Generated dataset evaluation (Page 10)</t>
  </si>
  <si>
    <t>Real dataset usage</t>
  </si>
  <si>
    <t>This dataset is composed of two sequence types foreman test video sequence and container test video sequence... Ukommi (2022).</t>
  </si>
  <si>
    <t>Benchmark Real-Dataset evaluation (Page 13)</t>
  </si>
  <si>
    <t>Experimental Results / Generated dataset evaluation</t>
  </si>
  <si>
    <t>Methodology is Evolutionary Game Theory</t>
  </si>
  <si>
    <t>By constructing a tripartite evolutionary game model involving the government, security crowdsourcing platforms, and security personnel...</t>
  </si>
  <si>
    <t>Data usage is for parameter setting only</t>
  </si>
  <si>
    <t>consult parameter values and research findings from Walshe and Simpson [33] and Wang et al. [34]... According to the data report from HackingTeam... empirical data and the equilibrium above condition requirements</t>
  </si>
  <si>
    <t>Page 11, Section V.A</t>
  </si>
  <si>
    <t>Simulation tool</t>
  </si>
  <si>
    <t>we employ numerical analysis using MATLAB to simulate the trends of the tripartite evolutionary game.</t>
  </si>
  <si>
    <t>Page 10, Section V</t>
  </si>
  <si>
    <t>Section V.A Analysis of System Evolutionary Stability</t>
  </si>
  <si>
    <t>LumaAI poses data leakage risks.</t>
  </si>
  <si>
    <t>LumaAI... remains unsuitable for digitizing classified infrastructure due to data leakage risks.</t>
  </si>
  <si>
    <t>Source data characteristics.</t>
  </si>
  <si>
    <t>The source video footage was automatically converted into 3600 individual frames... captured under static lighting conditions at 5K resolution</t>
  </si>
  <si>
    <t>Accuracy metrics used.</t>
  </si>
  <si>
    <t>Deviation in key dimensions ranges from 1 to 10 mm</t>
  </si>
  <si>
    <t>Results (RealityCapture)</t>
  </si>
  <si>
    <t>Abstract, Discussion</t>
  </si>
  <si>
    <t>Task focuses on classifying MITRE ATT&amp;CK Tactics</t>
  </si>
  <si>
    <t>The classification label was divided into the MITRE ATT&amp;CK Tactic ID and Technique ID. Only the Tactic ID was used...</t>
  </si>
  <si>
    <t>Section 4.1</t>
  </si>
  <si>
    <t>Model is not graph-based but a Sequential Neural Network</t>
  </si>
  <si>
    <t>We used the Sequential model of the Keras library... The data in 48 rows were first transmitted to a hidden layer...</t>
  </si>
  <si>
    <t>Split strategy appears random and ignores sequential nature</t>
  </si>
  <si>
    <t>the condition of collecting data sequentially by mixing the data by row was excluded, and the ratio of the training to test sets was set to 80:20.</t>
  </si>
  <si>
    <t>Privacy leakage definition used in paper</t>
  </si>
  <si>
    <t>Data leakage rate (%) = Leaked privacy data / Total privacy data * 100</t>
  </si>
  <si>
    <t>Section 4.2.1, Eq (1)</t>
  </si>
  <si>
    <t>Section 4.1 Experimental environment</t>
  </si>
  <si>
    <t>Section 3 Proposed attack detection framework</t>
  </si>
  <si>
    <t>Task type is text classification using BERT.</t>
  </si>
  <si>
    <t>Utilizing BERT ... the system accurately classifies extracted text to enhance sensitivity detection.</t>
  </si>
  <si>
    <t>Evaluation compares false positive rates.</t>
  </si>
  <si>
    <t>SentinelGuard exhibited a significantly lower false positive rate of only 8%... Forcepoint Web Security had a false positive rate of 64%</t>
  </si>
  <si>
    <t>Page 5, Results and Discussion</t>
  </si>
  <si>
    <t>Dataset is organization specific and simulated.</t>
  </si>
  <si>
    <t>We simulated an environment by adding virtual devices... trained SentinelGuard’s BERT with both labeled and unlabeled text data of the health organization</t>
  </si>
  <si>
    <t>No specific split strategy reported.</t>
  </si>
  <si>
    <t>To validate and compare the generation of false positives... a Python script was utilized to analyze the accuracy</t>
  </si>
  <si>
    <t>Page 5, Results and Discussion, Fig. 4</t>
  </si>
  <si>
    <t>Model Architecture</t>
  </si>
  <si>
    <t>Page 4, The BERT section</t>
  </si>
  <si>
    <t>Domain and Task</t>
  </si>
  <si>
    <t>Page 1, Title</t>
  </si>
  <si>
    <t>Graph Representation</t>
  </si>
  <si>
    <t>To achieve this, we model a deterministic circuit C using the Binary Decision Diagram (BDD) with discrete variables.</t>
  </si>
  <si>
    <t>Page 3, Section D</t>
  </si>
  <si>
    <t>Dataset</t>
  </si>
  <si>
    <t>Our proposed QuEST framework is performed on 11 Trojan benchmarks from Trust-Hub and successfully detects their data leakage.</t>
  </si>
  <si>
    <t>Page 2, Section I</t>
  </si>
  <si>
    <t>The exhaustive search algorithm is designed to systematically analyze dependencies between secret input ports and output ports</t>
  </si>
  <si>
    <t>Page 5, Section D.2</t>
  </si>
  <si>
    <t>Gap</t>
  </si>
  <si>
    <t>Although QuEST offers significant advances in hardware Trojan detection, scalability remains a challenge.</t>
  </si>
  <si>
    <t>Page 10, Section VIII</t>
  </si>
  <si>
    <t>Section IV. QuEST VERIFICATION FRAMEWORK</t>
  </si>
  <si>
    <t>Section VI. EVALUATION</t>
  </si>
  <si>
    <t>Methodology is literature review</t>
  </si>
  <si>
    <t>The author uses the literature review method... taken from various sources from articles and research journals</t>
  </si>
  <si>
    <t>Page 2, Section III</t>
  </si>
  <si>
    <t>Focus on policy and regulation</t>
  </si>
  <si>
    <t>Therefore, this paper aims to examine how to protect patient data in telemedicine services.</t>
  </si>
  <si>
    <t>Page 1, Section I</t>
  </si>
  <si>
    <t>Mention of ransomware/malware without technical detection experiment</t>
  </si>
  <si>
    <t>In 2017, a ransomware cyberattack hit two hospitals in Jakarta... attempts were only to try to reinstall the system</t>
  </si>
  <si>
    <t>Page 2, Section II</t>
  </si>
  <si>
    <t>Section III. METHODOLOGY</t>
  </si>
  <si>
    <t>Topic Scope</t>
  </si>
  <si>
    <t>Section I. INTRODUCTION</t>
  </si>
  <si>
    <t>Paper Type</t>
  </si>
  <si>
    <t>present a comparative study of solutions to put forward possible best practices gaps</t>
  </si>
  <si>
    <t>Task Type</t>
  </si>
  <si>
    <t>Anomaly detection techniques are valuable for identifying abnormal behavior in big data systems.</t>
  </si>
  <si>
    <t>VI. Big Data Security Technologies Comparative Study</t>
  </si>
  <si>
    <t>Threat Model</t>
  </si>
  <si>
    <t>Data Poisoning Attacks: Data poisoning attacks are a specific type of data manipulation attack that involves manipulating training data</t>
  </si>
  <si>
    <t>III. Big Data Security Concerns and Threats</t>
  </si>
  <si>
    <t>None (Review Paper)</t>
  </si>
  <si>
    <t>quantify the trustworthiness of a Verilog hardware description regarding the protection of its sensitive signals</t>
  </si>
  <si>
    <t>Graph Type</t>
  </si>
  <si>
    <t>PyVerilog... responsible for parsing Verilog and returning a graph of binds. A bind in such a graph mostly represents a single line of RTL code</t>
  </si>
  <si>
    <t>Page 2, Section III-D</t>
  </si>
  <si>
    <t>Dataset Used</t>
  </si>
  <si>
    <t>AES and RSA benchmarks from Trust-Hub [17] are used</t>
  </si>
  <si>
    <t>Page 4, Section IV</t>
  </si>
  <si>
    <t>Split Strategy (Threshold)</t>
  </si>
  <si>
    <t>threshold was determined by applying QFlow to a Verilog implementation of two pipelined rounds of AES... The smallest mean and min leakages... chosen as the threshold</t>
  </si>
  <si>
    <t>Page 4, Section IV-A</t>
  </si>
  <si>
    <t>QIF-Parser integrates the open-source tool PyVerilog</t>
  </si>
  <si>
    <t>Section III. QFLOW</t>
  </si>
  <si>
    <t>Focus on background knowledge attacks including social networks</t>
  </si>
  <si>
    <t>Cohesive Knowledge... consists of structural information of social networks like degree information... represented in tabular form</t>
  </si>
  <si>
    <t>Page 6, Section 2.2</t>
  </si>
  <si>
    <t>Evaluation methodology is analytical/theoretical</t>
  </si>
  <si>
    <t>We analyze the privacy models k-anonymity, l-diversity, and t-closeness against the proposed adversarial model... Theorem 3...</t>
  </si>
  <si>
    <t>Page 8, Section 5</t>
  </si>
  <si>
    <t>Leakage discussed is privacy disclosure</t>
  </si>
  <si>
    <t>The data collected... could be prone to information leakage that risks privacy disclosure.</t>
  </si>
  <si>
    <t>Page 1, Section 1</t>
  </si>
  <si>
    <t>Abstract / Section 1 Introduction</t>
  </si>
  <si>
    <t>Section 3 Adversarial Model / Section 5 Weakness in privacy models</t>
  </si>
  <si>
    <t>Task definition</t>
  </si>
  <si>
    <t>intrusion detection ... with label y ∈ {0,1, ..., C − 1} (benign/attack classes)</t>
  </si>
  <si>
    <t>Section 3.1.1</t>
  </si>
  <si>
    <t>Graph usage definition</t>
  </si>
  <si>
    <t>Let G = (V, E) denote the IoT graph with devices V and communication links E.</t>
  </si>
  <si>
    <t>Data Splitting</t>
  </si>
  <si>
    <t>It was split into training, validation, and testing ... (70% / 15% / 15%).</t>
  </si>
  <si>
    <t>Section 4</t>
  </si>
  <si>
    <t>Preprocessing and Windowing</t>
  </si>
  <si>
    <t>5 s sliding windows (2.5 s stride)</t>
  </si>
  <si>
    <t>Table 3</t>
  </si>
  <si>
    <t>Limitations and Gaps</t>
  </si>
  <si>
    <t>It would use a dataset that is not representative of the variability of a realistic traffic... adversarial behaviours ... would be underrepresented.</t>
  </si>
  <si>
    <t>Section 4 / Table 2</t>
  </si>
  <si>
    <t>Preprocessing/Windowing</t>
  </si>
  <si>
    <t>Proposed methodology uses Blockchain for authentication and record keeping.</t>
  </si>
  <si>
    <t>Blockchain is the solution to this problem since blockchain makes use of cryptographic technology that is difficult to crack for hackers.</t>
  </si>
  <si>
    <t>The evaluation relies on system implementation results rather than ML metrics.</t>
  </si>
  <si>
    <t>Figure 3a shows data leakage flow... Figure 3b shows DoS attack traffic detection.</t>
  </si>
  <si>
    <t>Page 5, Section IV</t>
  </si>
  <si>
    <t>The paper focuses on system deployment observations.</t>
  </si>
  <si>
    <t>This section focused on BYOD mobile roaming users totally over the internet. The results are sequenced and evaluated.</t>
  </si>
  <si>
    <t>Evaluation Methodology</t>
  </si>
  <si>
    <t>Section IV. RESULT AND ANALYSIS</t>
  </si>
  <si>
    <t>System Design</t>
  </si>
  <si>
    <t>Section III. SYSTEM DESIGN</t>
  </si>
  <si>
    <t>defending various IoT devices from the resurgence of cybercriminal activity... specifically targeting unknown variants.</t>
  </si>
  <si>
    <t>Input Data</t>
  </si>
  <si>
    <t>Extensive experiments are conducted on IoT devices, which collect side-channel CPU power data via integrated current sensors.</t>
  </si>
  <si>
    <t>The obtained training data consists of 2000 samples, while the testing data comprises 200 samples for each model.</t>
  </si>
  <si>
    <t>Page 3, Section III.B</t>
  </si>
  <si>
    <t>Sampling Strategy</t>
  </si>
  <si>
    <t>a sliding window size of 256 data points was configured... the overlapping ratio was set to 0.</t>
  </si>
  <si>
    <t>Page 5, Section IV.B.1</t>
  </si>
  <si>
    <t>Leakage Discussion</t>
  </si>
  <si>
    <t>existing deep-learning model has been trained with coarse-grained power trace data that contains inaccurate or duplicate information that can cause false positives</t>
  </si>
  <si>
    <t>Table IV Comparison between different deep learning models</t>
  </si>
  <si>
    <t>Architecture</t>
  </si>
  <si>
    <t>Section III. Design of uThingNet</t>
  </si>
  <si>
    <t>Evaluation Method is Functional Testing</t>
  </si>
  <si>
    <t>Testing has been done with below components products with their make and model... Test result and analysis of the BYOD-Trusted-Users with EAP-TLS secured certificate based authentication</t>
  </si>
  <si>
    <t>Page 2, Section 2.B and Page 3, Section III</t>
  </si>
  <si>
    <t>Traffic Isolation Strategy</t>
  </si>
  <si>
    <t>traffic is encrypted with EOIP tunnel and landed directly outside corporate LAN... traffic is not seen anywhere in the corporate network even though same access point is used.</t>
  </si>
  <si>
    <t>Page 5, Section V and Page 2, Section 2.A</t>
  </si>
  <si>
    <t>Future Work on Cloud/SD-WAN</t>
  </si>
  <si>
    <t>BYOD design and cloud security with Software define WAN need to studied in depth</t>
  </si>
  <si>
    <t>Page 5, Section V.C</t>
  </si>
  <si>
    <t>Abstract, Introduction</t>
  </si>
  <si>
    <t>Section II. DESIGN METHODOLOGY FRAMEWORK</t>
  </si>
  <si>
    <t>Task Type and Method</t>
  </si>
  <si>
    <t>The approach utilizes the extreme gradient boosting (XGBoost) algorithm... for detecting fraudulent transactions in a streaming environment</t>
  </si>
  <si>
    <t>Split Strategy (Cross-Validation)</t>
  </si>
  <si>
    <t>The cross-validation technique is constructed using various sets of K folds instead of using one set of K folds.</t>
  </si>
  <si>
    <t>p. 5562, Section 3.1</t>
  </si>
  <si>
    <t>In this work obtaining a subwindow, X undersampling process is executed on a static window.</t>
  </si>
  <si>
    <t>p. 5563, Section 3.3</t>
  </si>
  <si>
    <t>Datasets</t>
  </si>
  <si>
    <t>two datasets are used: a credit card dataset and a Twitter dataset containing financial fraud-related social media data.</t>
  </si>
  <si>
    <t>Temporal Evaluation</t>
  </si>
  <si>
    <t>Figure 3. Accuracy performance of 5 days... Figure 4. Recall performance of 5 days</t>
  </si>
  <si>
    <t>p. 5567</t>
  </si>
  <si>
    <t>Section 4.1 Performance metrics</t>
  </si>
  <si>
    <t>Algorithm Logic</t>
  </si>
  <si>
    <t>Section 3.2 Algorithm 1</t>
  </si>
  <si>
    <t>Use of SVM for classification</t>
  </si>
  <si>
    <t>In this work SVM is selected for classification of data in hyper planes.</t>
  </si>
  <si>
    <t>Page 3, Section IV</t>
  </si>
  <si>
    <t>Dataset selection</t>
  </si>
  <si>
    <t>To analyze the proposed system KDD-NSL is selected as data set [14].</t>
  </si>
  <si>
    <t>Accuracy (Approx.) ... Normal 91%, DOS 87%</t>
  </si>
  <si>
    <t>Page 4, Table V</t>
  </si>
  <si>
    <t>Section IV. ANOMALY BASED INTRUSION DETECTION SYSTEM</t>
  </si>
  <si>
    <t>Results</t>
  </si>
  <si>
    <t>Section V (Before Conclusion) and Tables III, IV, V</t>
  </si>
  <si>
    <t>learning algorithm employed was the LightGBM—a gradient boosting-based method</t>
  </si>
  <si>
    <t>Page 7, Section IV.A.1</t>
  </si>
  <si>
    <t>The dataset was partitioned into training and testing subsets in an 80:20 ratio for the experiments.</t>
  </si>
  <si>
    <t>Page 7, Section IV.A</t>
  </si>
  <si>
    <t>Leakage Discussion (Privacy)</t>
  </si>
  <si>
    <t>Adversarial evasion typically originates from data leakage, allowing attackers to infer training data</t>
  </si>
  <si>
    <t>Leakage Control (DP)</t>
  </si>
  <si>
    <t>incorporates Differentially Private Stochastic Gradient Descent (DP-SGD) to protect training data against leakage and inference.</t>
  </si>
  <si>
    <t>preprocessing steps, including handling of missing values and removal of duplicates</t>
  </si>
  <si>
    <t>Page 8, Table 1 context</t>
  </si>
  <si>
    <t>Section IV.A Proposed Method / Experimental Setup</t>
  </si>
  <si>
    <t>Section III PPATF / Section IV.A Applied Model</t>
  </si>
  <si>
    <t>Paper type is Editorial</t>
  </si>
  <si>
    <t>Overview of existing methods including graphs</t>
  </si>
  <si>
    <t>Some propose highly technical solutions, using techniques applied to “Big Data,” or various statistical or graph analytic methods.</t>
  </si>
  <si>
    <t>Gap in operational validity</t>
  </si>
  <si>
    <t>researchers still struggle to define the problem, much less demonstrate the operational validity of their solutions.</t>
  </si>
  <si>
    <t>Title/Abstract</t>
  </si>
  <si>
    <t>Study purpose is maturity model design, not graph learning</t>
  </si>
  <si>
    <t>The purpose of this study is to design a maturity model of objective controls that can play the role of a driver to improve the cybersecurity readiness</t>
  </si>
  <si>
    <t>Evaluation method via questionnaire</t>
  </si>
  <si>
    <t>The maturity model for its evaluation through a questionnaire... The questionnaire consists of 14 questions where each of them are approved by the 7 experts.</t>
  </si>
  <si>
    <t>Attack vectors analyzed</t>
  </si>
  <si>
    <t>Phishing/Spyware, Exploits/Malware/Unpatched Problems, Phishing/Malware</t>
  </si>
  <si>
    <t>Page 2, Table I</t>
  </si>
  <si>
    <t>Section III. Validation Scenarios</t>
  </si>
  <si>
    <t>Study Methodology</t>
  </si>
  <si>
    <t>Our study utilized STRIDE and LINDDUN methodologies to investigate security and privacy threats of LLMs.</t>
  </si>
  <si>
    <t>Scope of Paper</t>
  </si>
  <si>
    <t>To the best of our knowledge, a dedicated and structured threat analysis has not been conducted so far.</t>
  </si>
  <si>
    <t>I. INTRODUCTION</t>
  </si>
  <si>
    <t>Lack of experimental evaluation</t>
  </si>
  <si>
    <t>This paper uses a structured threat modeling approach... We will examine the characteristics of LLM processes in detail to identify any potential security and privacy issues.</t>
  </si>
  <si>
    <t>Abstract, Section I (Introduction)</t>
  </si>
  <si>
    <t>Evaluation/Results</t>
  </si>
  <si>
    <t>Section IV (Threat Analysis) - Note: Tables and Text are qualitative descriptions, not empirical results.</t>
  </si>
  <si>
    <t>Task is Biometric Authentication</t>
  </si>
  <si>
    <t>we present a comprehensive, privacy-preserving framework for multimodal biometric authentication</t>
  </si>
  <si>
    <t>Synthetic pairing strategy to prevent correlation bias</t>
  </si>
  <si>
    <t>we pair biometric samples drawn from two separate datasets... it prevents spurious cross-modality correlations that can arise when traits are jointly collected</t>
  </si>
  <si>
    <t>Page 13, Section 3.2</t>
  </si>
  <si>
    <t>Use of specific datasets</t>
  </si>
  <si>
    <t>The chosen datasets are the Retina Identification Database (RIDB) [46] and the Multi-Spectral Palmprint Database (MSPD) [47]</t>
  </si>
  <si>
    <t>Page 15, Section 4.1.1</t>
  </si>
  <si>
    <t>Section 3.2 Assumptions and Threat Model</t>
  </si>
  <si>
    <t>Task Type is Security Decision Support via QA</t>
  </si>
  <si>
    <t>an AI system to leverage LLMs and knowledge graphs to facilitate designing industrial systems... assist in making decisions with an easy-to-use question answering user interface</t>
  </si>
  <si>
    <t>Graph Type is Knowledge Graph/Ontology</t>
  </si>
  <si>
    <t>In [7], we introduced an ontology designed to model ICS architectures and security requirements knowledge supporting reasoning tasks.</t>
  </si>
  <si>
    <t>Page 1, Background</t>
  </si>
  <si>
    <t>compared to expert answers using three metrics: length similarity, factual consistency, and semantic similarity.</t>
  </si>
  <si>
    <t>Page 3, Section IV.A Accuracy</t>
  </si>
  <si>
    <t>Sampling Strategy for Evaluation</t>
  </si>
  <si>
    <t>security experts provided reference questions and answers based on IEC 62443-3-3</t>
  </si>
  <si>
    <t>Page 2, Section IV.A Accuracy</t>
  </si>
  <si>
    <t>Leakage Risks (Privacy)</t>
  </si>
  <si>
    <t>LLMs... pose serious security risks, such as information leakage if sensitive data is accessed by third parties</t>
  </si>
  <si>
    <t>Page 2, Section II.B</t>
  </si>
  <si>
    <t>Section IV. Compliance with the AI Act -&gt; A. Accuracy</t>
  </si>
  <si>
    <t>Graph Construction</t>
  </si>
  <si>
    <t>Section III.A Proposed AI System</t>
  </si>
  <si>
    <t>Task type is source code detection and integrity verification</t>
  </si>
  <si>
    <t>This article proposes a blockchain-integrated trusted detection framework for ICS... ensuring the authenticity of on-chain component data.</t>
  </si>
  <si>
    <t>Sampling strategy uses DBSCAN for compression</t>
  </si>
  <si>
    <t>Creating an industrial-oriented privacy enhancement system utilizing DBSCAN clustering for intelligent sampling (26% compression rate on BCN3D Moveo)</t>
  </si>
  <si>
    <t>Graph usage involves function-controlled flow graph</t>
  </si>
  <si>
    <t>Calculate the cyclomatic complexity Zi... for each function block (Function ← [V(G)n, Mn, Hn])... E is the number of edges in the function-controlled flow graph</t>
  </si>
  <si>
    <t>Page 9, Equation 1-3</t>
  </si>
  <si>
    <t>Sampling method details</t>
  </si>
  <si>
    <t>Through DBSCAN clustering, random sampling of function blocks with varying complexities is ensured... Function blocks are randomly selected from each cluster to construct a secret w</t>
  </si>
  <si>
    <t>Page 9, Section IV-A</t>
  </si>
  <si>
    <t>Dataset used</t>
  </si>
  <si>
    <t>Example tests were conducted on BCN3D Moveo [44] component source codes.</t>
  </si>
  <si>
    <t>Page 12, Section V-B</t>
  </si>
  <si>
    <t>Section IV-A (Source Code Compression Sampling Algorithm)</t>
  </si>
  <si>
    <t>Section V (Experiment and Analysis)</t>
  </si>
  <si>
    <t>Proposed method is Risk Assessment Model not Graph Learning</t>
  </si>
  <si>
    <t>In this paper we present a Risk Assessment Model (RAM), originating from Negative to Positive approach, to automate the threat-based Risk Assessment (RA) process</t>
  </si>
  <si>
    <t>Evaluation is scenario-based</t>
  </si>
  <si>
    <t>We use a scenario based approach... to demonstrate and evaluate the application of the proposed RAM in the given scenario.</t>
  </si>
  <si>
    <t>Section 5</t>
  </si>
  <si>
    <t>Use of simulated data/assumptions</t>
  </si>
  <si>
    <t>Application of the Proposed Model... few assumptions are made for the data used in the calculations below to demonstrate the positive and negative values</t>
  </si>
  <si>
    <t>Section 5. Demonstration and Evaluation</t>
  </si>
  <si>
    <t>Temporal split strategy used</t>
  </si>
  <si>
    <t>The Data Collection phase only lasts for a certain period of time... Once the detection engine is ready, all new transactions pass through it.</t>
  </si>
  <si>
    <t>Page 4, Footnote 6</t>
  </si>
  <si>
    <t>Dataset description</t>
  </si>
  <si>
    <t>Enterprise Dataset... total of 12,040,910 transactions... Simulated Dataset... constructed using the healthcare management system GnuHealth</t>
  </si>
  <si>
    <t>Page 13, Section 9</t>
  </si>
  <si>
    <t>Attack set creation (Simulated)</t>
  </si>
  <si>
    <t>The transactions have been devised and executed by the security administrator... These malicious transactions represent real threats</t>
  </si>
  <si>
    <t>Page 15, Section 10</t>
  </si>
  <si>
    <t>Continuous learning/Dynamic nature</t>
  </si>
  <si>
    <t>If the transaction is considered normal, it is used to update the profiles (continuous learning).</t>
  </si>
  <si>
    <t>Page 4, Section 3</t>
  </si>
  <si>
    <t>Explainability focus</t>
  </si>
  <si>
    <t>We refer to our solution as white-box because it builds self explanatory profiles that are easy to understand and update</t>
  </si>
  <si>
    <t>Page 4 (Footnote 6) and Page 13 (Section 9)</t>
  </si>
  <si>
    <t>Page 15 (Section 10 - Attack Sets)</t>
  </si>
  <si>
    <t>Task Type is Social Influence Analysis (not APT detection)</t>
  </si>
  <si>
    <t>identify the influential students from their social networks of interactions in the online learning systems</t>
  </si>
  <si>
    <t>Graph Type is Social Interaction Graph</t>
  </si>
  <si>
    <t>students represent the nodes in a network, and the ties can indicate any meaningful interaction... such as co-participation in forum discussions</t>
  </si>
  <si>
    <t>Section III-C</t>
  </si>
  <si>
    <t>Methodology is Action Research, not ML Evaluation</t>
  </si>
  <si>
    <t>We will conduct an action research... entails designing and implementing interventions... Our project is a four-year PhD action research</t>
  </si>
  <si>
    <t>Section IV</t>
  </si>
  <si>
    <t>Metrics used are SNA metrics</t>
  </si>
  <si>
    <t>degree centrality di of a node i is calculated... eigenvector centrality xi... density... centralization</t>
  </si>
  <si>
    <t>Section IV (Graph theory)</t>
  </si>
  <si>
    <t>Section IV. METHODOLOGY</t>
  </si>
  <si>
    <t>Section III. C. Network Analytics for Improving Cybersecurity Awareness</t>
  </si>
  <si>
    <t>Task Type is Runtime Hardware Trojan Detection</t>
  </si>
  <si>
    <t>we propose a runtime 3PIP Trojan detection framework... The new framework, named IP-Tag, is a tag-based structure to track the requests on SoC</t>
  </si>
  <si>
    <t>Graph Used is SoC Bus Topology</t>
  </si>
  <si>
    <t>We wrap each IP with a security monitor and add an extra bus topology, named Secure Bus, to help transmit tag information</t>
  </si>
  <si>
    <t>Dataset is Custom SoC on FPGA</t>
  </si>
  <si>
    <t>demonstrated on an RISC-V-based SoC and also implemented on an FPGA platform... Rocket-Chip is an open-source SoC generator</t>
  </si>
  <si>
    <t>Page 1, Abstract / Page 9, Section VI</t>
  </si>
  <si>
    <t>Metrics are Hardware and Performance Overhead</t>
  </si>
  <si>
    <t>The hardware overhead is 7.9% LUTs and 7.8% Flip-Flops and a performance overhead is 2.2%.</t>
  </si>
  <si>
    <t>Section VII. Hardware and Software Overhead</t>
  </si>
  <si>
    <t>Attack Scenarios</t>
  </si>
  <si>
    <t>Section VIII. Security Analysis</t>
  </si>
  <si>
    <t>Task focuses on Healthcare IoT anomaly detection</t>
  </si>
  <si>
    <t>AI-enabled anomaly detection with a focus on privacy preservation in healthcare IoT systems.</t>
  </si>
  <si>
    <t>Page 1, Section C</t>
  </si>
  <si>
    <t>Models used are CNN, LSTM, RL, not Graphs</t>
  </si>
  <si>
    <t>Techniques such as Deep Q-Learning [2], SCNN-BiLSTM [4], and hybrid CNN-LSTM models [5] have been successfully employed</t>
  </si>
  <si>
    <t>Page 2, Section A</t>
  </si>
  <si>
    <t>Leakage refers to Privacy, not ML Evaluation</t>
  </si>
  <si>
    <t>data leakage risk were used to evaluate privacy and performance trade-offs.</t>
  </si>
  <si>
    <t>Page 2, Section E</t>
  </si>
  <si>
    <t>Models Used</t>
  </si>
  <si>
    <t>Section III.A AI-Based Anomaly Detection Models</t>
  </si>
  <si>
    <t>Section IV. DATASET USED</t>
  </si>
  <si>
    <t>Focus on Targeted Attacks</t>
  </si>
  <si>
    <t>Security countermeasures against targeted attacks are important elements in preventing the leakage of data...</t>
  </si>
  <si>
    <t>Methodology is rule-based and tabulation, not ML</t>
  </si>
  <si>
    <t>DTK tabulates logs from the previous day and displays tabulation results... This information can be used to quantify trends</t>
  </si>
  <si>
    <t>Page 104, Section 4.3</t>
  </si>
  <si>
    <t>No experimental dataset or metrics</t>
  </si>
  <si>
    <t>This paper introduces DTP and DTK, which prevent data leakage from endpoint devices...</t>
  </si>
  <si>
    <t>Abstract, Section 3 &amp; 4</t>
  </si>
  <si>
    <t>Entire paper (Absence of 'Experiments' section)</t>
  </si>
  <si>
    <t>Approximately 240 applications were chosen from the popular application categories on the Play Store. Each category would suggest top free applications available</t>
  </si>
  <si>
    <t>Page 4, Section III</t>
  </si>
  <si>
    <t>Evaluation Threat (Evasion)</t>
  </si>
  <si>
    <t>Evaluation performed under their research proved that only one virtualized environment attempted to emulate a sensor, the accelerometer.</t>
  </si>
  <si>
    <t>Page 5, Section V</t>
  </si>
  <si>
    <t>Dataset Size</t>
  </si>
  <si>
    <t>Of the 240 applications, 213 were able to install on the selected emulator.</t>
  </si>
  <si>
    <t>20 recently published malware were also tested for data leaks. Malware was selected at random</t>
  </si>
  <si>
    <t>Section III. EVALUATION</t>
  </si>
  <si>
    <t>Evaluation Threats</t>
  </si>
  <si>
    <t>Section IV. DISCUSSION &amp; Section V. RELATED WORKS</t>
  </si>
  <si>
    <t>Research data was subdivided into training and testing portions at a 70:30 ratio to achieve an appropriate training data size</t>
  </si>
  <si>
    <t>Page 5, IV. RESULT AND DISCUSSION</t>
  </si>
  <si>
    <t>Stacked Support Vector Machine–Random Forest (SVM-RF) which provides strong cyber risk evaluation</t>
  </si>
  <si>
    <t>The simulation utilized Table 1 with data from the UNSW-NB15 dataset that comprises diverse modern network attack behaviors</t>
  </si>
  <si>
    <t>Graph Usage</t>
  </si>
  <si>
    <t>Merkle Tree (MT) structures being employed for making data ownership proofs and verifying data authenticity in blockchain operations.</t>
  </si>
  <si>
    <t>Section IV. RESULT AND DISCUSSION</t>
  </si>
  <si>
    <t>Paper focus is on DLP systems implementation and survey</t>
  </si>
  <si>
    <t>The purpose of this study is to investigate different strategies for data security and the effects of preventing data leaks.</t>
  </si>
  <si>
    <t>Comparison of vendors</t>
  </si>
  <si>
    <t>Features were given a score between 0 and 4 based on the aforementioned concerns... Institution selected Symantec’s DLP product</t>
  </si>
  <si>
    <t>Page 3, Section V</t>
  </si>
  <si>
    <t>Definition of Data Leakage in this context</t>
  </si>
  <si>
    <t>Intentional or accidental disclosure of private data to an untrusted third party is known as ‘data leakage.’</t>
  </si>
  <si>
    <t>Section V (Observations and Results)</t>
  </si>
  <si>
    <t>Evaluation on Medical Data</t>
  </si>
  <si>
    <t>The proposed model has been trained on the NIH Chest Ray dataset (112,120 X-Ray images)...</t>
  </si>
  <si>
    <t>The federated data loader splits the dataset into equal subsets, one for each client.</t>
  </si>
  <si>
    <t>Section III.B</t>
  </si>
  <si>
    <t>Our proposed modified ResNet model architecture... Input Layer: our input layer takes an X-Ray scan image</t>
  </si>
  <si>
    <t>Section III.B &amp; Fig 3</t>
  </si>
  <si>
    <t>Section III.A Dataset and Preprocessing</t>
  </si>
  <si>
    <t>Study methodology</t>
  </si>
  <si>
    <t>This survey was based on an online platform, namely Google forms... obtained 1230 participants</t>
  </si>
  <si>
    <t>Page 4, Section 3.3/3.4</t>
  </si>
  <si>
    <t>Public Data Availability</t>
  </si>
  <si>
    <t>Data associated with this study has been deposited at Alzubaidi, Abdulaziz (2020)... Mendeley Data, V1</t>
  </si>
  <si>
    <t>Page 12, Data availability statement</t>
  </si>
  <si>
    <t>Statistical Analysis used</t>
  </si>
  <si>
    <t>Linear Regression Analysis was conducted to test another hypothesis of the study.</t>
  </si>
  <si>
    <t>Page 4, Section 3.1.1 (and results)</t>
  </si>
  <si>
    <t>Data availability statement (Page 12)</t>
  </si>
  <si>
    <t>Leakage control via normalization</t>
  </si>
  <si>
    <t>The initial step involved scaling the dataset using the most widely used min-max normalisation technique. An important step to avoid test data leakage.</t>
  </si>
  <si>
    <t>Split strategy</t>
  </si>
  <si>
    <t>group of the datasets organised in batches are used in training the model while the other batches are for testing.</t>
  </si>
  <si>
    <t>Page 4, Sec IV. Experiments and the Results</t>
  </si>
  <si>
    <t>Deduplication in dataset</t>
  </si>
  <si>
    <t>Researchers eliminated data redundancy in this new version... BoTNeTIoT-L01</t>
  </si>
  <si>
    <t>Page 4, Sec A. Dataset</t>
  </si>
  <si>
    <t>Section IV. Experiments and the Results</t>
  </si>
  <si>
    <t>Task focuses on malicious detection and privacy</t>
  </si>
  <si>
    <t>To overcome the above issues, we designed a trust management and data protection model (TM-A-DPM)... identify the trust factor accuracy</t>
  </si>
  <si>
    <t>Datasets used</t>
  </si>
  <si>
    <t>The practice and efficiency of our methodology were examined using four different real-world datasets... Facebook dataset... Twitter dataset... WhatsApp dataset... Instagram dataset</t>
  </si>
  <si>
    <t>Page 11, Section 7.1</t>
  </si>
  <si>
    <t>Evaluation metrics</t>
  </si>
  <si>
    <t>To accomplish high-level privacy preservation while minimizing sensitive information leaks... we measure IL by considering the total amount of data nodes divided by the number of user profiles</t>
  </si>
  <si>
    <t>Page 12, Section 7.3</t>
  </si>
  <si>
    <t>Comparison results</t>
  </si>
  <si>
    <t>The information loss in the TM-A-DPM algorithm is 16.4% less than those of ACAPPSN and FBNT algorithms</t>
  </si>
  <si>
    <t>Page 13, Section 7</t>
  </si>
  <si>
    <t>Lack of split strategy description</t>
  </si>
  <si>
    <t>Entire Document (Section 7 describes datasets and results but not train/test splits)</t>
  </si>
  <si>
    <t>Section 7.3 Privacy and security requirements analysis</t>
  </si>
  <si>
    <t>Section 7.1 Datasets</t>
  </si>
  <si>
    <t>Task is hardware design protection</t>
  </si>
  <si>
    <t>This paper presents a modification to a recently presented method of Trojan defense known as RECORD...</t>
  </si>
  <si>
    <t>Dataset is a DES circuit simulation</t>
  </si>
  <si>
    <t>To demonstrate the performance of Sequential RECORD, a 64 bit Data Encryption Standard (DES) design was implemented...</t>
  </si>
  <si>
    <t>IV. Design Results</t>
  </si>
  <si>
    <t>No ML split or sampling used</t>
  </si>
  <si>
    <t>Encounter RTL Compiler provided the power and timing slack analysis. Both designs were then laid out using Cadence Encounter RTL...</t>
  </si>
  <si>
    <t>Critique of existing benchmarks causing evaluation gaps</t>
  </si>
  <si>
    <t>However, the main problem is that they are validated on the existing benchmarks that do not reflect the real complexity.</t>
  </si>
  <si>
    <t>Specific gap in current public datasets</t>
  </si>
  <si>
    <t>Considering HTs at RT-Level, only 8 typologies of benchmarks are currently available... and none of them is applied to a pipelined processor</t>
  </si>
  <si>
    <t>Dataset availability</t>
  </si>
  <si>
    <t>The presented HT Benchmarks will be made available for the research community and will be uploaded on Trust-Hub platform.</t>
  </si>
  <si>
    <t>Page 2, Footnote 1</t>
  </si>
  <si>
    <t>Dataset Details</t>
  </si>
  <si>
    <t>Section III and IV</t>
  </si>
  <si>
    <t>Table III (Synthesis Results)</t>
  </si>
  <si>
    <t>employ numerical analysis using MATLAB to simulate the trends of the tripartite evolutionary game.</t>
  </si>
  <si>
    <t>Section V. Simulation Analysis</t>
  </si>
  <si>
    <t>Dataset source for parameters</t>
  </si>
  <si>
    <t>According to the data report from HackingTeam, setting: I = 3. Based on the policy text analysis... setting: Fw = 5.</t>
  </si>
  <si>
    <t>Section V-A</t>
  </si>
  <si>
    <t>Objective of the paper</t>
  </si>
  <si>
    <t>Section III &amp; IV (Model Development)</t>
  </si>
  <si>
    <t>Simulation Parameters</t>
  </si>
  <si>
    <t>Section V-A (Analysis of System Evolutionary Stability)</t>
  </si>
  <si>
    <t>In this paper, we construct a novel framework to pinpoint sensitive data that may have been leaked in such an attack.</t>
  </si>
  <si>
    <t>Page 157 (Abstract)</t>
  </si>
  <si>
    <t>Graph_Used (Not Used)</t>
  </si>
  <si>
    <t>Our framework consists of creating baseline fingerprints for each workstation... using a hashset of IP packet data contents guarantees redundancy elimination.</t>
  </si>
  <si>
    <t>Page 157, 160</t>
  </si>
  <si>
    <t>Collection 1 (Day 1) consists of 700 files. Collection 2 (Day 2) consists of 1000 files which randomly include some of the data from Collection 1</t>
  </si>
  <si>
    <t>Page 161 (Experiment 2)</t>
  </si>
  <si>
    <t>For our APT threat model, we evaluated at DAPT 2020 [18].</t>
  </si>
  <si>
    <t>Page 160</t>
  </si>
  <si>
    <t>The sum of the difference between the network activity summary and the baseline fingerprint... yields the activity that has not been accounted for before</t>
  </si>
  <si>
    <t>Page 158</t>
  </si>
  <si>
    <t>Section V. FEASIBILITY EXPERIMENTS</t>
  </si>
  <si>
    <t>Task Type is User Identification via statistical evaluation</t>
  </si>
  <si>
    <t>We propose a novel architecture to identify users of encrypted traffic... It is based on statistical evaluation of monitored network packets.</t>
  </si>
  <si>
    <t>Use of Keystroke Dynamics and Clustering</t>
  </si>
  <si>
    <t>The proposed approach utilizes and combines two main aspects, the mode of operation of remote sessions and the keystroke dynamics of users.</t>
  </si>
  <si>
    <t>profiles of four users had been created... network packets of 16 sessions each consisting of five user inputs had been recorded</t>
  </si>
  <si>
    <t>Methodology is not Graph-based</t>
  </si>
  <si>
    <t>The system utilizes... statistical evaluation... cross correlations between the extracted cluster data and the ones recorded in the user profiles</t>
  </si>
  <si>
    <t>Dataset and Evaluation</t>
  </si>
  <si>
    <t>Section IV. PROOF OF CONCEPT AND FIRST RESULTS</t>
  </si>
  <si>
    <t>Section III. A NOVEL ARCHITECTURE FOR EXTRUSION DETECTION</t>
  </si>
  <si>
    <t>Type of paper is a qualitative review, not an experimental study</t>
  </si>
  <si>
    <t>In this paper, the study of determining intrusive cyber-attacks over the online applications using the cloud data security.</t>
  </si>
  <si>
    <t>Experimental Results section contains only a descriptive table</t>
  </si>
  <si>
    <t>Table 2. Review on Cloud Data Security Attacks with Countermeasures</t>
  </si>
  <si>
    <t>Page 5, Section 5</t>
  </si>
  <si>
    <t>No graph methodology proposed</t>
  </si>
  <si>
    <t>This report also suggests a fresh categorization of this field's evolving information security.</t>
  </si>
  <si>
    <t>Page 3, Section 2 (Referring to literature review approach)</t>
  </si>
  <si>
    <t>Experimental Results</t>
  </si>
  <si>
    <t>Section 5 (Page 5)</t>
  </si>
  <si>
    <t>Section 3 (Page 3)</t>
  </si>
  <si>
    <t>Paper Type / Methodology</t>
  </si>
  <si>
    <t>Our solution is prototyped as a package, named Synaptic... for translating specifications... into formal models that can then be verified by SMT solving or model checking.</t>
  </si>
  <si>
    <t>Graph Type (Automata)</t>
  </si>
  <si>
    <t>The resulting automaton is represented in a nuXmv model as a finite state machine.</t>
  </si>
  <si>
    <t>Page 6, Section III-D</t>
  </si>
  <si>
    <t>Dataset / Evaluation Setup</t>
  </si>
  <si>
    <t>we have implemented an additional Python module capable of generating synthetically the security chains that are used as inputs... varying from 0 to 100 states</t>
  </si>
  <si>
    <t>Page 7, Section IV</t>
  </si>
  <si>
    <t>Section IV. Performance Evaluation</t>
  </si>
  <si>
    <t>Evaluation context is hardware fault injection and security coverage, not APT detection via ML.</t>
  </si>
  <si>
    <t>This paper presents the foundation... focus on hardware security coverage and fault-injection assessment for SoC designs...</t>
  </si>
  <si>
    <t>Use of Information Flow Tracking for coverage.</t>
  </si>
  <si>
    <t>CWE-IFT uses information flow tracking (IFT) property templates based on common weakness enumerations (CWEs) to define the threat model...</t>
  </si>
  <si>
    <t>Section II</t>
  </si>
  <si>
    <t>Proposed SoFI framework uses simulation on specific designs.</t>
  </si>
  <si>
    <t>SOFI has been applied on AES, RSA, and SHA implementations, and the results show that the threat from fault-injection attacks can be significantly reduced...</t>
  </si>
  <si>
    <t>Section III.C</t>
  </si>
  <si>
    <t>Abstract and Introduction</t>
  </si>
  <si>
    <t>Section II (CWE-IFT) and Section III (SoFI)</t>
  </si>
  <si>
    <t>Model architecture uses FNN, not Graph Neural Networks</t>
  </si>
  <si>
    <t>the FNN (Feedforward Neural Network) is composed of one input layer and one output layer, as well as two hidden layers</t>
  </si>
  <si>
    <t>Page 7, Section V</t>
  </si>
  <si>
    <t>Sampling Strategy involves Experience Replay Buffer</t>
  </si>
  <si>
    <t>Randomly take J samples from Ξ, that is (s_t,j, s_t+1,j, a_j, R(...), done_j)</t>
  </si>
  <si>
    <t>Page 8, Algorithm 1</t>
  </si>
  <si>
    <t>Evaluation based on simulation episodes</t>
  </si>
  <si>
    <t>We execute 16,000 episode simulations and mark a point every 400 episodes.</t>
  </si>
  <si>
    <t>Impact of Replay Memory Size</t>
  </si>
  <si>
    <t>The decisive experience will probably be overridden due to a small replay memory size, resulting in the instability of the model training.</t>
  </si>
  <si>
    <t>Page 8, Section V-A</t>
  </si>
  <si>
    <t>Section IV-B / Algorithm 1</t>
  </si>
  <si>
    <t>Evaluation method follows interleaved test-then-train</t>
  </si>
  <si>
    <t>The primary ensemble predicts the new instance... and outputs the prediction result... Then... undergoes retraining on the new instance</t>
  </si>
  <si>
    <t>Page 7, Section 3.1</t>
  </si>
  <si>
    <t>Sampling Strategy uses adaptive Poisson distribution</t>
  </si>
  <si>
    <t>calculate the sampling rate λ_alpha using Eq. (2)... determined using the Poisson distribution k ~ Poisson(λ_alpha)</t>
  </si>
  <si>
    <t>Page 10, Section 3.2</t>
  </si>
  <si>
    <t>Use of SMOTE in background ensemble</t>
  </si>
  <si>
    <t>inspect the queue space, perform SMOTE oversampling on the unfilled instance queues, and then create... a background ensemble</t>
  </si>
  <si>
    <t>Page 8, Section 3.1</t>
  </si>
  <si>
    <t>Section 3.2 Adaptive sampling strategy</t>
  </si>
  <si>
    <t>Section 4.1.2 Evaluation metrics</t>
  </si>
  <si>
    <t>Use of Cross-Validation</t>
  </si>
  <si>
    <t>A 10-fold cross-validation technique is used to perform the computations of performance metric as a method of statistical robustness.</t>
  </si>
  <si>
    <t>Dataset Cleaning</t>
  </si>
  <si>
    <t>The UNSW-NB15 dataset is first cleaned and normalized to remove noise and redundant entries.</t>
  </si>
  <si>
    <t>Simulation Setup</t>
  </si>
  <si>
    <t>The UNSW-NB15 database, was applied in the model training and testing... extensive experiments were conducted using the SUMO... platform.</t>
  </si>
  <si>
    <t>GJO Function</t>
  </si>
  <si>
    <t>GJO optimizes the detection accuracy by fine-tuning feature subsets and classifier parameters</t>
  </si>
  <si>
    <t>Page 5, Section III.B.1</t>
  </si>
  <si>
    <t>Section III Research Methodology</t>
  </si>
  <si>
    <t>Section III.B Key metrics</t>
  </si>
  <si>
    <t>Task is covert channel generation</t>
  </si>
  <si>
    <t>We propose ‘NoiseHopper’, an improved covert side channel formed by pulse width modulation (PWM) controlled EM emission</t>
  </si>
  <si>
    <t>Dataset used is MNIST for payload</t>
  </si>
  <si>
    <t>transmitted MNIST dataset images to show its efficacy.</t>
  </si>
  <si>
    <t>Baselines are GSMEM and BitJabber</t>
  </si>
  <si>
    <t>Fig. 6 shows the BER of our OOK modulated data... and compares it with GSMEM and BitJabber</t>
  </si>
  <si>
    <t>Page 8, Section VII-A</t>
  </si>
  <si>
    <t>Section VII. Communication Properties</t>
  </si>
  <si>
    <t>Section V. Covert Communication (A. Data Transmission)</t>
  </si>
  <si>
    <t>Lack of consensus on sensitive data definition</t>
  </si>
  <si>
    <t>review of the literature reveals a lack of consensus on what sensitive data is in the context of technical frameworks like Android.</t>
  </si>
  <si>
    <t>Permission model insufficiency</t>
  </si>
  <si>
    <t>Not all API methods protected by a permission return sensitive data... Conversely, some API methods not protected by permissions can be used to retrieve sensitive data.</t>
  </si>
  <si>
    <t>Publicly available list</t>
  </si>
  <si>
    <t>The list is available at: https://github.com/JordanSamhi/SensitiveData</t>
  </si>
  <si>
    <t>Page 2</t>
  </si>
  <si>
    <t>Critique of traditional evaluation causing leakage</t>
  </si>
  <si>
    <t>Traditional batch learning and hold-out evaluation could lead to an inflated performance because of unveiling unseen data in the future</t>
  </si>
  <si>
    <t>Page 5, Introduction</t>
  </si>
  <si>
    <t>Adoption of temporal evaluation</t>
  </si>
  <si>
    <t>An interleaved-test-then-train evaluation mode will be used to assess the real-time performance... each new data would be used to test... before training</t>
  </si>
  <si>
    <t>Sampling Strategy Description</t>
  </si>
  <si>
    <t>Balanced Window Strategy (BWS) is a strategy to keep a balanced window to dynamically hold the latest Nb negative samples and Nb positive samples</t>
  </si>
  <si>
    <t>Page 15, Section 3.4</t>
  </si>
  <si>
    <t>Section 3.1 Consecutive batch learning framework</t>
  </si>
  <si>
    <t>Section 1 Introduction (Challenges)</t>
  </si>
  <si>
    <t>Using survey data of internet users from 10 Asian societies... We tested the multiple mediation model using PROCESS, Model 4</t>
  </si>
  <si>
    <t>Page 2 (Abstract) &amp; Page 9 (Data analysis)</t>
  </si>
  <si>
    <t>Data source</t>
  </si>
  <si>
    <t>The fieldwork was contracted out to YouGov... The survey finally collected data from 10 Asian societies: Hong Kong, India...</t>
  </si>
  <si>
    <t>Page 7 (Methods - Data)</t>
  </si>
  <si>
    <t>Lack of technical graph focus</t>
  </si>
  <si>
    <t>This study examined how online political participation is related to privacy protection behaviors.</t>
  </si>
  <si>
    <t>Page 2 (Abstract)</t>
  </si>
  <si>
    <t>Section 3.0 Methods</t>
  </si>
  <si>
    <t>Section 4.0 Results</t>
  </si>
  <si>
    <t>Use of 10-fold Cross Validation</t>
  </si>
  <si>
    <t>For experimentation, tenfold cross validation is used to split the dataset into training and testing datasets.</t>
  </si>
  <si>
    <t>Page 8 (Performance validation)</t>
  </si>
  <si>
    <t>classification of highly imbalanced streaming data</t>
  </si>
  <si>
    <t>The proposed model uses adaptive synthetic (ADASYN) technique for handling class imbalance data...</t>
  </si>
  <si>
    <t>Drift Detection Method</t>
  </si>
  <si>
    <t>drift detection technique called adaptive sliding window (ADWIN) is employed to detect the existence of the concept drift.</t>
  </si>
  <si>
    <t>three streaming datasets namely intrusion detection (NSL KDDCup) dataset, Spam dataset, and Chess dataset.</t>
  </si>
  <si>
    <t>Performance validation (Page 8)</t>
  </si>
  <si>
    <t>Table 1 (Page 8)</t>
  </si>
  <si>
    <t>Task Type is Intrusion Detection using XGBoost</t>
  </si>
  <si>
    <t>We propose FEXGBIDS, a privacy-preserving intrusion detection system based on federated XGBoost.</t>
  </si>
  <si>
    <t>Dataset is Car Hacking</t>
  </si>
  <si>
    <t>The dataset used in this study is the Car Hacking [27]... captured via the OBD-II port of a modern Avante CN7 vehicle.</t>
  </si>
  <si>
    <t>Section V-B</t>
  </si>
  <si>
    <t>Training and Testing Split Counts</t>
  </si>
  <si>
    <t>the training dataset consists of 1,695,785 instances, and the testing dataset contains 2,000,733 instances.</t>
  </si>
  <si>
    <t>Random assignment in efficiency experiment</t>
  </si>
  <si>
    <t>In this experiment, each VU is randomly assigned 20,000 instances to ensure that the instance size does not affect the efficiency evaluation.</t>
  </si>
  <si>
    <t>Section V-D</t>
  </si>
  <si>
    <t>Privacy leakage focus</t>
  </si>
  <si>
    <t>FEXGBIDS addresses data silo and security challenges... We use the BatchCrypt algorithm to batch encrypt... gradients</t>
  </si>
  <si>
    <t>Section V-B (Dataset) and Table 1</t>
  </si>
  <si>
    <t>Throughout paper (Methodology uses XGBoost on CAN features)</t>
  </si>
  <si>
    <t>Task Type is Data Leakage Detection via Static Analysis</t>
  </si>
  <si>
    <t>In this paper, we show how to analyze Android applications with static analysis to detect and identify which apps can be used to leak out sensitive information</t>
  </si>
  <si>
    <t>Graph used is ICC Link Graph</t>
  </si>
  <si>
    <t>The output result of ICC links Matcher module is ICC flows from source to sink within or across components... list of ICC links</t>
  </si>
  <si>
    <t>Page 5, Table I / Paragraph 1</t>
  </si>
  <si>
    <t>Evaluation Dataset</t>
  </si>
  <si>
    <t>Firstly, evaluation will be considered on S, a set of three applications... perform analyzing on DroidBench with eddLeak and DidFail</t>
  </si>
  <si>
    <t>Page 5, Section IV. Evaluation</t>
  </si>
  <si>
    <t>No ML Split Strategy used</t>
  </si>
  <si>
    <t>This section will present improvement result of analyzing Android apps on many cases... We design more apps to validate our techniques on various scenarios</t>
  </si>
  <si>
    <t>Table III. ACCURACY OF ANALYZING DATA APP SETS</t>
  </si>
  <si>
    <t>Section III. PROPOSAL MODEL (Fig 1, Fig 2)</t>
  </si>
  <si>
    <t>The paper is a review of Mobile Security, not Graph APT.</t>
  </si>
  <si>
    <t>In this paper, a systematic literature review has been conducted to study the proposed schemes integrating both technologies [AI and Blockchain] to tackle security analysis in mobile environments...</t>
  </si>
  <si>
    <t>AI limitations identified include centralization and scalability.</t>
  </si>
  <si>
    <t>Our analysis reveals that AI-based approaches for vulnerability detection in mobile applications suffer from limitations related to immutability, scalability, and centralization.</t>
  </si>
  <si>
    <t>Page 4, VI. Conclusions</t>
  </si>
  <si>
    <t>Call for evaluation mechanisms refers to system integrity, not data splitting.</t>
  </si>
  <si>
    <t>These mechanisms should detect and prevent activities such as submission manipulation, collusion between participants, or biased evaluation results.</t>
  </si>
  <si>
    <t>Page 4, V. Synthesis</t>
  </si>
  <si>
    <t>Section V. Synthesis</t>
  </si>
  <si>
    <t>Task type is Recommendation</t>
  </si>
  <si>
    <t>proposes an intelligent recommendation algorithm based on data mining... to improve the accuracy and efficiency of employment recommendation</t>
  </si>
  <si>
    <t>Security focus is on access control/encryption not detection</t>
  </si>
  <si>
    <t>In terms of network security... adopted multiple security technologies, including data encryption, access control, intrusion detection, etc., to ensure the integrity</t>
  </si>
  <si>
    <t>Sampling strategy for evaluation</t>
  </si>
  <si>
    <t>selected multiple users for recommendation, and ultimately selected 6 to compare the results of the average deviation of MAE.</t>
  </si>
  <si>
    <t>3.3 Experimental testing</t>
  </si>
  <si>
    <t>Split strategy description</t>
  </si>
  <si>
    <t>extracts the uniform interval data in the database for processing, and also intercepts a segment from the most original database</t>
  </si>
  <si>
    <t>Section 3.3 Experimental testing</t>
  </si>
  <si>
    <t>Task Type is Scheduling</t>
  </si>
  <si>
    <t>security-driven performance-constrained task scheduling problem</t>
  </si>
  <si>
    <t>Page 2, Section C</t>
  </si>
  <si>
    <t>Graph Type Used</t>
  </si>
  <si>
    <t>edge contraction conflict graph (ECCG) is constructed from a timing violated graph... vendor conflict graph (VCG) is constructed from the clustering results</t>
  </si>
  <si>
    <t>Page 1, Abstract &amp; Page 3, Section V</t>
  </si>
  <si>
    <t>benchmarks from two sources... Robot control (robot), Sparse matrix solver (sparse), SPEC fpppp (fpppp); task graphs that are randomly generagted</t>
  </si>
  <si>
    <t>Page 5, Section VI.A</t>
  </si>
  <si>
    <t>ratio is the ratio of scy_v to scy, and core is the total number of cores required</t>
  </si>
  <si>
    <t>Page 6, Section D</t>
  </si>
  <si>
    <t>hardware Trojans in these COTS components present high risks of malicious inclusions and data leakage</t>
  </si>
  <si>
    <t>Algorithm Type</t>
  </si>
  <si>
    <t>Section IV and V (Heuristic algorithms)</t>
  </si>
  <si>
    <t>Data Availability</t>
  </si>
  <si>
    <t>Section VI.A (Footnote 1)</t>
  </si>
  <si>
    <t>In other words, we will use a text classification approach to explore any potential data leakage on encrypted payload.</t>
  </si>
  <si>
    <t>Page 2, Section 1</t>
  </si>
  <si>
    <t>We split the dataset into 80% for training and 20% for testing, table 1.</t>
  </si>
  <si>
    <t>Page 6, Section 3.4 (1)</t>
  </si>
  <si>
    <t>Sampling/Balancing</t>
  </si>
  <si>
    <t>training partitions of both datasets were balanced to minimize any data related biases.</t>
  </si>
  <si>
    <t>Page 9, Section 3.7</t>
  </si>
  <si>
    <t>Methodology (Non-Graph)</t>
  </si>
  <si>
    <t>Thus, in this work, we use character n-grams as features and TF-IDF method as the feature representation</t>
  </si>
  <si>
    <t>Page 7, Section 3.3 Intro</t>
  </si>
  <si>
    <t>Section 3.4 Datasets</t>
  </si>
  <si>
    <t>Section 3.5 Performance Metrics</t>
  </si>
  <si>
    <t>Task is hardware attack simulation</t>
  </si>
  <si>
    <t>In this work, we present Cache-Out, a class of system attacks involving hardware compromised with a Trojan embedded in the CPU.</t>
  </si>
  <si>
    <t>Use of simulator for evaluation</t>
  </si>
  <si>
    <t>We validated Cache-Out using GEM5 architectural simulator.</t>
  </si>
  <si>
    <t>Dataset usage for performance overhead</t>
  </si>
  <si>
    <t>Extending the technique to both L1/L2 caches result in 3.6% performance overhead... based on SPEC CPU2000 benchmark simulations</t>
  </si>
  <si>
    <t>Section VI.D</t>
  </si>
  <si>
    <t>Section V and VI</t>
  </si>
  <si>
    <t>Informer utilizes the encoder-decoder structure of Transformer and adds a historical information embedding in the decoder</t>
  </si>
  <si>
    <t>Page 3, Section III.C</t>
  </si>
  <si>
    <t>Dataset Generation</t>
  </si>
  <si>
    <t>We conducted a large number of simulation experiments in the real shipping enterprise network, simulating various representative network attack instances</t>
  </si>
  <si>
    <t>Then, we allocate the processed features to corresponding attack type files, and finally split the data into training and testing sets for model training and evaluation.</t>
  </si>
  <si>
    <t>Attack Types</t>
  </si>
  <si>
    <t>extracted all relevant network packets... include benign traffic, DDoS attacks, Hulk attacks, PortScan attacks, Slowhttptest attacks and slowloris attacks.</t>
  </si>
  <si>
    <t>Section III.C (Model description)</t>
  </si>
  <si>
    <t>Section IV (Application Cases and Experiment)</t>
  </si>
  <si>
    <t>Graph usage in reviewed literature (DAG)</t>
  </si>
  <si>
    <t>Boehmer (2010) presented a theoretical model... uses case-based reasoning in combination with directed acyclic graphs</t>
  </si>
  <si>
    <t>Page 144, Section 4.2.5</t>
  </si>
  <si>
    <t>Graph usage in reviewed literature (Dependency Graph)</t>
  </si>
  <si>
    <t>Yaseen and Panda (2009) proposed a dependency graph called the Neural Dependency and Inference Graph.</t>
  </si>
  <si>
    <t>Page 150, Section 6.2</t>
  </si>
  <si>
    <t>Dataset limitation in reviewed work</t>
  </si>
  <si>
    <t>The dataset used in this approach was limited to the Enron dataset, which has problems such as repetition and unknown users.</t>
  </si>
  <si>
    <t>Page 146, Section 5.1</t>
  </si>
  <si>
    <t>Subjective evaluation in reviewed work</t>
  </si>
  <si>
    <t>Unfortunately, the detection of the email leaks was totally subjective, since it was up to the users to select appropriate recipients.</t>
  </si>
  <si>
    <t>Page 149, Section 6</t>
  </si>
  <si>
    <t>Section 4.2.5 and Section 6.2</t>
  </si>
  <si>
    <t>Scope of the paper is Conversational AI security reviews.</t>
  </si>
  <si>
    <t>This paper provides a comprehensive review of the risks associated with conversational AI security... and proposes strategies to mitigate these risks.</t>
  </si>
  <si>
    <t>Page 557 (Abstract)</t>
  </si>
  <si>
    <t>General ML based detection mention without specific graph details.</t>
  </si>
  <si>
    <t>Machine learning-based detection involves training ML models to identify patterns of behavior associated with security threats.</t>
  </si>
  <si>
    <t>Page 567 (32.4.5 Threat Detection and Response)</t>
  </si>
  <si>
    <t>No experimental results reported.</t>
  </si>
  <si>
    <t>This paper provides an overview of the risks associated with conversational AI security... It also discusses the measures that can be taken...</t>
  </si>
  <si>
    <t>Abstract, Section 32.4.5</t>
  </si>
  <si>
    <t>Whole Document (Search for 'Graph')</t>
  </si>
  <si>
    <t>Task type definition</t>
  </si>
  <si>
    <t>In this research, malware was developed and implemented on a camera... The research contribution is an initial empirical analysis...</t>
  </si>
  <si>
    <t>Evaluation method</t>
  </si>
  <si>
    <t>As a matter of convenience, XRY (Version: 6.10.1) was used in this experiment.</t>
  </si>
  <si>
    <t>Page 3, Section 3</t>
  </si>
  <si>
    <t>The camera used in this experiment was a Samsung Galaxy GC100 Digital Camera running a 4.1 Jelly Bean distribution of the Android OS.</t>
  </si>
  <si>
    <t>Result of forensic analysis</t>
  </si>
  <si>
    <t>The physical extraction detected the application as well as the owner’s account. It did not, however, report the hackers account.</t>
  </si>
  <si>
    <t>Page 8, Section 4</t>
  </si>
  <si>
    <t>Section 4. Implementation and results</t>
  </si>
  <si>
    <t>Section 6. Future work</t>
  </si>
  <si>
    <t>Use of XGBoost</t>
  </si>
  <si>
    <t>The approach utilizes the extreme gradient boosting (XGBoost) algorithm.</t>
  </si>
  <si>
    <t>3.3. Continuous stream drift identification model</t>
  </si>
  <si>
    <t>Split Strategy (Cross-validation)</t>
  </si>
  <si>
    <t>For optimizing the feature imbalance, cross-validation is used... Shahapurkar and Rodd [21] has proposed cross-validation having two layers.</t>
  </si>
  <si>
    <t>3.1. Standard XGBoost model</t>
  </si>
  <si>
    <t>two datasets are used: a credit card dataset and a Twitter dataset containing financial fraud related social media data.</t>
  </si>
  <si>
    <t>Drift Evaluation</t>
  </si>
  <si>
    <t>The accuracy performance of the MDDT+XGB keeps fluctuating each day... The proposed model’s accuracy remains constant</t>
  </si>
  <si>
    <t>4.3.2. Drift time</t>
  </si>
  <si>
    <t>Algorithm 2 and Section 3.3</t>
  </si>
  <si>
    <t>4.1. Performance metrics</t>
  </si>
  <si>
    <t>Task Type is node identification/classification</t>
  </si>
  <si>
    <t>The purpose of this article is to examine security systems... rely on identification and authentication algorithms... determine which node is the cluster head (CH) and which node is a cluster member (CM).</t>
  </si>
  <si>
    <t>Page 2, Summary; Page 3, Section 2.1</t>
  </si>
  <si>
    <t>Uses Graph/Network properties</t>
  </si>
  <si>
    <t>Node Degree (ND) are among the metrics chosen... The number of neighbours NC of node n at time t is calculated using RSSI</t>
  </si>
  <si>
    <t>Page 4, Section 2.1</t>
  </si>
  <si>
    <t>Dataset is Simulated</t>
  </si>
  <si>
    <t>AnyLogic software is used to create visual representations of the results using wireless networks... The study looks at the operation of 19 computers</t>
  </si>
  <si>
    <t>Page 2, Summary; Page 3, Section 2</t>
  </si>
  <si>
    <t>For 4 machines, the data leakage time with malware attacks was 70 s. For 10 machines, the duration was 150 s</t>
  </si>
  <si>
    <t>Page 2, Summary</t>
  </si>
  <si>
    <t>Page 2 (Summary) and Page 6 (Results)</t>
  </si>
  <si>
    <t>Simulation Details</t>
  </si>
  <si>
    <t>Page 3 (Materials and methods)</t>
  </si>
  <si>
    <t>Use of Random Split</t>
  </si>
  <si>
    <t>examined with an 80-20 training-test split</t>
  </si>
  <si>
    <t>Split Strategy Details</t>
  </si>
  <si>
    <t>the collected data, with randomly selected characteristics, was divided into two sets: training (80%) and testing (20%)</t>
  </si>
  <si>
    <t>Page 6, Section 5.5</t>
  </si>
  <si>
    <t>Leakage Control (Feature Dropping)</t>
  </si>
  <si>
    <t>Specific features such as the source IP address, destination IP address, and timestamp are also removed</t>
  </si>
  <si>
    <t>Page 4, Section 4.1</t>
  </si>
  <si>
    <t>Leakage Control (Deduplication)</t>
  </si>
  <si>
    <t>duplicates were removed from both rows and columns</t>
  </si>
  <si>
    <t>This paper is based on the RT-IoT2022 dataset</t>
  </si>
  <si>
    <t>Page 3, Section 4</t>
  </si>
  <si>
    <t>Section 5.5 Training a Conditional Generative Adversarial Network (CGAN) Model</t>
  </si>
  <si>
    <t>Preprocessing</t>
  </si>
  <si>
    <t>Section 4.1 Preprocessing</t>
  </si>
  <si>
    <t>Task Type and Dataset</t>
  </si>
  <si>
    <t>We evaluate FREDY on two benchmark datasets, namely CIFAR10 [30] and MNIST [31].</t>
  </si>
  <si>
    <t>Page 3, Section 1 (Contributions)</t>
  </si>
  <si>
    <t>Both the CIFAR10 and MNIST training datasets are partitioned into T separate subsets. A unique teacher model is trained on each of these sets</t>
  </si>
  <si>
    <t>Page 9, Section 4.4</t>
  </si>
  <si>
    <t>Leakage Control</t>
  </si>
  <si>
    <t>The outputs of each teacher model’s inference are noisy aggregated by adding Laplacian noise... The final aggregated labels... are used to train a student model.</t>
  </si>
  <si>
    <t>Page 14, Section 6</t>
  </si>
  <si>
    <t>Section 4.3 Metrics</t>
  </si>
  <si>
    <t>Section 4.1 Datasets</t>
  </si>
  <si>
    <t>Task Type is Intrusion Detection</t>
  </si>
  <si>
    <t>distributed network intrusion detection model based on multi-feature fusion generative adversarial network</t>
  </si>
  <si>
    <t>Page 1 / Title</t>
  </si>
  <si>
    <t>This paper uses the newly released CIC-IoT-2023 dataset [9] as a benchmark</t>
  </si>
  <si>
    <t>Page 3 / Section IV</t>
  </si>
  <si>
    <t>Sampling Strategy (GAN-based)</t>
  </si>
  <si>
    <t>MGAN... is used to perform data enhancement for small sample attacks and balance positive and negative samples.</t>
  </si>
  <si>
    <t>Page 1 / Section I</t>
  </si>
  <si>
    <t>No Graph Used (MLP/CNN instead)</t>
  </si>
  <si>
    <t>This paper uses MLP and CNN to extract complex features of distributed network data in parallel</t>
  </si>
  <si>
    <t>Page 2 / Section III</t>
  </si>
  <si>
    <t>Leakage Control Not Discussed</t>
  </si>
  <si>
    <t>The client trains and collects data locally, and the server aggregates... realizing the deployment of intrusion detection models</t>
  </si>
  <si>
    <t>Page 1 / Abstract</t>
  </si>
  <si>
    <t>Section IV. EXPERIMENTATIONS</t>
  </si>
  <si>
    <t>Section III. THE PROPOSED METHODOLOGY</t>
  </si>
  <si>
    <t>Task type is Systematic Review</t>
  </si>
  <si>
    <t>Systematic Review... This literature review covers unresolved security and privacy vulnerabilities...</t>
  </si>
  <si>
    <t>Domain is Transactive Energy Markets</t>
  </si>
  <si>
    <t>Transactive energy markets are integrated software and hardware systems that enable optimized energy management...</t>
  </si>
  <si>
    <t>Lack of real-world evaluation</t>
  </si>
  <si>
    <t>Most of the systems investigated for this review are in the proof-of-concept stage... leading to a paucity of empirical data.</t>
  </si>
  <si>
    <t>Page 28, Section 8</t>
  </si>
  <si>
    <t>Section 8 Limitations</t>
  </si>
  <si>
    <t>Task is exfiltration channel analysis</t>
  </si>
  <si>
    <t>In this paper we extensively explore this threat in the context of a modern cyber-attack... exfiltrate data from air-gapped computers optically.</t>
  </si>
  <si>
    <t>maximum bit rate of 3000 bit/sec per LED given a light sensor as a receiver, and more than 120 bit/sec if smartphones are used.</t>
  </si>
  <si>
    <t>No Graph or ML Detection Used</t>
  </si>
  <si>
    <t>We examine this attack and its boundaries for today’s keyboards... We also introduce smartphone and smartwatch cameras as components</t>
  </si>
  <si>
    <t>Evaluation Section</t>
  </si>
  <si>
    <t>Section VII. EVALUATION</t>
  </si>
  <si>
    <t>Task type involves detecting potential malicious apps via graph reconstruction.</t>
  </si>
  <si>
    <t>To detect the potential malicious mobile applications... this paper proposes to... reconstructing an activity graph for each application</t>
  </si>
  <si>
    <t>Evaluation dataset consists of specific manually identified apps.</t>
  </si>
  <si>
    <t>For evaluation, this paper identified two existing and three home-brewed malicious mobile applications... summarized in Table 1.</t>
  </si>
  <si>
    <t>Page 3, Section V.A</t>
  </si>
  <si>
    <t>Detection relies on analyst-provided whitelist (Rule-based).</t>
  </si>
  <si>
    <t>This step needs to ask the analyst to give a white-list of IP addresses. Then, the white-list is matched with each of the socket objects</t>
  </si>
  <si>
    <t>Graph type definition.</t>
  </si>
  <si>
    <t>Mobile Application Activity Graph... directed graph G(V, E)... V U{src, sink}, E = E U{dep}. dep inherits timestamps start and end from syscall</t>
  </si>
  <si>
    <t>Section V. Evaluation</t>
  </si>
  <si>
    <t>Page 1, Footnote 1</t>
  </si>
  <si>
    <t>Focus on passive monitoring due to ICS constraints</t>
  </si>
  <si>
    <t>active scanning or probing of these environments is either discouraged or ineffective. Thus, passive monitoring ... offers insights</t>
  </si>
  <si>
    <t>Introduction, p. xv</t>
  </si>
  <si>
    <t>Use of Raspberry Pi as a sensor</t>
  </si>
  <si>
    <t>Raspberry Pi itself... provides the basic underpinnings necessary for a lightweight IoT/ICS sensor for less than $50.00.</t>
  </si>
  <si>
    <t>Source code availability</t>
  </si>
  <si>
    <t>Any source code ... is available to readers on GitHub via the book’s product page</t>
  </si>
  <si>
    <t>Copyright Page, p. iv</t>
  </si>
  <si>
    <t>Data types collected</t>
  </si>
  <si>
    <t>Ethernet Packet Format... ARP... IP Packets... TCP Packets... UDP Packet... ICMP Packet</t>
  </si>
  <si>
    <t>Table of Contents, p. v-vi</t>
  </si>
  <si>
    <t>Table of Contents - Chapter 7: Future Work</t>
  </si>
  <si>
    <t>Chapter 2 and 3 (PacketRecorder.py)</t>
  </si>
  <si>
    <t>Features (X) and labels (y) are split into training and testing sets using an 80-20 train-test split.</t>
  </si>
  <si>
    <t>Page 5, Section 3.1</t>
  </si>
  <si>
    <t>incorporate data balancing techniques such as Random Under Sampling (RUS) and SMOTE to address class imbalance</t>
  </si>
  <si>
    <t>Task and Domain</t>
  </si>
  <si>
    <t>propose a novel federated learning-based Random Forest architecture (RF-FedAvg) for intrusion detection in WSNs</t>
  </si>
  <si>
    <t>Section 3.1 Client-side training</t>
  </si>
  <si>
    <t>Section 3.6 Dataset description</t>
  </si>
  <si>
    <t>Separation of auxiliary and target data</t>
  </si>
  <si>
    <t>assume the malicious client can take some publicly available datasets as the auxiliary dataset... attempts to infer private client data</t>
  </si>
  <si>
    <t>Section III-B</t>
  </si>
  <si>
    <t>Criticism of existing evaluation initialization</t>
  </si>
  <si>
    <t>effectiveness of these attacks heavily depends on the initialization of model parameters... rendering these attacks ineffective</t>
  </si>
  <si>
    <t>Section I</t>
  </si>
  <si>
    <t>Use of standard metrics</t>
  </si>
  <si>
    <t>Metrics: PSNR [38], SSIM [39], and LPIPS [40]... detection metric D-SNR [17]</t>
  </si>
  <si>
    <t>Section VI-A</t>
  </si>
  <si>
    <t>Section III-B Threat Model</t>
  </si>
  <si>
    <t>Section VI-A Setup</t>
  </si>
  <si>
    <t>Detection Method</t>
  </si>
  <si>
    <t>Our security module checks integrity values against original values within MTM hardware. When these values are illegally changed, alert messages are generated.</t>
  </si>
  <si>
    <t>Evaluation Approach</t>
  </si>
  <si>
    <t>Figure 3. Mobile Malware Detection Testing... As soon as mobile malware is run on MTM, the security module detects it and an alert pups up</t>
  </si>
  <si>
    <t>Comparison with SW-based</t>
  </si>
  <si>
    <t>In case of mobile vaccine... cannot detect the manipulation of system library... also mobile vaccine cannot detect new mobile malware, because no signature is available</t>
  </si>
  <si>
    <t>Section III. IMPLEMENTATION &amp; TESTING RESULTS</t>
  </si>
  <si>
    <t>For the purpose of binary classification, we have assigned the attack classes with notation one, while the normal class has been assigned zero.</t>
  </si>
  <si>
    <t>Page 3, Section III.A</t>
  </si>
  <si>
    <t>Split the data into 70:30 ratio for training and testing</t>
  </si>
  <si>
    <t>Page 3, Algorithm 1</t>
  </si>
  <si>
    <t>Leakage Control Method</t>
  </si>
  <si>
    <t>Prior to feature selection, partition the dataset into separate training and evaluation sets. It is best to make sure that the testing set is not seen...</t>
  </si>
  <si>
    <t>Page 5, Section VI</t>
  </si>
  <si>
    <t>The current work used the CIC-IoT 2023 dataset to observe the feature selection data leakage.</t>
  </si>
  <si>
    <t>Leakage Impact</t>
  </si>
  <si>
    <t>RNN has the lowest accuracy of 74.91% and GRU accuracy is 77.59%. DT accuracy was reduced to 82.54%... with experiment 2.</t>
  </si>
  <si>
    <t>Page 4, Section VI</t>
  </si>
  <si>
    <t>Page 4, Section V. Evaluation Metrics</t>
  </si>
  <si>
    <t>Experiment Design</t>
  </si>
  <si>
    <t>Evaluation using similar versions/variants</t>
  </si>
  <si>
    <t>We extract contents-based chunks from each document and build an inverted index. We select 100 documents... and download each of the old versions of them</t>
  </si>
  <si>
    <t>Page 7, Section IV-A</t>
  </si>
  <si>
    <t>Evaluation on Malware variants</t>
  </si>
  <si>
    <t>We select 100 malware files from 1,000... to the selected 100 malware files in terms of the jaccard index between their chunk sets.</t>
  </si>
  <si>
    <t>Negative Sampling</t>
  </si>
  <si>
    <t>We also obtain another 100 documents that are not related with the 980 indexed documents... called different wiki files.</t>
  </si>
  <si>
    <t>Section IV. Experiments, A. Experimental Setup</t>
  </si>
  <si>
    <t>Section III. Packet Chunking for File Detection</t>
  </si>
  <si>
    <t>Proposed Attack Model</t>
  </si>
  <si>
    <t>In this article, we present HarTBleed, a class of system attacks involving hardware compromised with a Trojan embedded in the CPU.</t>
  </si>
  <si>
    <t>Page 968, Abstract</t>
  </si>
  <si>
    <t>Simulation Environment</t>
  </si>
  <si>
    <t>We model the effects of the hardware Trojan in the GEM5 architectural simulator [35].</t>
  </si>
  <si>
    <t>Page 976, Section VI.C</t>
  </si>
  <si>
    <t>Evaluation Metrics (Trigger Reliability)</t>
  </si>
  <si>
    <t>Extensive circuit simulation indicates that the proposed Trojan trigger is not activated during test or normal operation even under a wide range of process/temperature conditions.</t>
  </si>
  <si>
    <t>Section III (Hardware Design) &amp; Section VI (Simulation)</t>
  </si>
  <si>
    <t>Study scope is educational, not technical ML.</t>
  </si>
  <si>
    <t>This paper addresses the integration of cybersecurity into the training programmes of computer science teachers in higher education institutions.</t>
  </si>
  <si>
    <t>Page 1 (Abstract)</t>
  </si>
  <si>
    <t>Methodology is qualitative systematic review.</t>
  </si>
  <si>
    <t>Based on a systematic review of 51 empirical studies selected from databases such as Scopus, Web of Science and Springer Link...</t>
  </si>
  <si>
    <t>Section 3 Methodology</t>
  </si>
  <si>
    <t>Task includes detecting HTs and marking specific gates.</t>
  </si>
  <si>
    <t>determine whether they contain Hardware Trojans. Participants are also encouraged to identify and mark specific Trojan gates</t>
  </si>
  <si>
    <t>The dataset includes Trojan-inserted and Trojan-free circuits.</t>
  </si>
  <si>
    <t>The benchmark suite includes a total of 20 Trojan-inserted circuits... Additionally, 10 Trojan-free circuits... are provided</t>
  </si>
  <si>
    <t>Page 4, VII. Benchmark Suite</t>
  </si>
  <si>
    <t>Evaluation metric is F1 Score.</t>
  </si>
  <si>
    <t>For Trojaned cases, we use F1 score to evaluate the Trojan gates marked by the contestants.</t>
  </si>
  <si>
    <t>Page 3, IV. Evaluation Criteria</t>
  </si>
  <si>
    <t>Graph type is gate-level netlist.</t>
  </si>
  <si>
    <t>input netlist is a flattened netlist in Verilog format... composed of: a. Primitive gates... b. Flip-flops... c. Wires</t>
  </si>
  <si>
    <t>Page 2, B. Input file format</t>
  </si>
  <si>
    <t>Section IV. Evaluation Criteria</t>
  </si>
  <si>
    <t>Section VII. Benchmark Suite</t>
  </si>
  <si>
    <t>Task Type is Phishing Campaign Case Study</t>
  </si>
  <si>
    <t>To fill this void, we conducted a case study in a large Central European manufacturing company Manco... and observed the targeted employees' and IT department staff's response to a phishing campaign.</t>
  </si>
  <si>
    <t>Metrics Used</t>
  </si>
  <si>
    <t>Data on phishing attack susceptibility (e.g., click rates, submitted sensitive data), detection... and response... have been collected</t>
  </si>
  <si>
    <t>Dataset is Private</t>
  </si>
  <si>
    <t>The unit of analysis was a targeted phishing attack on a large Central European manufacturing company Manco (a fake company name due to the NDA).</t>
  </si>
  <si>
    <t>Page 10, Section 4.2</t>
  </si>
  <si>
    <t>Section 4 Methodology</t>
  </si>
  <si>
    <t>Focus on Advanced Persistent Threats (APT)</t>
  </si>
  <si>
    <t>Here are included the procedures of detecting advanced, persistent threats within the entitys own business environments...</t>
  </si>
  <si>
    <t>Page 4, Section 3.1</t>
  </si>
  <si>
    <t>Critique of current analysis tools</t>
  </si>
  <si>
    <t>most of the current analysis tools are based on prior behavior and activities and may not produce significant models to appropriately identify other attacks</t>
  </si>
  <si>
    <t>Page 3, Section 2.2</t>
  </si>
  <si>
    <t>Future work direction</t>
  </si>
  <si>
    <t>Future work will focus upon cyber intelligence collection methods and processing algorithms, behavioral trends of cyber attackers</t>
  </si>
  <si>
    <t>Page 7, Conclusions</t>
  </si>
  <si>
    <t>Section 3 (Cyber Threats Risk Management Capability)</t>
  </si>
  <si>
    <t>Whole paper (No experimental results section found)</t>
  </si>
  <si>
    <t>Study Type</t>
  </si>
  <si>
    <t>This paper produced a systematic literature review to identify the primary technical security challenges regarding RPA and Intelligent Automation (IA)...</t>
  </si>
  <si>
    <t>Identified Challenges</t>
  </si>
  <si>
    <t>The review found eight significant technical challenges... Robust logging, auditing, and access control were the most frequently discussed challenges.</t>
  </si>
  <si>
    <t>Our future work will be to develop a Blockchain-based IA for B2B transactions that provide heightened security to its logs...</t>
  </si>
  <si>
    <t>V. CONCLUSION AND FUTURE WORK</t>
  </si>
  <si>
    <t>III. METHODOLOGY</t>
  </si>
  <si>
    <t>IV. RESULTS AND DISCUSSION</t>
  </si>
  <si>
    <t>Use of Standard Benchmark Split</t>
  </si>
  <si>
    <t>NSL-KDD dataset [10],[11] is used to implement our proposed system where the KDDTrain+ dataset and KDDTrain+_20Percent data are set are used to train and test the model respectively.</t>
  </si>
  <si>
    <t>Sampling Strategy for Training</t>
  </si>
  <si>
    <t>partitioned into four sub-training datasets (normal, DoS, Probe, and compromised (R2L and U2R)), each sub-dataset is used to drive an auxiliary KNN classifier.</t>
  </si>
  <si>
    <t>Performance on Rare Attacks</t>
  </si>
  <si>
    <t>proposed system achieved a high detection accuracy reaches up to 96.65% and 100% for R2L and U2R respectively</t>
  </si>
  <si>
    <t>Table II and Table IV</t>
  </si>
  <si>
    <t>Section III.B Dataset Preprocessing</t>
  </si>
  <si>
    <t>In this paper, a detection model named as LSTM-AE is proposed... to detect data leakage malware through DNS traffic.</t>
  </si>
  <si>
    <t>Methodology is Time-Series based, not Graph</t>
  </si>
  <si>
    <t>LSTM-AE integrates LSTM-based time-series characterization and unsupervised autoencoder</t>
  </si>
  <si>
    <t>Dataset Construction (Benign)</t>
  </si>
  <si>
    <t>We use Alexa top 10,000 domain list to filter normal DNS behavior... This part of the data will be referred to as ART-Dateset</t>
  </si>
  <si>
    <t>IV. A</t>
  </si>
  <si>
    <t>Dataset Construction (Malicious)</t>
  </si>
  <si>
    <t>Using those four software applications, we generated malicious traffic for model training... referred to as WHOF-Dataset</t>
  </si>
  <si>
    <t>Evaluation on Real Traffic</t>
  </si>
  <si>
    <t>real-time Precision is defined as the number of verified malicious domain names / the total number of detected malicious domains.</t>
  </si>
  <si>
    <t>IV. B</t>
  </si>
  <si>
    <t>Split Strategy vague</t>
  </si>
  <si>
    <t>We first train an LSTM-AE model... combine ART(begine samples) and WHOF(malicious samples) as experimental dataset.</t>
  </si>
  <si>
    <t>IV. C/D</t>
  </si>
  <si>
    <t>Table IV</t>
  </si>
  <si>
    <t>Section IV. A</t>
  </si>
  <si>
    <t>Task type is data leakage prevention via simulation</t>
  </si>
  <si>
    <t>In order to evaluate DocGuard at a larger scale, we simulate a leakage scenario over the topology of real social networks.</t>
  </si>
  <si>
    <t>Use of Social Network Graphs</t>
  </si>
  <si>
    <t>Facebook (Gummadi et al., 2009), the trust network of Epinions... and the friend/foe relationships in Slashdot</t>
  </si>
  <si>
    <t>Page 7, Section 5.3</t>
  </si>
  <si>
    <t>Simulation Methodology (Not ML)</t>
  </si>
  <si>
    <t>The file propagation simulator, developed in JAVA, loads the social network dataset files and builds the appropriate graph representation</t>
  </si>
  <si>
    <t>Page 8, Section 5.3</t>
  </si>
  <si>
    <t>Abstract / Section 5.3</t>
  </si>
  <si>
    <t>Section 5.3 File propagation simulations / Table 5</t>
  </si>
  <si>
    <t>Task uses descriptive analytics on feature vectors, not graphs</t>
  </si>
  <si>
    <t>DAT detectors transform communication data into flexible feature vectors that represent traffic by a set of extracted calculations</t>
  </si>
  <si>
    <t>Exclusion of graph/topology-based host characterization</t>
  </si>
  <si>
    <t>In this work, we focus on flow characterization analysis and do not consider covert channels that use address fields</t>
  </si>
  <si>
    <t>Section 5.3</t>
  </si>
  <si>
    <t>Dataset construction via mixing public benign and synthetic malicious</t>
  </si>
  <si>
    <t>we generated our own dataset... as baseline, we used public datasets... LBNL/ICSI... assumed free of covert channels</t>
  </si>
  <si>
    <t>Section 9</t>
  </si>
  <si>
    <t>Metrics reporting logic</t>
  </si>
  <si>
    <t>Table II shows the results... (i) DAT detector outcomes are just estimations and (ii) no proof exists that the normal traffic dataset is 100% free</t>
  </si>
  <si>
    <t>Section 9.2</t>
  </si>
  <si>
    <t>Section 5. DAT DETECTOR DESCRIPTION</t>
  </si>
  <si>
    <t>Evaluation Data</t>
  </si>
  <si>
    <t>Section 9. PROOF OF CONCEPT</t>
  </si>
  <si>
    <t>The dataset contains 1000 employees so their data is split into 70% for training and 30% of the data are left for testing.</t>
  </si>
  <si>
    <t>Page 12, Section 4</t>
  </si>
  <si>
    <t>There are two main resampling approaches for imbalanced classification (random under-sampling and random over-sampling). Thus, we apply these two approaches, and also combine them</t>
  </si>
  <si>
    <t>Page 9, Section 3.3</t>
  </si>
  <si>
    <t>Leakage Risk (Overfitting)</t>
  </si>
  <si>
    <t>However, the random over resampling technique may make overfitting more likely, as it duplicates the observations of the minority class [41].</t>
  </si>
  <si>
    <t>Page 10, Section 3.3.2</t>
  </si>
  <si>
    <t>Metric Selection</t>
  </si>
  <si>
    <t>The higher the AUC value, the better the model’s distinguishability... critical in an imbalanced dataset because they show the sensitivity...</t>
  </si>
  <si>
    <t>Page 12, Section 3.5</t>
  </si>
  <si>
    <t>Section 4 Implementation and evaluation</t>
  </si>
  <si>
    <t>Section 3.5 Evaluation metrics</t>
  </si>
  <si>
    <t>Task is formal verification using CSP</t>
  </si>
  <si>
    <t>It supports the CSP (Communicating Sequential Processes) modelling... verified by model checker PAT</t>
  </si>
  <si>
    <t>Page 2, Contributions</t>
  </si>
  <si>
    <t>Datasets are model-derived, not empirical</t>
  </si>
  <si>
    <t>The datasets utilized in the verification process essentially originate from multiple CSP models constructed from the access control scheme.</t>
  </si>
  <si>
    <t>Page 3, Verification for properties...</t>
  </si>
  <si>
    <t>Code availability</t>
  </si>
  <si>
    <t>The full implementation of the improvement methods in PAT can be found at https://github.com/asunafy/SVF-NDN.</t>
  </si>
  <si>
    <t>Page 13, Reader and writer modeling</t>
  </si>
  <si>
    <t>Verification of data leakage as a property</t>
  </si>
  <si>
    <t>SVF-NDN verifies five crucial security properties... data leakage protection... Implemented using the PAT model checking tool</t>
  </si>
  <si>
    <t>Evaluation based on probability equation</t>
  </si>
  <si>
    <t>The total probability p of detecting a scan of random ports against a system with randomly set honeypots is given by equation 1</t>
  </si>
  <si>
    <t>Page 3, Section V-A</t>
  </si>
  <si>
    <t>Implementation Environment</t>
  </si>
  <si>
    <t>For our implementation we chose Debian release 9.1 Stretch in a VMware Workstation 12 Player virtual environment</t>
  </si>
  <si>
    <t>Page 2, Section IV</t>
  </si>
  <si>
    <t>No ML Dataset used</t>
  </si>
  <si>
    <t>An experimental evaluation of tokens for internal resources seems infeasible.</t>
  </si>
  <si>
    <t>Page 3, Section V-B</t>
  </si>
  <si>
    <t>Section V. EVALUATION AND DISCUSSION</t>
  </si>
  <si>
    <t>System Architecture</t>
  </si>
  <si>
    <t>Section III. THE DECEPTION FRAMEWORK</t>
  </si>
  <si>
    <t>work focuses on multiclass intrusion detection and evaluates the model’s robustness</t>
  </si>
  <si>
    <t>divided into training (80%) and testing (20%) sets using stratified splitting.</t>
  </si>
  <si>
    <t>Leakage Claim</t>
  </si>
  <si>
    <t>tested on three benchmark datasets... with no data leakage between training and testing.</t>
  </si>
  <si>
    <t>Data Type</t>
  </si>
  <si>
    <t>processes network flow features extracted... CNN1D particularly suitable for handling such single-dimensional inputs</t>
  </si>
  <si>
    <t>Page 8, Section 3.3</t>
  </si>
  <si>
    <t>Section 3.1 Design / Section 3.5 Stratified Splitting</t>
  </si>
  <si>
    <t>Type of paper is a review/discussion without experiments</t>
  </si>
  <si>
    <t>The article's goal is to address interesting, recent, and unique research trends in Blockchains and AI...</t>
  </si>
  <si>
    <t>General mention of AI solutions without technical implementation details</t>
  </si>
  <si>
    <t>Other AI-driven arrangements... include, for example, Darktrace chipping away at it; reaction robotization, with Fortinet for instance...</t>
  </si>
  <si>
    <t>Page 4, Section VIII</t>
  </si>
  <si>
    <t>Whole Paper (No methodology section present)</t>
  </si>
  <si>
    <t>Evaluation Scenario 1 uses training data for testing (Leakage).</t>
  </si>
  <si>
    <t>In this test it was assumed that all documents were known to the DLP. Thus, every category centroid was constructed solely from the 60 topic-related documents.</t>
  </si>
  <si>
    <t>Page 4, Section IV.A</t>
  </si>
  <si>
    <t>Dataset description.</t>
  </si>
  <si>
    <t>To test our approach a total of 360 articles were gathered from public sources (e.g., pcmag.com and scmagazine.com)</t>
  </si>
  <si>
    <t>Scenario 2 Split Strategy.</t>
  </si>
  <si>
    <t>The only difference was that half of the test documents were assumed to be unknown to the DLP.</t>
  </si>
  <si>
    <t>Page 5, Section IV.B</t>
  </si>
  <si>
    <t>Section V.B Precision and Recall</t>
  </si>
  <si>
    <t>Section IV Experiments (Scenario 1, 2, 3)</t>
  </si>
  <si>
    <t>Scope of the paper is descriptive study not experimental.</t>
  </si>
  <si>
    <t>Experimental Results section contains only definitions.</t>
  </si>
  <si>
    <t>No implementation of specific method.</t>
  </si>
  <si>
    <t>This study provides a descriptive analysis of the issues, specifications, risks, and flaws related to cloud security.</t>
  </si>
  <si>
    <t>Section 2 (Literature Review describing the nature of the study)</t>
  </si>
  <si>
    <t>Data were gathered by using a survey questionnaire which was administered to 344 smartphone cohorts at the postgraduate level.</t>
  </si>
  <si>
    <t>Task Domain</t>
  </si>
  <si>
    <t>This paper aims to report on the information security practices on the smartphone by the students...</t>
  </si>
  <si>
    <t>Abstract / Scope and Methodology</t>
  </si>
  <si>
    <t>Evaluation using 10-fold cross-validation</t>
  </si>
  <si>
    <t>To assess the model’s effectiveness, a 10-fold k-fold validation is used, where the data is split into ten equal parts.</t>
  </si>
  <si>
    <t>Page 2, Section III.B</t>
  </si>
  <si>
    <t>Dataset benchmarks</t>
  </si>
  <si>
    <t>The main HT benchmark categories used to create and assess the model are presented in Table I [16] [17]. ... AES-T500... AES-T1600</t>
  </si>
  <si>
    <t>Page 2, Section III.A</t>
  </si>
  <si>
    <t>Input data transformation (Folding)</t>
  </si>
  <si>
    <t>a folding technique is employed, which transforms the 1-dimensional vector of size 2500 into a 2-dimensional vector of size 50x50.</t>
  </si>
  <si>
    <t>Threshold for classification</t>
  </si>
  <si>
    <t>If the model’s output probability is above 50%, the data is classified as HT present, and if it’s below 50%, it’s classified as HT absent.</t>
  </si>
  <si>
    <t>Section III.B Proposed Model</t>
  </si>
  <si>
    <t>Section III.A Dataset Used / Table I</t>
  </si>
  <si>
    <t>Paper is a review</t>
  </si>
  <si>
    <t>Through a meticulous review of existing literature, it identifies vulnerabilities and threats</t>
  </si>
  <si>
    <t>Mention of Graph-based methods in literature</t>
  </si>
  <si>
    <t>addresses the challenge of detecting portable executable (PE) malware by analyzing API call-grams extracted from the control flow graph</t>
  </si>
  <si>
    <t>Page 5 (discussing [16])</t>
  </si>
  <si>
    <t>Future work on AI/ML</t>
  </si>
  <si>
    <t>Exploring the potential of integrating machine learning and artificial intelligence into healthcare API security can significantly improve threat detection</t>
  </si>
  <si>
    <t>Section V, Point 3</t>
  </si>
  <si>
    <t>Section V. FUTURE SCOPE</t>
  </si>
  <si>
    <t>Temporal Split Strategy</t>
  </si>
  <si>
    <t>All of the experiments involve building a model on the training year’s data, and testing on a subsequent year.</t>
  </si>
  <si>
    <t>Section V.B</t>
  </si>
  <si>
    <t>Interleaved Evaluation</t>
  </si>
  <si>
    <t>In the 'interleaved' mode, the test data is presented to the model one sample at a time... and then the same sample is used to update the model.</t>
  </si>
  <si>
    <t>Realistic Sampling (Imbalance)</t>
  </si>
  <si>
    <t>thinned the test malware to only two samples per day... to ensure stable results... repeated ten times</t>
  </si>
  <si>
    <t>Section V.C</t>
  </si>
  <si>
    <t>machine learning model that calls everything goodware would have a standard accuracy of 96.4%, but a class averaged accuracy of 50%</t>
  </si>
  <si>
    <t>Section V. Experiments and Results</t>
  </si>
  <si>
    <t>Section II. Data Acquisition and Labeling</t>
  </si>
  <si>
    <t>Task Type and Domain</t>
  </si>
  <si>
    <t>detect adversarial attacks on the medical records of patients... in Smart Healthcare Systems (SHS)</t>
  </si>
  <si>
    <t>proposes a crossover-based Multilayer Perceptron (CMLP) model.</t>
  </si>
  <si>
    <t>For the training-validation split, an 80–20 ratio was adopted... a cross-validation procedure using k-fold cross-validation (with k = 5)</t>
  </si>
  <si>
    <t>Section 4 Results and Discussions</t>
  </si>
  <si>
    <t>utilizes two datasets, namely the synthetic dataset and the University of Queensland Vital Signs (UQVS) dataset</t>
  </si>
  <si>
    <t>collected samples are pre-processed and fed into the crossover-based multilayer perceptron neural network... The data comprises vital signs data</t>
  </si>
  <si>
    <t>Abstract / Section 3.1</t>
  </si>
  <si>
    <t>Section 4 Results and Discussions, Page 13</t>
  </si>
  <si>
    <t>Section 4.1 Data Collection</t>
  </si>
  <si>
    <t>Task type is vulnerability discovery and patching, not ML</t>
  </si>
  <si>
    <t>We propose SecHARE, an automated tool to patch the vulnerable IoT clouds.</t>
  </si>
  <si>
    <t>Evaluation uses performance metrics, not ML accuracy</t>
  </si>
  <si>
    <t>average overheads are 10.39 ms, 3.17 ms and 14.25 ms respectively. We believe such overheads is negligible.</t>
  </si>
  <si>
    <t>Section 6.2</t>
  </si>
  <si>
    <t>No graph learning used, though AST is used for code analysis</t>
  </si>
  <si>
    <t>CAG... uses Spoon [47] to build the AST model... to obtain the calling relationship of the methods/functions.</t>
  </si>
  <si>
    <t>Section 5.4</t>
  </si>
  <si>
    <t>Section 6.2 Performance Evaluation</t>
  </si>
  <si>
    <t>Methodology based on N-gram frequency and taxicap geometry</t>
  </si>
  <si>
    <t>Our method is based on using N-grams frequency to classify documents... We are using simple taxicap geometry to compute the similarity</t>
  </si>
  <si>
    <t>Dataset construction</t>
  </si>
  <si>
    <t>We gathered articles from various online resources such as pcmag.com, scmagazine.com and others, to represent the documents in our experiment.</t>
  </si>
  <si>
    <t>Section III</t>
  </si>
  <si>
    <t>Category profile source</t>
  </si>
  <si>
    <t>the source of the category profile was Wikipedia [17].</t>
  </si>
  <si>
    <t>Dynamic profile update during testing</t>
  </si>
  <si>
    <t>we have introduced a way to update the category profile after every successful classification... adding the top ranked X-counts... to category profiles.</t>
  </si>
  <si>
    <t>Evaluation results</t>
  </si>
  <si>
    <t>An overall of 90.56% correct classification was achieved, which is equivalent to 326 correctly classified documents.</t>
  </si>
  <si>
    <t>Evaluation Dataset Size</t>
  </si>
  <si>
    <t>Section III.C Overall Classification</t>
  </si>
  <si>
    <t>This paper presents a comprehensive review of security measures in database systems</t>
  </si>
  <si>
    <t>Mention of APT</t>
  </si>
  <si>
    <t>Advanced Persistent Threats (APTs) are sophisticated and targeted attacks that aim to gain and maintain unauthorized access</t>
  </si>
  <si>
    <t>AI/ML mention</t>
  </si>
  <si>
    <t>Algorithms powered by AI and ML can sift through mountains of data in search of trends</t>
  </si>
  <si>
    <t>Section 2</t>
  </si>
  <si>
    <t>Research Methodology</t>
  </si>
  <si>
    <t>The basic research method to pursue the set objective is the formal-dogmatic method.</t>
  </si>
  <si>
    <t>Page 8</t>
  </si>
  <si>
    <t>Discussion on Dataset Bias</t>
  </si>
  <si>
    <t>One significant contributor is the limitations of the datasets used to train these systems. For example, if a dataset underrepresents certain groups...</t>
  </si>
  <si>
    <t>Page 15</t>
  </si>
  <si>
    <t>Cybersecurity context</t>
  </si>
  <si>
    <t>Caution must be exercised when using artificial intelligence systems, as their inappropriate use can lead to several threats, including data leakage...</t>
  </si>
  <si>
    <t>Page 1</t>
  </si>
  <si>
    <t>Page 8 (end of section 2)</t>
  </si>
  <si>
    <t>Critique of random sampling causing leakage</t>
  </si>
  <si>
    <t>This approach produces unrepresentative traffic patterns... and leads to data leakage, as flows from coordinated attacks can appear in different splits.</t>
  </si>
  <si>
    <t>Page 1 / Introduction</t>
  </si>
  <si>
    <t>Strict temporal separation to prevent leakage</t>
  </si>
  <si>
    <t>we use several groups of sequences of windows (window memories) for each split, ensuring strict separation to prevent data leakage</t>
  </si>
  <si>
    <t>Page 3 / Methodology</t>
  </si>
  <si>
    <t>Self-supervised pretraining strategy</t>
  </si>
  <si>
    <t>define the self-supervised link-prediction task as a binary classifier that predicts, for every edge in the graph, if that edge is positive or negative.</t>
  </si>
  <si>
    <t>Page 4 / Self-supervised Pretraining</t>
  </si>
  <si>
    <t>Graph construction methodology</t>
  </si>
  <si>
    <t>transforms the intrusion detection task into a multi-class flow node classification problem... Flow nodes are connected to their corresponding source and destination IP nodes</t>
  </si>
  <si>
    <t>Page 2 / Flow Graph Construction</t>
  </si>
  <si>
    <t>Section 3. Methodology (Page 3)</t>
  </si>
  <si>
    <t>Section 4.2 Performance results (Page 5)</t>
  </si>
  <si>
    <t>Evaluation strategy uses cross-design split to prevent leakage/overfitting.</t>
  </si>
  <si>
    <t>We train and evaluate in a cross-design setting—where circuits used for training... are different from test circuits...</t>
  </si>
  <si>
    <t>Adversarial training is used to improve robustness.</t>
  </si>
  <si>
    <t>We apply FGSM based adversarial training to clean node features, making the model resilient to small Trojan-like perturbations.</t>
  </si>
  <si>
    <t>Graph construction involves both static and dynamic features.</t>
  </si>
  <si>
    <t>treats RTL circuits as data flow graphs... and edge-annotated graphs... encode both the static structure... and dynamic behavior</t>
  </si>
  <si>
    <t>Section III. Methodology / Table II</t>
  </si>
  <si>
    <t>Table I &amp; Table III</t>
  </si>
  <si>
    <t>Finding suspicious things, occurrences, or observations as they vary from typical patterns or behaviors is known as anomaly detection.</t>
  </si>
  <si>
    <t>Page 1, I. INTRODUCTION</t>
  </si>
  <si>
    <t>Methods reviewed are non-graph ML/DL</t>
  </si>
  <si>
    <t>The categorization includes machine learning and deep learning... KNN, Decision Trees... CNN, LSTM, Autoencoder...</t>
  </si>
  <si>
    <t>Page 1-5, Tables I &amp; II</t>
  </si>
  <si>
    <t>Split strategy example in reviewed papers</t>
  </si>
  <si>
    <t>The dataset is separated into 20% testing and 80% training. The chosen models have been trained using the training data set.</t>
  </si>
  <si>
    <t>Page 4, discussing Mehedi et.al [29]</t>
  </si>
  <si>
    <t>High accuracy reported without bias discussion</t>
  </si>
  <si>
    <t>For DL, the technique that attained the highest accuracy was the SS-Deep-ID technique... overall accuracy achieved is above 99%.</t>
  </si>
  <si>
    <t>Page 4, V. RESEARCH STUDY SUMMARY</t>
  </si>
  <si>
    <t>III. MACHINE LEARNING TECHNIQUES &amp; IV. DEEP LEARNING TECHNIQUES</t>
  </si>
  <si>
    <t>Tables I and II</t>
  </si>
  <si>
    <t>Task is network control/whitelisting</t>
  </si>
  <si>
    <t>proposes a network whitelist scheme to control network based on Android kernel driver.</t>
  </si>
  <si>
    <t>Success rate metric</t>
  </si>
  <si>
    <t>the success rate of network control has reached 100%.</t>
  </si>
  <si>
    <t>Dataset/Test Apps</t>
  </si>
  <si>
    <t>This test selected ten commonly used applications... Baidu, UC Browser, TikTok, bilibili...</t>
  </si>
  <si>
    <t>Page 8 (Section 5.6) &amp; Table 5</t>
  </si>
  <si>
    <t>startup time of controlled applications increases by a maximum of 33.1% and a minimum of 3.6%.</t>
  </si>
  <si>
    <t>Section 3 &amp; 4 (Network Control and Whitelist Scheme)</t>
  </si>
  <si>
    <t>Section 5 (Test and Evaluation)</t>
  </si>
  <si>
    <t>Task Type is Anomaly Detection using Fingerprinting</t>
  </si>
  <si>
    <t>The design of an intelligent AD framework that uses behavior fingerprinting to detect cyberattacks... applies unsupervised learning techniques to detect anomalies</t>
  </si>
  <si>
    <t>Graph/Vector Usage (It uses vectors not graphs)</t>
  </si>
  <si>
    <t>The Data Gathering module monitors the internal behavior... acquires statistical data of sensor network interfaces... creates and sends periodic data vectors</t>
  </si>
  <si>
    <t>After that, the dataset was split, leaving 70% of the content for training, 20% for validation, and 10% for testing purposes.</t>
  </si>
  <si>
    <t>Page 4, Section V</t>
  </si>
  <si>
    <t>Features Used</t>
  </si>
  <si>
    <t>net:net_dev_queue, net:net_dev_xmit, net:netif_rx, skb:consume_skb, skb:kfree_skb...</t>
  </si>
  <si>
    <t>Page 4, Table II</t>
  </si>
  <si>
    <t>Attack Simulation Data</t>
  </si>
  <si>
    <t>Once trained each model... the ElectroSense Raspberry Pi was infected with the The tick backdoor... executed for 2 h</t>
  </si>
  <si>
    <t>Section V. Framework Deployment and Performance</t>
  </si>
  <si>
    <t>Algorithm Selection</t>
  </si>
  <si>
    <t>Section V, Paragraph 2</t>
  </si>
  <si>
    <t>Task type involves intrusion detection</t>
  </si>
  <si>
    <t>The network intrusion detection system can detect and respond to various network attacks...</t>
  </si>
  <si>
    <t>Page 4, Section 2.2</t>
  </si>
  <si>
    <t>Methodology based on ECC</t>
  </si>
  <si>
    <t>This paper adopted the advanced Elliptic Curve Cryptography (ECC) algorithm to strengthen the protection...</t>
  </si>
  <si>
    <t>average risk identification rate of more than 80% for data breaches, malware, unauthorized access...</t>
  </si>
  <si>
    <t>Dataset description implies user counts only</t>
  </si>
  <si>
    <t>risk identification was carried out for different numbers of users... 500, 1000... 3500</t>
  </si>
  <si>
    <t>Page 6, Section 4.1</t>
  </si>
  <si>
    <t>Section 4.1 Accuracy of Risk Identification</t>
  </si>
  <si>
    <t>Section 2.1 Network Risk Assessment</t>
  </si>
  <si>
    <t>identify data leakages in hardware designs, thus facilitating a security-aware design process.</t>
  </si>
  <si>
    <t>Graph usage</t>
  </si>
  <si>
    <t>The QIF-parser integrates the open-source tool PyVerilog... returning a graph of binds.</t>
  </si>
  <si>
    <t>Calibration strategy (Split)</t>
  </si>
  <si>
    <t>threshold was determined by applying QFlow to a Verilog implementation of two pipelined rounds of AES</t>
  </si>
  <si>
    <t>For most of the elaborations, AES and RSA benchmarks from Trust-Hub [17] are used</t>
  </si>
  <si>
    <t>Section III-C (Equations) and Section IV (Evaluation)</t>
  </si>
  <si>
    <t>Benchmarks</t>
  </si>
  <si>
    <t>Section IV Evaluation, Table I</t>
  </si>
  <si>
    <t>These experiments were conducted with a tenfold cross validation model for appraising a fair performance...</t>
  </si>
  <si>
    <t>Page 4824, Section V.C</t>
  </si>
  <si>
    <t>The UNSW-NB15 and NIMS botnet datasets with simulated IoT sensors’ data are used...</t>
  </si>
  <si>
    <t>Page 4815, Abstract</t>
  </si>
  <si>
    <t>Proposed method is not Graph-based</t>
  </si>
  <si>
    <t>An ensemble intrusion detection technique is proposed... New statistical flow features are generated...</t>
  </si>
  <si>
    <t>Specific protocols analyzed</t>
  </si>
  <si>
    <t>...mitigate malicious events, in particular botnet attacks against DNS, HTTP, and MQTT protocols...</t>
  </si>
  <si>
    <t>Section V.C (Page 4824)</t>
  </si>
  <si>
    <t>Features</t>
  </si>
  <si>
    <t>Table I (Page 4820)</t>
  </si>
  <si>
    <t>Task Type is Secure Storage/Querying not Detection</t>
  </si>
  <si>
    <t>This work presents a security protocol for data privacy... integrate pseudonymization and encryption techniques... supports privacy-preserving querying.</t>
  </si>
  <si>
    <t>Threat Model is Internal Attackers</t>
  </si>
  <si>
    <t>Especially internal attackers, e.g., disgruntled employees, are a major threat to corporate security... The most dangerous... are malicious administrators</t>
  </si>
  <si>
    <t>1. Introduction</t>
  </si>
  <si>
    <t>Graph structure used is XML/B-tree for storage</t>
  </si>
  <si>
    <t>The structure of an XML document is stored in another hash table which essentially represents a B+-tree over the node labels</t>
  </si>
  <si>
    <t>3.3. Schema-Aware XML Document Encryption</t>
  </si>
  <si>
    <t>Evaluation metric is Performance/Time</t>
  </si>
  <si>
    <t>In terms of actual execution time, a complex query requiring tens of seconds... can be reduced to a couple of seconds</t>
  </si>
  <si>
    <t>5.2. Performance</t>
  </si>
  <si>
    <t>4. Prototype and Case Study</t>
  </si>
  <si>
    <t>Split strategy details</t>
  </si>
  <si>
    <t>both datasets were split into a training and testing ratio of 80:20, stratified split</t>
  </si>
  <si>
    <t>Page 8, Section 3.2</t>
  </si>
  <si>
    <t>Use of random k-fold partitioning</t>
  </si>
  <si>
    <t>the dataset Xt is randomly partitioned to N disjoint subsets O1, O2, ..., ON</t>
  </si>
  <si>
    <t>Page 13, Section 3.5</t>
  </si>
  <si>
    <t>Data type and structure</t>
  </si>
  <si>
    <t>Xt = {(x1, y1), (x2, y2), ... (xt, yt)}</t>
  </si>
  <si>
    <t>Page 8, Eq. (1)</t>
  </si>
  <si>
    <t>Section 3.2 Preprocessing &amp; Section 3.5 Training K-Fold splitting optimization</t>
  </si>
  <si>
    <t>80% of the dataset was employed for training the designated model, leaving the remaining 20% earmarked for evaluating the model through the ‘train-test-split’ technique available in the sklearn library.</t>
  </si>
  <si>
    <t>Page 8, Intrusion Detection Using Ensemble Learning</t>
  </si>
  <si>
    <t>Dataset Consolidation</t>
  </si>
  <si>
    <t>We consolidate all dataset files into a single CSV file to assess the model’s performance on the UNSW-NB 15 dataset.</t>
  </si>
  <si>
    <t>Page 8, UNSW-NB 15 Dataset</t>
  </si>
  <si>
    <t>Intrusion detection system performance relies on key metrics: Accuracy (ACC), Detection Rate (DR), False Positive Rate (FPR), Precision, and F1 score.</t>
  </si>
  <si>
    <t>Page 9, Evaluation of Performance Metrics</t>
  </si>
  <si>
    <t>Page 8, Column 1</t>
  </si>
  <si>
    <t>Page 8, Column 2</t>
  </si>
  <si>
    <t>Synthetic data generation method</t>
  </si>
  <si>
    <t>we developed 2K synthetic data records using python rule based generation method for our research.</t>
  </si>
  <si>
    <t>We have made a split of 80% and 20% for training and validation data respectively</t>
  </si>
  <si>
    <t>trained the neural network model with 3 layers (input, hidden, and output) using relu and sigmoid activation</t>
  </si>
  <si>
    <t>Reference Dataset (Inspiration)</t>
  </si>
  <si>
    <t>We have referred the user authentication dataset... [17] Comprehensive, Multi-Source Cyber-Security Events available at https://csr.lanl.gov/data/cyber1/</t>
  </si>
  <si>
    <t>Section IV. Data Analysis... (Page 3)</t>
  </si>
  <si>
    <t>Table IV and Table V (Page 4)</t>
  </si>
  <si>
    <t>Task type is ontology development/risk assessment, not ML detection.</t>
  </si>
  <si>
    <t>In this article, we present a flexible tool, security-oriented ontology OntoSecRPA... formally verified by applying ontology completeness assessment and used for risk assessment</t>
  </si>
  <si>
    <t>Evaluation is based on metrics and case study, not ML splits.</t>
  </si>
  <si>
    <t>The proposed ontology is formally verified by applying the ontograph assessment method... Two types of assessment methods were chosen: Formal Ontology Verification... and Experimental Ontology Verification</t>
  </si>
  <si>
    <t>Page 4</t>
  </si>
  <si>
    <t>Dataset used is a synthetic scenario.</t>
  </si>
  <si>
    <t>Demonstrate its applicability for practical tasks in the case scenario of a finance department in a fictional ACME company.</t>
  </si>
  <si>
    <t>Metrics used are ontology-specific.</t>
  </si>
  <si>
    <t>Table 6. Value of OntoSecRPA Ontology Size Metrics... Number of graph vertices, Maximum distance from the root node...</t>
  </si>
  <si>
    <t>Page 16</t>
  </si>
  <si>
    <t>4. Ontology Formal and Experimental Verification</t>
  </si>
  <si>
    <t>4.1. Formal Ontology Verification</t>
  </si>
  <si>
    <t>Methodology uses CNN and Bi-GRU sequence modeling, not Graph.</t>
  </si>
  <si>
    <t>Bi-Directional Convolutional Gated Recurrent Unit Network... extract spatial and temporal features from data passing through the network.</t>
  </si>
  <si>
    <t>Split strategy involves cross-validation without specifying temporal constraints.</t>
  </si>
  <si>
    <t>Cross-validation shall also be employed in respect of the fitting model on different subsets of datasets.</t>
  </si>
  <si>
    <t>Feature selection is the primary leakage/redundancy control.</t>
  </si>
  <si>
    <t>KePO algorithm is used for feature selection resulting in the dataset improvement to boost up the intrusion detection system.</t>
  </si>
  <si>
    <t>Section III. PROPOSED METHODOLOGY, Page 3</t>
  </si>
  <si>
    <t>Evaluation Setup</t>
  </si>
  <si>
    <t>Page 4, Paragraph starting 'First of all...'</t>
  </si>
  <si>
    <t>Task is graph classification</t>
  </si>
  <si>
    <t>To address the aforementioned challenges, it is essential to explore anomaly detection methods based on graph classification.</t>
  </si>
  <si>
    <t>Page 5, Section 3.2</t>
  </si>
  <si>
    <t>Graph construction uses IPs as nodes</t>
  </si>
  <si>
    <t>nodes typically denote concrete network entities such as IP addresses... while edges characterize the communication relationships</t>
  </si>
  <si>
    <t>Page 4, Section 3.2</t>
  </si>
  <si>
    <t>Random split strategy</t>
  </si>
  <si>
    <t>70% of the graph data were randomly selected as the training set, while 15% were the validation set and 15% were the test set.</t>
  </si>
  <si>
    <t>Page 12, Section 5.1.2</t>
  </si>
  <si>
    <t>Dataset is CIC-IDS 2017</t>
  </si>
  <si>
    <t>The CIC-IDS 2017 dataset was generated by the Canadian Institute for Cyber Security Research.</t>
  </si>
  <si>
    <t>Page 11, Section 5.1.1</t>
  </si>
  <si>
    <t>Section 5.1.2 Dataset and Parameter Settings</t>
  </si>
  <si>
    <t>Section 4.2 Graph Structure Construction Module</t>
  </si>
  <si>
    <t>Task focuses on framework proposal not ML experiment</t>
  </si>
  <si>
    <t>We suggest a model that integrates three levels of protection namely encryption, authentication, and the transmission of secure data.</t>
  </si>
  <si>
    <t>Page 304, Section 3.3</t>
  </si>
  <si>
    <t>Evaluation uses hypothetical values</t>
  </si>
  <si>
    <t>Assuming the following ratings: Framework A (Layered): E = 0.88... Framework B (ZTA): E = 0.90...</t>
  </si>
  <si>
    <t>Page 307, Section 4.3</t>
  </si>
  <si>
    <t>No graph learning involved</t>
  </si>
  <si>
    <t>The graph (Figure 2) presents a process approach... Figure 4 represents the contributions to overall security strength...</t>
  </si>
  <si>
    <t>Page 303, 308 (Note: 'Graph' refers to charts/diagrams, not Graph Data Structures)</t>
  </si>
  <si>
    <t>Section 4.3 Comparison of Various Frameworks’ Efficiency</t>
  </si>
  <si>
    <t>Focus on database security models for healthcare data</t>
  </si>
  <si>
    <t>This study considers three data models... authors have considered an example from healthcare domain.</t>
  </si>
  <si>
    <t>Page 462, Section 2</t>
  </si>
  <si>
    <t>EAV model leaks more data in SQL Injection</t>
  </si>
  <si>
    <t>In a SQL injection attack, EAV model would leak more data as compared to others by disclosing the attribute name</t>
  </si>
  <si>
    <t>Page 464, Section 3.5.4</t>
  </si>
  <si>
    <t>Experiment method is manual injection</t>
  </si>
  <si>
    <t>The current study experimented with a sample set of queries performed on each data model.</t>
  </si>
  <si>
    <t>Page 463, Section 3.5</t>
  </si>
  <si>
    <t>Abstract / Section 3.5</t>
  </si>
  <si>
    <t>Section 2 MODELLING DATA</t>
  </si>
  <si>
    <t>Future work involves simulation evaluation</t>
  </si>
  <si>
    <t>As this is an ongoing work, the proposed model and framework will be implemented with Cloudsim as cloud simulator to evaluate...</t>
  </si>
  <si>
    <t>Proposed model nature</t>
  </si>
  <si>
    <t>In this paper a Hierarchical Secure Virtualization Model (HSVM) is proposed to provide threat quarantine and conquer...</t>
  </si>
  <si>
    <t>Section VI (Conclusion and Future Work)</t>
  </si>
  <si>
    <t>Task is Image Encryption</t>
  </si>
  <si>
    <t>presenting a novel cryptosystem for color medical images using BC technology... SHA256, shuffling, and bitwise XOR operations.</t>
  </si>
  <si>
    <t>The original color medical images used in the simulation experiments were obtained from reputable sources, such as (https://medpix.nlm.nih.gov) and (https://openmd.com/).</t>
  </si>
  <si>
    <t>Page 31 (Section 5)</t>
  </si>
  <si>
    <t>evaluation metrics, with approximate values of 99.61% for Number of Pixels Change Rate (NPCR), 33.46% for Unified Average Changed Intensity (UACI), and 8 for information entropy</t>
  </si>
  <si>
    <t>evaluated against differential attacks... noise attack analysis... known-plaintext, chosen-plaintext... occlusion attack</t>
  </si>
  <si>
    <t>Page 5, 31, 44</t>
  </si>
  <si>
    <t>Section 5 Simulation results and security analysis</t>
  </si>
  <si>
    <t>Section 5, paragraph 1</t>
  </si>
  <si>
    <t>Task Type is Density-based Outlier Detection</t>
  </si>
  <si>
    <t>In this paper, we present database activity monitoring by means of a density-based outlier detection method</t>
  </si>
  <si>
    <t>Data Type is Tabular Logs</t>
  </si>
  <si>
    <t>creates a very large log dataset... which is of 33 columns (or dimensions)</t>
  </si>
  <si>
    <t>Section 3</t>
  </si>
  <si>
    <t>Dataset is a daily log</t>
  </si>
  <si>
    <t>KAERI’s raw dataset... represents a daily log generated October 11, 2008.</t>
  </si>
  <si>
    <t>Evaluation Strategy using ROC for approximation quality</t>
  </si>
  <si>
    <t>used an ROC curve to evaluate the quality deterioration resulting from approximation... compared to the brute-LOF.</t>
  </si>
  <si>
    <t>Section 4.3</t>
  </si>
  <si>
    <t>Manual Verification of Outliers</t>
  </si>
  <si>
    <t>outliers returned by LOF... requires domain knowledge to investigate... In the results of the outlier analysis, all of the detected outliers were validated as true local outliers.</t>
  </si>
  <si>
    <t>Section 4.4</t>
  </si>
  <si>
    <t>Dataset details</t>
  </si>
  <si>
    <t>Section 4.1 Raw dataset</t>
  </si>
  <si>
    <t>Methodology (kd-tree/ANN)</t>
  </si>
  <si>
    <t>Section 3 Methods</t>
  </si>
  <si>
    <t>Task Type is Anomaly Detection / Classification</t>
  </si>
  <si>
    <t>Intrusion detection systems protect databases by labeling incoming queries as malicious or non-malicious</t>
  </si>
  <si>
    <t>Page 2, Background and Related Work</t>
  </si>
  <si>
    <t>Method is not Graph-based</t>
  </si>
  <si>
    <t>Our artifact which extends the misuseability-score approach... using weighted Naïve-Bayes classification.</t>
  </si>
  <si>
    <t>Split Strategy is Random</t>
  </si>
  <si>
    <t>We use 250 randomly selected queries for training... The evaluation... is based on 250 randomly drawn unseen queries.</t>
  </si>
  <si>
    <t>Page 8, Preliminary Evaluation</t>
  </si>
  <si>
    <t>We leverage the MySQL employees sample database for our evaluation.</t>
  </si>
  <si>
    <t>Synthetic Queries for Evaluation</t>
  </si>
  <si>
    <t>Additionally, we create a set of 1000 SQL-queries for the evaluation.</t>
  </si>
  <si>
    <t>The MLMS-Approach (Page 5-7)</t>
  </si>
  <si>
    <t>Preliminary Evaluation (Page 8)</t>
  </si>
  <si>
    <t>divided into training, validation, and testing datasets in a ratio of 70:15:15, maintaining the original distribution...</t>
  </si>
  <si>
    <t>Page 11, Section 4.4</t>
  </si>
  <si>
    <t>stratified sampling and targeted oversampling of the minority classes were also implemented.</t>
  </si>
  <si>
    <t>Model Architecture (Not Graph)</t>
  </si>
  <si>
    <t>The model consists of one layer of linear transformations, followed by two convolutional layers... and two fully connected layers</t>
  </si>
  <si>
    <t>Page 15, Section 5</t>
  </si>
  <si>
    <t>real-world dataset generated at the Cyber IoT Lab... (UNSW)... (ToN-IoT)</t>
  </si>
  <si>
    <t>Section 4.4 Dataset Acquisition and Preprocessing</t>
  </si>
  <si>
    <t>Section 5 Results and Evaluation (Paragraph 2)</t>
  </si>
  <si>
    <t>In the sender node, a random data payload of a predefined length is generated... The average transmission times were calculated by conducting 10,000 rounds</t>
  </si>
  <si>
    <t>Page 7, Section 4.2 &amp; Page 10, Section 4.2</t>
  </si>
  <si>
    <t>Packet inspection simulations were conducted to compare and evaluate the packet inspection time of the proposed FPI technique and the existing DPI technique.</t>
  </si>
  <si>
    <t>Page 7, Section 4.1</t>
  </si>
  <si>
    <t>Entire Paper (No mention of graph structures)</t>
  </si>
  <si>
    <t>Section 3. Proposed Mechanism</t>
  </si>
  <si>
    <t>Section 4. Evaluation</t>
  </si>
  <si>
    <t>Use of CNN and not Graph</t>
  </si>
  <si>
    <t>We created a multi-class classifier using a federated-based conventional neural network (CNN).</t>
  </si>
  <si>
    <t>Sampling Strategy (SMOTE)</t>
  </si>
  <si>
    <t>The synthetic minority oversampling technique (SMOTE) is used to address the issue of minority classes.</t>
  </si>
  <si>
    <t>Section 3.5</t>
  </si>
  <si>
    <t>Evaluation Bias Risk (Server-side)</t>
  </si>
  <si>
    <t>Decisions based solely on server-side evaluation are risky... server-side evaluation is misleading and no longer reliable.</t>
  </si>
  <si>
    <t>Thus, the dataset is split into 7 datasets. Class distributions among the clients are depicted in Fig. 1</t>
  </si>
  <si>
    <t>Future Work on Leakage/Unknowns</t>
  </si>
  <si>
    <t>One explanation for such scenarios is the fact that the attack has only recently been discovered and is not yet included in the training dataset</t>
  </si>
  <si>
    <t>Section 3 Proposed method</t>
  </si>
  <si>
    <t>Section 3.5 Dataset description</t>
  </si>
  <si>
    <t>Focus is on automated response scenarios, not detection algorithms</t>
  </si>
  <si>
    <t>Fujitsu has integrated its operation management technology with response scenarios developed through the company’s practical knowledge.</t>
  </si>
  <si>
    <t>Operational metrics used for evaluation</t>
  </si>
  <si>
    <t>Reduction of the initial response time by 97%... Reduction of incident response time by 60%... Reduction of the personnel required... to a third.</t>
  </si>
  <si>
    <t>Page 4, Section 4.2</t>
  </si>
  <si>
    <t>Section 4.2 Automation of standardized operation process</t>
  </si>
  <si>
    <t>The dataset is split into 80% for training and validation and 20% for testing.</t>
  </si>
  <si>
    <t>Page 9, Section 4.3</t>
  </si>
  <si>
    <t>Non-IID Split</t>
  </si>
  <si>
    <t>In this scenario, the top 50 destination IP addresses are chosen and distributed randomly across 5 fog nodes</t>
  </si>
  <si>
    <t>Page 10, Section 4.3.2</t>
  </si>
  <si>
    <t>Zero-day Setup</t>
  </si>
  <si>
    <t>Specifically, there are no samples of ransomware and XSS attacks for client 0, and for client 1, there are no password or injection attack samples.</t>
  </si>
  <si>
    <t>Page 16, Section 5.5</t>
  </si>
  <si>
    <t>We propose a collaborative learning framework... Specifically, we introduce a Federated Transfer Learning (FTL) IDS</t>
  </si>
  <si>
    <t>Section 4.3 Dataset and Algorithm 1</t>
  </si>
  <si>
    <t>Section 5.2 Evaluation metrics</t>
  </si>
  <si>
    <t>Task Type and Model</t>
  </si>
  <si>
    <t>presents a deep learning approach for wormhole attack detection in Internet of Things (IoT) networks using Long Short-Term Memory (LSTM) model.</t>
  </si>
  <si>
    <t>Dataset Source</t>
  </si>
  <si>
    <t>Malware Dataset were used... available online at (https://github.com/anchal27sri/Intrusion-Detection-with-machine-Learning/find/master).</t>
  </si>
  <si>
    <t>Page 7 (3.2 Dataset)</t>
  </si>
  <si>
    <t>Data splitting details presented in Table 1... x_train shape 574075 samples... x_test shape 63787 samples</t>
  </si>
  <si>
    <t>Page 9 (Table 1)</t>
  </si>
  <si>
    <t>The evaluation metrics used in this study include accuracy, F1 score, precision, recall and confusion matrix.</t>
  </si>
  <si>
    <t>Section 3. Methodology</t>
  </si>
  <si>
    <t>Section 4. Results and Discussion</t>
  </si>
  <si>
    <t>Split Strategy is 70/30 random split</t>
  </si>
  <si>
    <t>The data set was split as Training and Test data. The Training data contains 70% and test data set contain 30% of data.</t>
  </si>
  <si>
    <t>Page 2, Section III.A.1</t>
  </si>
  <si>
    <t>Malware classification uses Image-based DL not Graphs</t>
  </si>
  <si>
    <t>Fig 9. Deep Learning, CNN Accuracy results... dataset... Malware Images</t>
  </si>
  <si>
    <t>Page 5, Fig 9 caption and Page 2 Methodology</t>
  </si>
  <si>
    <t>Dataset size for detection</t>
  </si>
  <si>
    <t>dataset that has more than 100,000 data. It contains clean files... and malicious signatures</t>
  </si>
  <si>
    <t>Page 2, Section III.A.1 (Malware identification and prevention)</t>
  </si>
  <si>
    <t>Throughout Methodology (Section III)</t>
  </si>
  <si>
    <t>Task Type is Insider Data Leakage Detection</t>
  </si>
  <si>
    <t>This paper proposes a machine learning-based model for detecting such serious insider threat incidents... a data leakage attack</t>
  </si>
  <si>
    <t>Split Strategy is Random (implied)</t>
  </si>
  <si>
    <t>The recommended size of splitting the dataset is 80% for the training set and 20% for the test set.</t>
  </si>
  <si>
    <t>Section 3.6 / Page 12</t>
  </si>
  <si>
    <t>Use of SMOTE for Sampling</t>
  </si>
  <si>
    <t>We apply the SMOTE technique [72] to address the class imbalance of the dataset.</t>
  </si>
  <si>
    <t>Section 4.3 / Page 17</t>
  </si>
  <si>
    <t>The dataset version “R4.2.tar.bz” has been utilized in this research</t>
  </si>
  <si>
    <t>Section 3.1 / Page 6</t>
  </si>
  <si>
    <t>No Graph Used</t>
  </si>
  <si>
    <t>This paper proposes a machine learning-based model... employing the feature scaling and one-hot encoding techniques.</t>
  </si>
  <si>
    <t>Section 3.6 Classification / Table 7</t>
  </si>
  <si>
    <t>Section 4.3 Synthetic Minority Oversampling Technique</t>
  </si>
  <si>
    <t>design and implement TaintART, a dynamic information-flow tracking system which targets the latest Android runtime.</t>
  </si>
  <si>
    <t>Page 332, Introduction</t>
  </si>
  <si>
    <t>The code builder of the ART compiler will transform the original dex bytecode into an internal control flow graph (HGraph).</t>
  </si>
  <si>
    <t>Page 335, Section 3.3.1</t>
  </si>
  <si>
    <t>TaintART only incurs less than 15% overheads on a CPU-bound microbenchmark and negligible overhead on built-in or third-party applications.</t>
  </si>
  <si>
    <t>Page 331, Abstract</t>
  </si>
  <si>
    <t>We measured SDK versions of five hundreds apps in Google Play’s “Top Charts”... utilizes all 80 built-in apps in AOSP</t>
  </si>
  <si>
    <t>Page 332, Introduction / Page 338, Section 6.2</t>
  </si>
  <si>
    <t>Section 6 (Evaluation)</t>
  </si>
  <si>
    <t>Section 3.3.1 (Taint Propagation Logic)</t>
  </si>
  <si>
    <t>Evaluation using UNSW-NB15 benchmark dataset</t>
  </si>
  <si>
    <t>In this research, we used the UNSW-NB15 network intrusion benchmark dataset to evaluate four popular machine learning algorithms</t>
  </si>
  <si>
    <t>Page 2, Section II (actually Intro/Methodology)</t>
  </si>
  <si>
    <t>Dataset Split Details</t>
  </si>
  <si>
    <t>It contains 257,673 records in total, including 175,341 in the training dataset and 82,332 in the test set.</t>
  </si>
  <si>
    <t>Feature Processing</t>
  </si>
  <si>
    <t>UNSW-NB15 includes 49 characteristics... data normalization, we used min-max Scalar.</t>
  </si>
  <si>
    <t>Page 2, Section III.A-B</t>
  </si>
  <si>
    <t>Best Performing Model</t>
  </si>
  <si>
    <t>The evaluation results show that the AdaBoost classifier can detect network intrusion with an accuracy of 95%.</t>
  </si>
  <si>
    <t>Metrics Definition</t>
  </si>
  <si>
    <t>Confusion Matrices</t>
  </si>
  <si>
    <t>Page 3-4, Figures 2-5</t>
  </si>
  <si>
    <t>Task type involves detecting fake apps and MitD attacks.</t>
  </si>
  <si>
    <t>The Post-Installation App Detection Method is proposed to monitor and regulate sensitive information flow and prevent MitD attacks.</t>
  </si>
  <si>
    <t>Use of Support Vector Machine.</t>
  </si>
  <si>
    <t>Fig. 1. ... Support Vector Machine</t>
  </si>
  <si>
    <t>Sampling strategy used 300 safe and 300 unsafe apps.</t>
  </si>
  <si>
    <t>To test this approach, 300 unsafe and 300 safe apps were employed, and the datasets were balanced accordingly.</t>
  </si>
  <si>
    <t>Features used are permissions and certificates.</t>
  </si>
  <si>
    <t>The proposed method relies on two key features: permissions and certificate attributes.</t>
  </si>
  <si>
    <t>Section III. IMPLEMENTATION and Section IV. METRICS AND RESULT ANALYSIS</t>
  </si>
  <si>
    <t>A training-validation split of 80 : 20 was used.</t>
  </si>
  <si>
    <t>Page 3, Dataset description</t>
  </si>
  <si>
    <t>Class imbalance in certain datasets was handled by applying the RandomOverSampler method...</t>
  </si>
  <si>
    <t>Page 4, Proposed model architecture</t>
  </si>
  <si>
    <t>Widely used datasets include CASIA v1, MICC-F2000, Defacto (Splicing), and Columbia</t>
  </si>
  <si>
    <t>Page 2, Dataset description</t>
  </si>
  <si>
    <t>Page 3, Right Column, Paragraph 2</t>
  </si>
  <si>
    <t>Evaluation using Port Scanning experiment</t>
  </si>
  <si>
    <t>The experiment applies the widely used scanning software, Nmap as the tool for port scanning... 192.168.1.*</t>
  </si>
  <si>
    <t>Page 3, Section V.B.1</t>
  </si>
  <si>
    <t>Evaluation using Worm Virus</t>
  </si>
  <si>
    <t>We take the QQ Group Worm Virus as the experimental virus and install it on the experimental computer...</t>
  </si>
  <si>
    <t>Page 3, Section V.B.2</t>
  </si>
  <si>
    <t>System methodology</t>
  </si>
  <si>
    <t>retrospective analysis technology indicates the network analysis technology which records, checks, analyzes and conducts statistics through sniffing</t>
  </si>
  <si>
    <t>Section V. Application of Retrospective Analysis System</t>
  </si>
  <si>
    <t>Task Type is Malware Detection</t>
  </si>
  <si>
    <t>Android malware detection has become research hotspot in mobile security.</t>
  </si>
  <si>
    <t>Use of Feature Vectors not Graphs</t>
  </si>
  <si>
    <t>We utilize the 215-dimensional features extracted from the Drebin (Drebin-215) and the 215-dimensional features extracted from the Malgenome</t>
  </si>
  <si>
    <t>Page 5, Section V.A</t>
  </si>
  <si>
    <t>We chose cross-validation to split the dataset and validation set into a ratio of 8:2.</t>
  </si>
  <si>
    <t>Page 5, Section V.B</t>
  </si>
  <si>
    <t>We primarily employ the following metrics as our evaluation criteria: Accuracy, F1-score and FPR.</t>
  </si>
  <si>
    <t>Page 6, Section VI.C</t>
  </si>
  <si>
    <t>Privacy Leakage Control</t>
  </si>
  <si>
    <t>Gaussian noise is added to the feature data... improved homomorphic encryption algorithm... is used to encrypt and transmit the gradient weight</t>
  </si>
  <si>
    <t>Section V.B Experimental Configuration</t>
  </si>
  <si>
    <t>Section IV Design of PE-FedAvg</t>
  </si>
  <si>
    <t>identify wireless devices with RFF which generates from unique features of the wireless devices</t>
  </si>
  <si>
    <t>Page 5, Section III</t>
  </si>
  <si>
    <t>The RFF authentication performance evaluation takes 54 TI CC2530 ZigBee modules... receiver... is universal software radio peripheral (USRP)</t>
  </si>
  <si>
    <t>Page 11, Section V</t>
  </si>
  <si>
    <t>The deep learning-based RFF identification using DCTF is trained five times, and verified three times after each training.</t>
  </si>
  <si>
    <t>Page 12, Section V-A</t>
  </si>
  <si>
    <t>The experiments prove it keeps 99.10% accuracy... hybrid RFF extraction... is performed with 95.10% accuracy.</t>
  </si>
  <si>
    <t>Section V. Performance Evaluation, Table II</t>
  </si>
  <si>
    <t>Section IV. Security Analysis, Subsection C. Threat Model</t>
  </si>
  <si>
    <t>Task Type is Vulnerability Analysis/Attack</t>
  </si>
  <si>
    <t>By analyzing the vulnerabilities of client-to-server communication and eavesdropping on the session data, we implement spoofing attack on a popular music app client.</t>
  </si>
  <si>
    <t>Methodology uses Packet Sniffing not Graph Learning</t>
  </si>
  <si>
    <t>The first step is to select a appropriate packet sniffing tool... Then we start to capture packets followed by the analysis of captured session data.</t>
  </si>
  <si>
    <t>Section III.A.3 Step 1</t>
  </si>
  <si>
    <t>Data format is JSON (Response Body) not Graph</t>
  </si>
  <si>
    <t>The response body contains all kinds of information related to the VIP song, which is in the form of JSON file.</t>
  </si>
  <si>
    <t>Section III.A.1</t>
  </si>
  <si>
    <t>Section III. Empirical Study</t>
  </si>
  <si>
    <t>demands an Intrusion Detection System (IDS) that is not only accurate but also maintains data privacy.</t>
  </si>
  <si>
    <t>This research uses a Deep Neural Network (DNN) model... consists of 46 neurons in the input layer... first hidden layer has 128 neurons</t>
  </si>
  <si>
    <t>dataset was divided into 80% for training and 20% for testing.</t>
  </si>
  <si>
    <t>Section III.A</t>
  </si>
  <si>
    <t>dataset of more than 46 million rows was sampled by 10% using the simple random sampling method.</t>
  </si>
  <si>
    <t>Non-IID Implementation</t>
  </si>
  <si>
    <t>non-IID scenario is implemented using a label skew approach, in which each client is assigned data containing only a limited subset of attack types</t>
  </si>
  <si>
    <t>Section IV.B</t>
  </si>
  <si>
    <t>Leakage Control (Duplication)</t>
  </si>
  <si>
    <t>data cleaning was carried out by removing duplicates, empty values, and infinite values.</t>
  </si>
  <si>
    <t>Section III.A Data Pre-processing</t>
  </si>
  <si>
    <t>Section III.A Data Pre-processing (Last paragraph)</t>
  </si>
  <si>
    <t>Focus on qualitative demonstration</t>
  </si>
  <si>
    <t>The focus of this paper has been to provide sample practical demonstrations to illustrate the risks faced</t>
  </si>
  <si>
    <t>Page 6, Section IV</t>
  </si>
  <si>
    <t>Vulnerability to file stealing</t>
  </si>
  <si>
    <t>This Android remote file stealing exploit demonstrates how files and directories... can be extracted from an Android’s SD... card.</t>
  </si>
  <si>
    <t>No graph or ML model used</t>
  </si>
  <si>
    <t>The demonstration of this exploit is run from Backtrack5.</t>
  </si>
  <si>
    <t>Section III. Android Exploits – A Practical Demonstration</t>
  </si>
  <si>
    <t>Proposed methodology uses biological protocols, not graph learning</t>
  </si>
  <si>
    <t>This paper suggests using new developments in deoxyribonucleic acid (DNA) computing to make the cloud safer by using biological authentication protocols</t>
  </si>
  <si>
    <t>Evaluation is based on prototype feasibility, not statistical ML metrics</t>
  </si>
  <si>
    <t>Experimental demonstration of the designed authentication system using prototype DNA analysis platforms... match/no-match authentication determinations in under 5 minutes.</t>
  </si>
  <si>
    <t>Page 2, Section I / Page 4, Section C</t>
  </si>
  <si>
    <t>Threat model targets general cloud attacks, not specifically APT via graphs</t>
  </si>
  <si>
    <t>Phishing, ransomware, account hijacking, and injection are attack techniques... Resilience against common attacks like brute force cracking</t>
  </si>
  <si>
    <t>Page 1, Introduction &amp; Abstract</t>
  </si>
  <si>
    <t>Section III (Proposed DNA Authentication Framework)</t>
  </si>
  <si>
    <t>Section C (DNA Pattern Matching Protocols)</t>
  </si>
  <si>
    <t>Conceptual Model Focus</t>
  </si>
  <si>
    <t>The current study is only focus on conceptual model development and in order to verify the model, experts review will be the next phase...</t>
  </si>
  <si>
    <t>Section V</t>
  </si>
  <si>
    <t>No ML/Graph Evaluation</t>
  </si>
  <si>
    <t>This paper presents OTPAF as a security requirement model that leverage new knowledge in CC...</t>
  </si>
  <si>
    <t>For the future work, the study will be based on qualitative case study in an identified organization to validate the model.</t>
  </si>
  <si>
    <t>Section III. THE CONCEPTUAL OTPAF MODEL</t>
  </si>
  <si>
    <t>Section V. CONCLUSION AND FUTURE WORK</t>
  </si>
  <si>
    <t>Methodology based on OSINT tools</t>
  </si>
  <si>
    <t>We utilized this method to search for PACS instances exposed on public IP addresses in Italy.</t>
  </si>
  <si>
    <t>Section 3, Page 4</t>
  </si>
  <si>
    <t>Methodology for localizing vulnerable devices</t>
  </si>
  <si>
    <t>by cross-referencing the purchase logs provided by ANAC with the vulnerability databases, anyone can determine the specific hospital... where a potentially vulnerable medical device is located.</t>
  </si>
  <si>
    <t>Section 4, Page 6</t>
  </si>
  <si>
    <t>Discovery of hardcoded credentials</t>
  </si>
  <si>
    <t>In a medical mobile app, the analyzer overlooked a shared secret key... the key was represented as an array of bytes.</t>
  </si>
  <si>
    <t>Section 5, Page 7</t>
  </si>
  <si>
    <t>Section 3 and 4</t>
  </si>
  <si>
    <t>Risk of Bias assessment criteria specifically targets leakage.</t>
  </si>
  <si>
    <t>Domain 1: Data Partitioning and Leakage Prevention... 'Are training, validation, and test datasets clearly separated...?'</t>
  </si>
  <si>
    <t>Page 11, Section 2.4.1</t>
  </si>
  <si>
    <t>Specific recommendation for temporal splitting.</t>
  </si>
  <si>
    <t>Low risk (temporal splits with &gt;=6-month separation OR k-fold with entity-level grouping)</t>
  </si>
  <si>
    <t>Page 12, Section 2.4.1</t>
  </si>
  <si>
    <t>Integration of graphs as a future trend.</t>
  </si>
  <si>
    <t>emerging hybrid frameworks integrating... knowledge graph reasoning to enhance defensive capabilities</t>
  </si>
  <si>
    <t>Page 56, Section 12.1</t>
  </si>
  <si>
    <t>Common flaws in reviewed studies.</t>
  </si>
  <si>
    <t>The most frequent concerns were (i) dataset leakage or unclear separation of training/validation/test data</t>
  </si>
  <si>
    <t>Page 13, Section 2.4.3</t>
  </si>
  <si>
    <t>Section 2.4.1 Assessment Domains and Scoring Criteria</t>
  </si>
  <si>
    <t>Future Directions (Graphs)</t>
  </si>
  <si>
    <t>Section 12.1 Emerging Trends and Technologies</t>
  </si>
  <si>
    <t>The dataset is divided into train and validation folder with 80% and 20% ratio.</t>
  </si>
  <si>
    <t>Page 9, Model training strategy</t>
  </si>
  <si>
    <t>Task Type &amp; Input</t>
  </si>
  <si>
    <t>Input layer is designed for handling one dimensional feature vector... reshape function that can treat each scalar as a timestep</t>
  </si>
  <si>
    <t>Page 5, Input layer</t>
  </si>
  <si>
    <t>Leakage Control (Features)</t>
  </si>
  <si>
    <t>Features that do not contribute to the predictive task were removed to prevent potential bias or information leakage during model training.</t>
  </si>
  <si>
    <t>Page 4, Dataset overview and preprocessing</t>
  </si>
  <si>
    <t>Performance</t>
  </si>
  <si>
    <t>ASTRID-Net attains an outstanding 99.97% accuracy... surpassing 99.97%... on the Edge-IIoTset dataset</t>
  </si>
  <si>
    <t>Model training strategy (Page 9)</t>
  </si>
  <si>
    <t>Dataset overview and preprocessing (Page 4)</t>
  </si>
  <si>
    <t>Detection method based on string compressibility</t>
  </si>
  <si>
    <t>The detection approach based on the string compressibility is based on a covert timing channel detection method by Cabuk et al.</t>
  </si>
  <si>
    <t>Page 13, Section VII-B</t>
  </si>
  <si>
    <t>We generated 100 legitimate and 100 covert flows for scenarios where 2, 3 and 4 topics are utilized.</t>
  </si>
  <si>
    <t>Page 14, Section VII</t>
  </si>
  <si>
    <t>Optimization of threshold on test data</t>
  </si>
  <si>
    <t>We determined the optimal string length for S by testing a set of parameters... The optimal thresholds were similar in case of the AES-encoded channels.</t>
  </si>
  <si>
    <t>Page 13-14, Section VII-B</t>
  </si>
  <si>
    <t>Section VII. Experimental Evaluation</t>
  </si>
  <si>
    <t>Use of NSL-KDD dataset and splits</t>
  </si>
  <si>
    <t>The training dataset used is KDDTrain+ consisting of 1,25,973 records and the testing dataset used is KDDTest+ consisting of 22,544 records</t>
  </si>
  <si>
    <t>Page 5, Section IV. RESULTS</t>
  </si>
  <si>
    <t>It comprises of four sub data sets: KDDTest+ and KDDTest-21 for testing data and the KDDTrain+, KDDTrain+_20Percent as the training dataset.</t>
  </si>
  <si>
    <t>Page 4, Section D.1</t>
  </si>
  <si>
    <t>ML Models Used</t>
  </si>
  <si>
    <t>We studied three different classification algorithms based on supervised Machine Learning models: Decision Tree, Random Forest and Support Vector Machine(SVM)</t>
  </si>
  <si>
    <t>Dataset and Split</t>
  </si>
  <si>
    <t>Section D. Machine learning(ML) Models -&gt; 1) Dataset used</t>
  </si>
  <si>
    <t>The split of data follows the conventional 80/20... Stratified sampling is applied so that the distributions... stay consistent</t>
  </si>
  <si>
    <t>Page 9, Section 3.2</t>
  </si>
  <si>
    <t>SMOTE helps to offset the bias toward the majority class.</t>
  </si>
  <si>
    <t>Network Traffic Data for Intrusion Detection are labeled datasets that were obtained from Kaggle</t>
  </si>
  <si>
    <t>Page 17, Section 4.1</t>
  </si>
  <si>
    <t>BiLSTM extracts sequential behaviors... while the attention mechanism highlights critical time steps</t>
  </si>
  <si>
    <t>Section 3.2 Data preprocessing</t>
  </si>
  <si>
    <t>Section 4.1-4.2 Results and Discussions</t>
  </si>
  <si>
    <t>To answer these two research questions, a systematic literature review was chosen as the primary method...</t>
  </si>
  <si>
    <t>Page 60, Section 3 Methodology</t>
  </si>
  <si>
    <t>Domain Focus</t>
  </si>
  <si>
    <t>Integration of Cybersecurity into Computer Science Teachers’ Training</t>
  </si>
  <si>
    <t>Page 57, Title</t>
  </si>
  <si>
    <t>Findings on Approaches</t>
  </si>
  <si>
    <t>cybersecurity integration was found in 51 articles through three main approaches: (1) cybersecurity is considered an integral part...</t>
  </si>
  <si>
    <t>Page 63, Section 4.1</t>
  </si>
  <si>
    <t>Abstract / Methodology</t>
  </si>
  <si>
    <t>Methodology (Data extraction)</t>
  </si>
  <si>
    <t>Legal research for this article uses a statute, case, and conceptual approach...</t>
  </si>
  <si>
    <t>Page 483, Research Method</t>
  </si>
  <si>
    <t>Nature of data leakage discussed</t>
  </si>
  <si>
    <t>Hackers illegally accessed the Indonesian General Elections Commission’s (KPU) voter data system to collect voter data...</t>
  </si>
  <si>
    <t>Page 479, Abstract</t>
  </si>
  <si>
    <t>Research Method (Page 483)</t>
  </si>
  <si>
    <t>Evaluation method uses interleaved-test-then-train</t>
  </si>
  <si>
    <t>requiring incremental or interleaved-test-then-train evaluation, whereby a model is tested and then trained once on each individual unseen data item</t>
  </si>
  <si>
    <t>Concept drift challenges offline models</t>
  </si>
  <si>
    <t>Signature based and offline trained IDS models cannot cope with concept drift... making necessary the use of online adaptive ML methods</t>
  </si>
  <si>
    <t>using the 10% KDD Cup 1999 [18], and UNSW-NB15 training [19] data sets.</t>
  </si>
  <si>
    <t>Section II. Online Learning Architecture</t>
  </si>
  <si>
    <t>Evaluation Results</t>
  </si>
  <si>
    <t>Section IV. Online IDS Evaluations</t>
  </si>
  <si>
    <t>Critique of Random Split causing Temporal Bias</t>
  </si>
  <si>
    <t>The random data splitting approach does not seem to reflect the real application scenarios... It leads to temporal bias</t>
  </si>
  <si>
    <t>Section 2.1</t>
  </si>
  <si>
    <t>Methodology for Temporal Split</t>
  </si>
  <si>
    <t>Malware samples from 2017–2019 are used for training... malware samples released in 2020 and 2021 are used for testing.</t>
  </si>
  <si>
    <t>Removal of duplicates</t>
  </si>
  <si>
    <t>We have removed 428 malware samples in the original dataset as we were unable to find them in VirusTotal using the hash values</t>
  </si>
  <si>
    <t>Section 4.2.2</t>
  </si>
  <si>
    <t>Section 5.3 (Random) and 5.4 (Temporal)</t>
  </si>
  <si>
    <t>Section 4.2.2 New improved dataset: MemMal-d2024</t>
  </si>
  <si>
    <t>This dataset was split into 70% training and 30% test subsets to enable proper model evaluation.</t>
  </si>
  <si>
    <t>Page 10, Section 4) SPLIT TRAIN AND TEST DATA</t>
  </si>
  <si>
    <t>Stratified Split</t>
  </si>
  <si>
    <t>This stratified split guarantees that model evaluation will demonstrate realistic performance expectations with varying data distributions.</t>
  </si>
  <si>
    <t>Page 6, Right Column</t>
  </si>
  <si>
    <t>This entails the elimination of duplicate or missing records, thus making the data more reliable and of higher integrity.</t>
  </si>
  <si>
    <t>Page 5, Section C. METHODOLOGY</t>
  </si>
  <si>
    <t>Hybrid Sampling</t>
  </si>
  <si>
    <t>SMOTE is particularly applied to minority attack classes... Additionally, under-sampling is applied to the majority benign class</t>
  </si>
  <si>
    <t>Transformer Model Architecture</t>
  </si>
  <si>
    <t>we restructured the Transformer to process fixed-length, high-dimensional feature vectors extracted from network flow records.</t>
  </si>
  <si>
    <t>Page 11, Section c: TRANSFORMER MODEL</t>
  </si>
  <si>
    <t>Section III.C Methodology or Section IV Evaluation</t>
  </si>
  <si>
    <t>Section III.C Methodology (checking for graph construction)</t>
  </si>
  <si>
    <t>dataset was split into two parts: a training set of 80% and a test set of 20%</t>
  </si>
  <si>
    <t>Adversarial Sample Generation Source</t>
  </si>
  <si>
    <t>test data are used to generate adversarial samples from the model developed in Phase 1</t>
  </si>
  <si>
    <t>Page 6, Section 4 (Fig 3 caption/text)</t>
  </si>
  <si>
    <t>Leakage in Retraining</t>
  </si>
  <si>
    <t>60% of the randomly selected adversarial samples were included in the training set and and the rest 40% ... added to original test dataset</t>
  </si>
  <si>
    <t>Page 11, Section 5.5</t>
  </si>
  <si>
    <t>used DS2OS dataset which was collected ... using a virtual IoT environment</t>
  </si>
  <si>
    <t>Page 7, Section 5.1</t>
  </si>
  <si>
    <t>Section 5.3 Performance of baseline models</t>
  </si>
  <si>
    <t>Leakage</t>
  </si>
  <si>
    <t>Section 4 Proposed model (Fig 3) and Section 5.5</t>
  </si>
  <si>
    <t>Task Type is Information Flow Tracking via Formal Methods</t>
  </si>
  <si>
    <t>We introduce a PCHIP-based methodology which enables systematic formal evaluation of information flow policies in analog/mixed-signal designs.</t>
  </si>
  <si>
    <t>Graph/Structure used is Circuit Design (Netlist)</t>
  </si>
  <si>
    <t>This solution can reason on analog designs described at the transistor-level or at the block-level...</t>
  </si>
  <si>
    <t>Method uses Theorem Proving (Coq)</t>
  </si>
  <si>
    <t>VeriCoq-IFT... is able to automatically convert the Verilog design to the Coq representation, generate security property theorems...</t>
  </si>
  <si>
    <t>Page 4 (Section V)</t>
  </si>
  <si>
    <t>Metrics refer to verification time</t>
  </si>
  <si>
    <t>Verification of the proofs for the most complex designs... completed in about 30 minutes.</t>
  </si>
  <si>
    <t>Page 11 (Section IX)</t>
  </si>
  <si>
    <t>Section V (PCHIP-Based IFT) &amp; Section VI (IFT in Analog)</t>
  </si>
  <si>
    <t>Task Type is Exploit Mitigation</t>
  </si>
  <si>
    <t>We present Randezvous, a highly performant diversification-based mitigation to such attacks and their brute force variants on ARM MCUs.</t>
  </si>
  <si>
    <t>Graph Use is None (Mention of CFG is for related work CFI only)</t>
  </si>
  <si>
    <t>CFI is vulnerable to advanced attacks [19, 37] even with a fully precise static control-flow graph (CFG)...</t>
  </si>
  <si>
    <t>Page 2 (Introduction)</t>
  </si>
  <si>
    <t>Evaluation Method is Analytical and Benchmarking</t>
  </si>
  <si>
    <t>We evaluated Randezvous’s security by statistically modeling leakage-equipped brute force attacks... We also evaluated Randezvous’s overhead on three benchmark suites...</t>
  </si>
  <si>
    <t>Introduction</t>
  </si>
  <si>
    <t>Task type is Anomaly Based Intrusion Detection using SVM</t>
  </si>
  <si>
    <t>Dataset used is NSL-KDD</t>
  </si>
  <si>
    <t>Metrics used</t>
  </si>
  <si>
    <t>Accuracy (Approx.) ... 91% ... 87% ... 93%</t>
  </si>
  <si>
    <t>Table V</t>
  </si>
  <si>
    <t>Graph conceptualization</t>
  </si>
  <si>
    <t>A visualization of USB storage provenance is shown in Figure 1, shown here as a directed acyclic graph that is compliant with the W3C PROV data model</t>
  </si>
  <si>
    <t>Page 3, Section 2</t>
  </si>
  <si>
    <t>Performance overhead</t>
  </si>
  <si>
    <t>ProvUSB introduces a small overhead (&lt; 1s) during device enumeration, reaches 90% throughput as mean file size increases, and imposes only a small provenance storage overhead (&lt; 0.1%)</t>
  </si>
  <si>
    <t>Page 12, Conclusion</t>
  </si>
  <si>
    <t>Evaluation workload</t>
  </si>
  <si>
    <t>To measure the runtime performance of ProvUSB, we used filebench [62]... In the KVM workload... The Tor workload... ClamAV</t>
  </si>
  <si>
    <t>Page 9-10, Evaluation</t>
  </si>
  <si>
    <t>Evaluation Workloads</t>
  </si>
  <si>
    <t>Section 6. EVALUATION</t>
  </si>
  <si>
    <t>Graph Model</t>
  </si>
  <si>
    <t>Section 2. BACKGROUND (Data Provenance)</t>
  </si>
  <si>
    <t>Evaluation methodology used synthetic documents.</t>
  </si>
  <si>
    <t>For each rule, we created matching documents of different types (.txt, .docx, .xlsx, and .pdf) as well as compressed versions...</t>
  </si>
  <si>
    <t>Page 55, Testing Methodology</t>
  </si>
  <si>
    <t>Use of custom penetration testing tool.</t>
  </si>
  <si>
    <t>Thus, we developed a dedicated penetration-testing tool—called Data Exfiltration Tester (DXT)—that implements several data exfiltration methods over HTTP.</t>
  </si>
  <si>
    <t>Effectiveness against malicious threats.</t>
  </si>
  <si>
    <t>Our results show that... none of the solutions can prevent data leakage under threat models T2 and T3.</t>
  </si>
  <si>
    <t>Page 56, Results</t>
  </si>
  <si>
    <t>Threat_Model</t>
  </si>
  <si>
    <t>Data Leakage Threats (Page 54)</t>
  </si>
  <si>
    <t>Network Intrusion Detection is defined as the process of monitoring a network for malicious activities and suspicious traffic.</t>
  </si>
  <si>
    <t>Proposed Model Features</t>
  </si>
  <si>
    <t>The cloud-based network intrusion detection system is able to scale up and out... Multi-lingual support... Automated threat analytics... Machine Learning...</t>
  </si>
  <si>
    <t>Performance Evaluation</t>
  </si>
  <si>
    <t>The performance comparison has shown in the following fig.4.</t>
  </si>
  <si>
    <t>Section III. PROPOSED MODEL</t>
  </si>
  <si>
    <t>Experiments</t>
  </si>
  <si>
    <t>Section IV. RESULTS AND DISCUSSION</t>
  </si>
  <si>
    <t>Type of paper is Review/Proposal</t>
  </si>
  <si>
    <t>this article presents a thorough study of the state-of-the-art literature... and proposes research directions</t>
  </si>
  <si>
    <t>Proposed solution uses Blockchain</t>
  </si>
  <si>
    <t>A private BC system with a permission-based access mechanism could be designed, as shown in Figure 2.</t>
  </si>
  <si>
    <t>Cyber attack assessment is qualitative</t>
  </si>
  <si>
    <t>Table 4 elaborates the forms of attack and their possible impact on a robotic system.</t>
  </si>
  <si>
    <t>Section 8</t>
  </si>
  <si>
    <t>Section 9 (Discussion) or Conclusion (No Experiments section)</t>
  </si>
  <si>
    <t>Task and methodology involves SVM</t>
  </si>
  <si>
    <t>This step uses the algorithm-2 to train the Support Vector Machine (SVM) Machine learning model...</t>
  </si>
  <si>
    <t>Page 4, Section 3 Step-4</t>
  </si>
  <si>
    <t>Sampling strategy for balancing</t>
  </si>
  <si>
    <t>To address this imbalance problem, sampling technique (Liu et al., 2018) is used... to select 300 safe apps and 300 malicious apps...</t>
  </si>
  <si>
    <t>DREBIN datasets... ContagioDump... Deep_zone_apps_datasets...</t>
  </si>
  <si>
    <t>Page 7, Section 4.1 and Table 2</t>
  </si>
  <si>
    <t>No graph usage mentioned</t>
  </si>
  <si>
    <t>The proposed method relies on two key features such as permissions and certificate attributes.</t>
  </si>
  <si>
    <t>Page 4, Section 3 Step-2</t>
  </si>
  <si>
    <t>Section 3. Streamlined method for detecting post-installation apps</t>
  </si>
  <si>
    <t>Section 4.1. Experimental setup</t>
  </si>
  <si>
    <t>detecting software buffer overflow vulnerability using neural networks... function-level vulnerability identification</t>
  </si>
  <si>
    <t>Dataset Sources</t>
  </si>
  <si>
    <t>SATE IV Juliet Test Suite, the Debian Linux distribution, and open-source Git repositories on GitHub, as mentioned in Russell’s work [22].</t>
  </si>
  <si>
    <t>Our dataset is divided into three subfolders—train, validation, and test—each containing a CSV file with 100,000, 20,000, and 10,000 data instances, respectively.</t>
  </si>
  <si>
    <t>Input Representation (Not Graph)</t>
  </si>
  <si>
    <t>The source code is first converted into an intermediate representation... embedded vectors are subsequently fed into neural networks such as LSTM, BiLSTM...</t>
  </si>
  <si>
    <t>Performance Result</t>
  </si>
  <si>
    <t>Our proposed model... achieves the highest accuracy of 95% compared to the previous works.</t>
  </si>
  <si>
    <t>Page 9, Section V</t>
  </si>
  <si>
    <t>Page 7, Section IV. Evaluation Metrics</t>
  </si>
  <si>
    <t>Stacking Ensemble Architecture</t>
  </si>
  <si>
    <t>Page 6, Section I. Proposed Model</t>
  </si>
  <si>
    <t>detects and prevents DNS tunneling attacks in real-time.</t>
  </si>
  <si>
    <t>Page 40, Abstract</t>
  </si>
  <si>
    <t>Deep Feedforward (DFF) Neural Network... input layer was made up of of 3 cells: IP length (I1), Query Name length (I2) and Query Name entropy (I3)</t>
  </si>
  <si>
    <t>Page 42, Section C</t>
  </si>
  <si>
    <t>legal DNS data... from Alexa top 1 million sites... DNS tunnel data, Iodine, Dns2cat and Dns2tcp DNS tunneling tools were used.</t>
  </si>
  <si>
    <t>Page 42, Section A</t>
  </si>
  <si>
    <t>Rows of legal and tunnel data were merged and distributed randomly, thus, a dataset comprised of both legal and tunneled data was generated.</t>
  </si>
  <si>
    <t>Page 42, Section B</t>
  </si>
  <si>
    <t>Training Data</t>
  </si>
  <si>
    <t>50,000 data randomly selected from each of the previously collected legal and tunneled DNS data were used in network training.</t>
  </si>
  <si>
    <t>Page 43, Section C</t>
  </si>
  <si>
    <t>Section III. Materials and Methods</t>
  </si>
  <si>
    <t>Section IV. Preliminary Preparing for Real-Time Test Setup</t>
  </si>
  <si>
    <t>Method relies on structured data, not graphs</t>
  </si>
  <si>
    <t>DAGMM used here is designed for structured data and hence the scope of our research is confined to such data</t>
  </si>
  <si>
    <t>Page 2, Section 1.2</t>
  </si>
  <si>
    <t>Split strategy relies on random sampling</t>
  </si>
  <si>
    <t>Each local training takes 50% of the majority group by random sampling for training, and the remaining 50%... are reserved for testing.</t>
  </si>
  <si>
    <t>Page 10, Section 4.1</t>
  </si>
  <si>
    <t>Training on majority class</t>
  </si>
  <si>
    <t>most of KDDCUP 99 are anomaly... Therefore, it is appropriate to train models with attack flows</t>
  </si>
  <si>
    <t>Section 4.1 Experimental Design</t>
  </si>
  <si>
    <t>Section 3.2 Deep Autoencoding Gaussian Mixture Model</t>
  </si>
  <si>
    <t>In analyzing the performance of our approach, we used the Microsoft BIG [30] dataset... covering nine malware families</t>
  </si>
  <si>
    <t>Page 12, Section 4.1</t>
  </si>
  <si>
    <t>Input data format</t>
  </si>
  <si>
    <t>converting malware binaries into gray scale images... multi-byte mapping algorithm</t>
  </si>
  <si>
    <t>Page 6, Section 3.2</t>
  </si>
  <si>
    <t>adopted a 75% training set and 25% test set division... adopted a 5-fold cross-validation method</t>
  </si>
  <si>
    <t>Accuracy, Precision, Recall, and F1 Score to evaluate the performance of different methods</t>
  </si>
  <si>
    <t>Page 13, Section 4.1</t>
  </si>
  <si>
    <t>Section 4.1 Experimental Setup, Dataset, and Validation</t>
  </si>
  <si>
    <t>Section 3.2 Data Preprocessing (Confirmation of Image usage vs Graph)</t>
  </si>
  <si>
    <t>Task Type is Game Theory / Simulation</t>
  </si>
  <si>
    <t>We contribute a novel game theoretical model of the data-selling ransomware to study the equilibrium strategies of the attacker and victims.</t>
  </si>
  <si>
    <t>Dataset is Synthetic/Randomly Generated</t>
  </si>
  <si>
    <t>The number of users/victims is set at N = 30. The victims’ self-valuation of files and the market value of data are both randomly generated in the range of 0 ∼ 50.</t>
  </si>
  <si>
    <t>Page 7 (Section 4.1)</t>
  </si>
  <si>
    <t>No Graph-based method used</t>
  </si>
  <si>
    <t>Through extensive simulation studies, we analyze the complex relationships among the preventive measures, user utility, and ransomware profit.</t>
  </si>
  <si>
    <t>Section 4.1 Simulation parameters</t>
  </si>
  <si>
    <t>Section 3 Game theoretic model</t>
  </si>
  <si>
    <t>Task type and Models used</t>
  </si>
  <si>
    <t>integrates Federated Learning (FL) with ensemble models such as XGBoost (XGB), Random Forest (RF), and Gradient Boosting Machines (GBM)</t>
  </si>
  <si>
    <t>validated using two benchmark datasets, WUSTL-EHMS-2020 and CIC-IoMT 2024</t>
  </si>
  <si>
    <t>Data Split Strategy</t>
  </si>
  <si>
    <t>Train,Test and Validation Split of Dataset</t>
  </si>
  <si>
    <t>Fig. 1 (Flow diagram)</t>
  </si>
  <si>
    <t>Sampling/Class Balancing</t>
  </si>
  <si>
    <t>we also apply class balancing using class_weight='balanced'. ... subsampling rates of 0.8</t>
  </si>
  <si>
    <t>Section III.B.4 (Ensemble Model)</t>
  </si>
  <si>
    <t>Privacy focus over evaluation leakage</t>
  </si>
  <si>
    <t>Localizes data on IoMT devices and exchanges only model parameters to protect sensitive medical data.</t>
  </si>
  <si>
    <t>Section I (Contributions)</t>
  </si>
  <si>
    <t>Section III.B or Figure 1</t>
  </si>
  <si>
    <t>Section III. Methodology</t>
  </si>
  <si>
    <t>Task focuses on Hardware Trojan detection in Neural Network Accelerators.</t>
  </si>
  <si>
    <t>In this work, we first present six Hardware Trojan attacks with demonstrations of their impacts on the hardware design of neural networks.</t>
  </si>
  <si>
    <t>Dataset used is MNIST with standard split.</t>
  </si>
  <si>
    <t>To answer our RQ-1, we select the MNIST... dataset [8] as our target database... Partial data of the dataset is taken as training data...</t>
  </si>
  <si>
    <t>Section 2.1 / Section 2.2</t>
  </si>
  <si>
    <t>Data leakage refers to model parameter theft, not evaluation leakage.</t>
  </si>
  <si>
    <t>One of our Hardware Trojans is able to leak important parameters to entities outside the system... weights and biases should be highly confidential</t>
  </si>
  <si>
    <t>Evaluation compares Formal Verification and Simulation.</t>
  </si>
  <si>
    <t>Random simulation did not detect our HTs... JasperGold reported that there is a counterexample</t>
  </si>
  <si>
    <t>Strict de-duplication prevents data leakage from redundant frames.</t>
  </si>
  <si>
    <t>Retaining such duplicates artificially inflates model performance... To prevent this data leakage, we enforce strict de-duplication.</t>
  </si>
  <si>
    <t>Page 2, Abstract &amp; Section 2</t>
  </si>
  <si>
    <t>Use of Stratified K-Fold instead of single split.</t>
  </si>
  <si>
    <t>single train–test split was replaced with Stratified K-Fold Cross-Validation.</t>
  </si>
  <si>
    <t>Page 9, Section 4.5.1</t>
  </si>
  <si>
    <t>Limitation regarding temporal evaluation.</t>
  </si>
  <si>
    <t>This approach effectively detects payload-based attacks but ignores the sequential nature of the CAN bus.</t>
  </si>
  <si>
    <t>Page 12, Section 5</t>
  </si>
  <si>
    <t>Deep Learning models fail on unique signatures.</t>
  </si>
  <si>
    <t>Deep Learning models fail to generalize (F1-Macro &lt; 0.55) when denied the massive redundancy they typically require.</t>
  </si>
  <si>
    <t>Table 5, Page 9</t>
  </si>
  <si>
    <t>De-duplication Statistics</t>
  </si>
  <si>
    <t>Table 1, Page 3</t>
  </si>
  <si>
    <t>Task Type is Management Workflow (qualitative)</t>
  </si>
  <si>
    <t>In this paper, a Data Leak Prevention (DLP) management workflow for mitigating insider threats is proposed.</t>
  </si>
  <si>
    <t>Security Domain is Insider Threat</t>
  </si>
  <si>
    <t>Insider threats are considered as one of the most formidable threats that are an ongoing major problem for organizations.</t>
  </si>
  <si>
    <t>Methodology is Case Study</t>
  </si>
  <si>
    <t>This paper provides a case study of how CyberSecurity Malaysia identifies and detects either intentional or unintentional insider data leakage incidents...</t>
  </si>
  <si>
    <t>Focus on Hardware Data Leakage</t>
  </si>
  <si>
    <t>Data leakage Trojans are more complicated... They will not affect the normal operation of chips. Instead, they scan and capture data</t>
  </si>
  <si>
    <t>Evaluation Dataset/Subject</t>
  </si>
  <si>
    <t>Experimental results on a 45 nm 8-bit Advanced Encryption Standard (AES) Substitution Box (Sbox) showed that RECORD can effectively hide information</t>
  </si>
  <si>
    <t>Methodology is Circuit Design not ML</t>
  </si>
  <si>
    <t>RECORD: Temporarily Randomized Encoding of Combinational Logic... The dual rails are then broken up and only a single rail is routed</t>
  </si>
  <si>
    <t>Page 6, Section V</t>
  </si>
  <si>
    <t>Section IV. Design Examples</t>
  </si>
  <si>
    <t>Insider threats... sequential user event logs... unsupervised anomaly detection algorithms</t>
  </si>
  <si>
    <t>Abstract / Page 3</t>
  </si>
  <si>
    <t>We use the CERT Insider Threat Dataset v5.2 [20]... containing synthetic log data from 1000 users</t>
  </si>
  <si>
    <t>Split Strategy &amp; Leakage Control</t>
  </si>
  <si>
    <t>We adopt a time-based split... Temporal ordering was strictly preserved in all splits to prevent data leakage.</t>
  </si>
  <si>
    <t>Future Work (Graph)</t>
  </si>
  <si>
    <t>Future work will explore... (ii) the use of graph-based models to capture relational user behavior</t>
  </si>
  <si>
    <t>Section 6 (Conclusion)</t>
  </si>
  <si>
    <t>Privacy Results</t>
  </si>
  <si>
    <t>Table 6</t>
  </si>
  <si>
    <t>Task is unauthorized file access prevention</t>
  </si>
  <si>
    <t>In this paper, we propose a novel light-weight hardware-assisted hypervisor, namely FVisor, to thwart such unauthorized file accesses.</t>
  </si>
  <si>
    <t>Evaluation methodology</t>
  </si>
  <si>
    <t>We run PassMark PerformanceTest 8.0 [29] both in the native mode and in the intercepted mode.</t>
  </si>
  <si>
    <t>No Machine Learning used</t>
  </si>
  <si>
    <t>FVisor is able to deprivilege the preinstalled OS and does not require reinstalling or modifying the OS.</t>
  </si>
  <si>
    <t>Section IV. Evaluation</t>
  </si>
  <si>
    <t>Data structure is vector-based, not graph-based</t>
  </si>
  <si>
    <t>xi is a d-dimensional input vector belonging to input space X</t>
  </si>
  <si>
    <t>Section II.A</t>
  </si>
  <si>
    <t>Use of prequential evaluation to prevent leakage</t>
  </si>
  <si>
    <t>The prequential evaluation (aka. test-then-train) is used... Data collected at each time step are first used to test... before being used for updating</t>
  </si>
  <si>
    <t>Adaptive sampling strategy</t>
  </si>
  <si>
    <t>UEvoAutoML and OEvoAutoML... integrate adaptive resampling techniques... calculate the time decayed class size... to adaptively decide the resampling rate</t>
  </si>
  <si>
    <t>Section V.C Performance Metrics and Evaluation</t>
  </si>
  <si>
    <t>Section V.A Data sets</t>
  </si>
  <si>
    <t>Task is Intrusion Detection</t>
  </si>
  <si>
    <t>real world application such as intrusion detection and fault detection.</t>
  </si>
  <si>
    <t>Use of Streaming/Chunk split</t>
  </si>
  <si>
    <t>processed online as chunks... Chunk 1 to Chunk 10</t>
  </si>
  <si>
    <t>generating the synthetic data using the random resampling technique... using the K-Nearest Neighbors and Jaccard Similarity.</t>
  </si>
  <si>
    <t>NSL-KDD cup dataset is used for analyzing the effectiveness... KDD cup dataset are corrected for drift</t>
  </si>
  <si>
    <t>Section 3.3</t>
  </si>
  <si>
    <t>Table 4</t>
  </si>
  <si>
    <t>Algorithm Details</t>
  </si>
  <si>
    <t>Algorithm 1 and Algorithm 2</t>
  </si>
  <si>
    <t>Task definition (Steganography Design)</t>
  </si>
  <si>
    <t>We design and implement a network covert storage channel, exploiting reserved bits in the header of the Packet Data Convergence Protocol (PDCP).</t>
  </si>
  <si>
    <t>The test setup consisted of virtualized open source software components... Open5GS was deployed as the 5G Core, and the gNB from srsRAN Project...</t>
  </si>
  <si>
    <t>Future Work on AI Detection</t>
  </si>
  <si>
    <t>Other future work could comprise ... experimental scenario in [6] to explore AI-based anomaly detection countermeasures...</t>
  </si>
  <si>
    <t>Section 6 (Conclusions)</t>
  </si>
  <si>
    <t>Section 5. Evaluation</t>
  </si>
  <si>
    <t>We present a tool that visualizes system activities as data flow graphs... Pattern matching identifies structures that correspond to (suspected) malicious...</t>
  </si>
  <si>
    <t>In the following we present three scenarios where our approach can be useful... Drive-by Malware Infection... Email Worm Infection... Data Leakage.</t>
  </si>
  <si>
    <t>Graph Dynamics</t>
  </si>
  <si>
    <t>concentrate on slices of these graphs that correspond to a fixed but arbitrary time span.</t>
  </si>
  <si>
    <t>Section 1</t>
  </si>
  <si>
    <t>Pattern Matching Algorithm</t>
  </si>
  <si>
    <t>We then make use of a modified version of the VF2 algorithm [1] which checks monomorphisms between (sub-)graphs.</t>
  </si>
  <si>
    <t>Section 5. APPLICATION</t>
  </si>
  <si>
    <t>Section 3. PRELIMINARIES</t>
  </si>
  <si>
    <t>Random split strategy used for the initial model.</t>
  </si>
  <si>
    <t>To train the initial global model, we randomly selected 500 samples.</t>
  </si>
  <si>
    <t>Datasets used for evaluation.</t>
  </si>
  <si>
    <t>We used two publicly available datasets, namely CICIDS2017 [27] and NBaIoT [28].</t>
  </si>
  <si>
    <t>Evaluation_Bias</t>
  </si>
  <si>
    <t>Section IV. EVALUATION</t>
  </si>
  <si>
    <t>Graph_Usage</t>
  </si>
  <si>
    <t>SMOTE is applied only to training data to prevent leakage.</t>
  </si>
  <si>
    <t>applies SMOTE only to the training data, preventing data leakage into the test set.</t>
  </si>
  <si>
    <t>1 / Abstract</t>
  </si>
  <si>
    <t>Data is combined across temporal boundaries before splitting.</t>
  </si>
  <si>
    <t>we combine the traffic data from each of the five days into a single dataset.</t>
  </si>
  <si>
    <t>2 / D. CICIDS2017 Dataset</t>
  </si>
  <si>
    <t>Vague split details.</t>
  </si>
  <si>
    <t>Divide the dataset into sets for testing and training.</t>
  </si>
  <si>
    <t>3 / E. Training of the dataset</t>
  </si>
  <si>
    <t>Temporal Split / Dataset Merging</t>
  </si>
  <si>
    <t>III. METHODOLOGY / D. CICIDS2017 Dataset</t>
  </si>
  <si>
    <t>The chatbot works properly based on Blackbox testing.</t>
  </si>
  <si>
    <t>The results show none of them occured during the Blackbox test, which indicates that the Cyber Privacy Advisor Chatbot works well as expected.</t>
  </si>
  <si>
    <t>Page 3, Section IV. RESULTS AND DISCUSSION</t>
  </si>
  <si>
    <t>The chatbot content is highly valid according to experts.</t>
  </si>
  <si>
    <t>The results shows that all experts consider all aspects with good valuation (with more than 4.0 point).</t>
  </si>
  <si>
    <t>Section IV. RESULTS AND DISCUSSION (Table I and Table II)</t>
  </si>
  <si>
    <t>ใช้งานแบบจำลอง 1D CNN</t>
  </si>
  <si>
    <t>The 1D CNN classifier was then deployed in the Data Inferencer and the Computing Cloud server.</t>
  </si>
  <si>
    <t>Section 3 IMPLEMENTATION</t>
  </si>
  <si>
    <t>เปิดเผย Source code สำหรับ Power Auditor</t>
  </si>
  <si>
    <t>Power-auditing source code is available at https://github.com/woossup/Power-Auditor</t>
  </si>
  <si>
    <t>Section 4 DEMONSTRATION</t>
  </si>
  <si>
    <t>Splitting the dataset before preprocessing prevents leakage.</t>
  </si>
  <si>
    <t>The dataset is initially split into training and test sets before any preprocessing.</t>
  </si>
  <si>
    <t>6</t>
  </si>
  <si>
    <t>Feature selection was restricted to training data.</t>
  </si>
  <si>
    <t>The feature selection process was diligently conducted exclusively on the training set to staunchly prevent data leakage</t>
  </si>
  <si>
    <t>Random split was used.</t>
  </si>
  <si>
    <t>split the dataset into training and testing sets using a standard 80/20 ratio to avoid data leakage.</t>
  </si>
  <si>
    <t>Reliance on controlled dataset is a limitation.</t>
  </si>
  <si>
    <t>a significant limitation of our study is the reliance on a controlled dataset.</t>
  </si>
  <si>
    <t>10</t>
  </si>
  <si>
    <t>3.2. Avoiding data leakage during preprocessing</t>
  </si>
  <si>
    <t>3.3. Data preprocessing</t>
  </si>
  <si>
    <t>5. Conclusion</t>
  </si>
  <si>
    <t>Current model treats queries independently and excludes concurrent query effects</t>
  </si>
  <si>
    <t>We focus on minimizing disclosure risk for each query independently, and do not consider the effect of running multiple queries concurrently.</t>
  </si>
  <si>
    <t>Section 1.1 Threat Model and System Overview</t>
  </si>
  <si>
    <t>Extent level key management is optimal compared to page/record level</t>
  </si>
  <si>
    <t>These results show that key generation per extent would be a good design choice in terms of both performance and disclosure risk.</t>
  </si>
  <si>
    <t>Appendix E.3 Performance Overhead</t>
  </si>
  <si>
    <t>Section 2. Disclosure Metrics for Memory-Based Attacks</t>
  </si>
  <si>
    <t>Data Splitting Strategy and potential leakage</t>
  </si>
  <si>
    <t>techniques such as rotation, scaling, and mirroring are employed to enhance the data. The augmented dataset is then partitioned into three subsets</t>
  </si>
  <si>
    <t>13</t>
  </si>
  <si>
    <t>Tasks Evaluated</t>
  </si>
  <si>
    <t>For the task of insect data recognition and classification, the implementation will involve utilizing the Federated Averaging algorithm based on CNN.</t>
  </si>
  <si>
    <t>VI. EVALUATION AND ANALYSIS &gt; C. Experimental Analysis</t>
  </si>
  <si>
    <t>Split Strategy uses random split with 70% train and 30% test.</t>
  </si>
  <si>
    <t>the model is trained using a decision tree classifier, with 70% of the data used as the training set and the remaining 30%</t>
  </si>
  <si>
    <t>Page 18 - 19</t>
  </si>
  <si>
    <t>Fixed sliding window of 200 messages for graph construction.</t>
  </si>
  <si>
    <t>we create a graph for every 200 messages, following the window size defined in [20].</t>
  </si>
  <si>
    <t>Page 10</t>
  </si>
  <si>
    <t>Gap/Future work targets message-level identification.</t>
  </si>
  <si>
    <t>capable of not only detecting anomalous windows but also identifying the specific malicious messages within them.</t>
  </si>
  <si>
    <t>Page 27</t>
  </si>
  <si>
    <t>Algorithm 2 Intrusion detection algorithm</t>
  </si>
  <si>
    <t>5.2 Evaluation metrics</t>
  </si>
  <si>
    <t>Risk of contamination during the learning phase (train-test contamination).</t>
  </si>
  <si>
    <t>Attacks can take place or malicious code can already be in the network during the learning phase, resulting in an erroneous model</t>
  </si>
  <si>
    <t>Requirement to omit endangered learning phases.</t>
  </si>
  <si>
    <t>Because of the endangerment of the learning phase and the difficult task of creating clean labeled data, this phase must be omitted</t>
  </si>
  <si>
    <t>Need for payload-free evaluation due to encryption.</t>
  </si>
  <si>
    <t>Therefore, a Next-Generation IDS cannot rely on the availability of the packet payload.</t>
  </si>
  <si>
    <t>Section III. CURRENT SYSTEMS AND SHORTCOMINGS</t>
  </si>
  <si>
    <t>Section VI. CONCLUSION AND FURTHER WORK</t>
  </si>
  <si>
    <t>Evaluation methodology and platform</t>
  </si>
  <si>
    <t>We used widely accepted NoCTweak network simulator [38] to verify the proposed work.</t>
  </si>
  <si>
    <t>Page 7, Section VI. A</t>
  </si>
  <si>
    <t>Baseline used for comparison</t>
  </si>
  <si>
    <t>We consider the work in [31] as the baseline for comparison with the proposed method</t>
  </si>
  <si>
    <t>Page 7, Section VI. B</t>
  </si>
  <si>
    <t>Section VI. C (Measurements and Estimates)</t>
  </si>
  <si>
    <t>Section VIII (Conclusion and Future Research)</t>
  </si>
  <si>
    <t>The system utilizes a distributed graph to store multi-entity relationships.</t>
  </si>
  <si>
    <t>a persistent distributed graph storage system that stores relationships among users, devices, services and actions</t>
  </si>
  <si>
    <t>1. INTRODUCTION, Page 2</t>
  </si>
  <si>
    <t>Supervised learning is inadequate; unsupervised learning is necessary for behavioral anomaly detection.</t>
  </si>
  <si>
    <t>It is necessary to have unsupervised user reasoning mechanisms that allow the system to learn anomalies</t>
  </si>
  <si>
    <t>3. CHALLENGES AND APPROACHES, Page 3</t>
  </si>
  <si>
    <t>1. INTRODUCTION</t>
  </si>
  <si>
    <t>3. CHALLENGES AND APPROACHES</t>
  </si>
  <si>
    <t>Using CNN and LSTM for feature extraction and sequence modeling.</t>
  </si>
  <si>
    <t>integrates a hybrid Deep Learning architecture that combines (CNN) for spatial feature extraction and (LSTM) networks for temporal pattern recognition.</t>
  </si>
  <si>
    <t>Page 3, Section III.A: Enhanced Model Design</t>
  </si>
  <si>
    <t>Evaluation on public dataset CIC-IDS2017.</t>
  </si>
  <si>
    <t>extensive experiments are conducted on well-known standars datasets such as CIC-IDS2017 using metrics like accuracy, recall, F1-score</t>
  </si>
  <si>
    <t>Page 2, Section III.A: Methodology</t>
  </si>
  <si>
    <t>Future plans to add advanced privacy techniques.</t>
  </si>
  <si>
    <t>plan to integrate advanced privacy-preservingstrategies like Differential Privacy (DP)... and Homomorphic Encryption</t>
  </si>
  <si>
    <t>Page 5, Section V: CONCLUSION AND FUTUR WORK</t>
  </si>
  <si>
    <t>Section IV. EXPERIMENTAL RESULTS</t>
  </si>
  <si>
    <t>Section III.A Methodology</t>
  </si>
  <si>
    <t>HyperSweep adapts Rabin-Karp algorithm to search for sensitive data strings.</t>
  </si>
  <si>
    <t>HyperSweep adapted the well rounded Rabin-Karp search algorithm [10] for general search.</t>
  </si>
  <si>
    <t>Section III-C. Pattern Matching Algorithms</t>
  </si>
  <si>
    <t>Patching QEMU improves the scanning speed significantly.</t>
  </si>
  <si>
    <t>HyperSweep would take at least 15-20 minutes to complete the task before the patch while it will only take around 5 seconds...</t>
  </si>
  <si>
    <t>Section IV-A. QEMU-KVM Patch</t>
  </si>
  <si>
    <t>Section V. EVALUATION</t>
  </si>
  <si>
    <t>Section III-B. Scanning Strategies</t>
  </si>
  <si>
    <t>ใช้งานชุดข้อมูล CERT รุ่น R4.2</t>
  </si>
  <si>
    <t>The "dense needle" version of the dataset, "R4.2.tar.bz," has been used in this study since it has a sufficient number of red team scenarios.</t>
  </si>
  <si>
    <t>3. Performance Analysis</t>
  </si>
  <si>
    <t>ไม่สามารถปรับใช้กับเว็บที่มีผู้ใช้จำนวนมากได้เนื่องจากเป็นอัลกอริทึมสมมาตร</t>
  </si>
  <si>
    <t>Since the suggested method is based on a symmetric algorithm, it is impossible to adapt it to a web context where numerous users frequently access</t>
  </si>
  <si>
    <t>4. Conclusion</t>
  </si>
  <si>
    <t>Splitting Strategy using Random Split</t>
  </si>
  <si>
    <t>randomly divided the remaining 1574 attack sequences and 12546 normal sequences into training data and test data in a 7:3 ratio.</t>
  </si>
  <si>
    <t>Page 5, Section IV.A Experimental Settings</t>
  </si>
  <si>
    <t>Dataset Link Availability</t>
  </si>
  <si>
    <t>The dataset we named FHIDS is released at https://github.com/bd-aurora/syscall-dataset.</t>
  </si>
  <si>
    <t>Sampling Strategy with SMOTE</t>
  </si>
  <si>
    <t>we adopt the SMOTE to balance Non-IID data. SMOTE is a synthetic sampling technique.</t>
  </si>
  <si>
    <t>Page 4, Section III.D</t>
  </si>
  <si>
    <t>IV. EXPERIMENTS &gt; A. Experimental Settings &gt; Dataset</t>
  </si>
  <si>
    <t>III. HIDS WITH FEDERATED LEARNING &gt; D. Non-IID Data Setting and Data Augmentation</t>
  </si>
  <si>
    <t>The core methodology relies on Finite State Machines to model valid behavior.</t>
  </si>
  <si>
    <t>We begin with mapping all data flows through out the system creating a repository of Finite State Machines (FSM).</t>
  </si>
  <si>
    <t>Page 2, Section II. SYSTEM DESIGN</t>
  </si>
  <si>
    <t>The system acts against deviations actively using spores/agents.</t>
  </si>
  <si>
    <t>When a deviation from a qualified path is detected a spore is deployed. A spore is a piece of code that gathers information...</t>
  </si>
  <si>
    <t>Page 3, Section C. Defensive Agents and Spores</t>
  </si>
  <si>
    <t>No actual experiments have been conducted yet.</t>
  </si>
  <si>
    <t>It is the hope of the authors to address these questions and challenges as the prototype system is built and tested</t>
  </si>
  <si>
    <t>Page 5, Section V (Text preceding Acknowledgment)</t>
  </si>
  <si>
    <t>Entire paper (Absence of an Evaluation or Results section)</t>
  </si>
  <si>
    <t>Paper objective and methodology</t>
  </si>
  <si>
    <t>This paper develops and analyzes a game-theoretic framework for the VM migration timing problem...</t>
  </si>
  <si>
    <t>Abstract, Page 1</t>
  </si>
  <si>
    <t>Evaluation method via simulation</t>
  </si>
  <si>
    <t>Table I presents the results of a simulation of the game for the linear reward regime... for several attack and defense strategies.</t>
  </si>
  <si>
    <t>VI. NUMERICAL ANALYSIS / Table I, Page 25</t>
  </si>
  <si>
    <t>Evaluation Metrics / Setup</t>
  </si>
  <si>
    <t>VI. NUMERICAL ANALYSIS</t>
  </si>
  <si>
    <t>III. SYSTEM MODEL</t>
  </si>
  <si>
    <t>Lack of unified evaluation benchmarks</t>
  </si>
  <si>
    <t>The hashing research field lacks unified evaluation benchmarks with curated datasets and consistent transformation protocols</t>
  </si>
  <si>
    <t>No datasets were evaluated empirically in this review</t>
  </si>
  <si>
    <t>No new data were created or analyzed in this study.</t>
  </si>
  <si>
    <t>17 (Data Availability Statement)</t>
  </si>
  <si>
    <t>2.1.2. Perceptual Hashing Techniques for Videos</t>
  </si>
  <si>
    <t>5. Risks of Systems and Databases That Use Perceptual Hashes</t>
  </si>
  <si>
    <t>Split Strategy is Cross-validation</t>
  </si>
  <si>
    <t>Page 8, Performance validation</t>
  </si>
  <si>
    <t>Sampling Strategy involves ADASYN</t>
  </si>
  <si>
    <t>The proposed model uses adaptive synthetic (ADASYN) technique for handling class imbalance data</t>
  </si>
  <si>
    <t>Performance validation</t>
  </si>
  <si>
    <t>ADASYN based class imbalance data handling</t>
  </si>
  <si>
    <t>Pre-processing to remove dataset artifacts and duplicate data.</t>
  </si>
  <si>
    <t>handling missing values, removing duplicate entries, and addressing outliers to ensure the integrity of the dataset.</t>
  </si>
  <si>
    <t>Page 4, Section IV.B</t>
  </si>
  <si>
    <t>Mitigating bias through feature scaling.</t>
  </si>
  <si>
    <t>scaling techniques to ensure uniformity in feature magnitudes... preventing bias towards variables with larger scales.</t>
  </si>
  <si>
    <t>Page 4, Section IV.C</t>
  </si>
  <si>
    <t>Evaluation vulnerability due to historical data.</t>
  </si>
  <si>
    <t>models trained on historical data may struggle to generalize to novel threats not encountered during training.</t>
  </si>
  <si>
    <t>Page 6, Section VI</t>
  </si>
  <si>
    <t>Section IV. METHODOLOGY, Subsections B and C</t>
  </si>
  <si>
    <t>Section VI. LIMITATION AND FUTURE SCOPE</t>
  </si>
  <si>
    <t>Information leakage prevention by applying resampling exclusively to training data.</t>
  </si>
  <si>
    <t>this resampling technique is applied exclusively to our training data, leaving the testing data untouched...</t>
  </si>
  <si>
    <t>Page 10, Section 3.3 Data balancing approach</t>
  </si>
  <si>
    <t>Strict separation prevents overly optimistic performance estimates.</t>
  </si>
  <si>
    <t>By strictly separating our data resampling process from our test data, we ensured that our model’s evaluation was unbiased...</t>
  </si>
  <si>
    <t>Section 3.3 Data balancing approach</t>
  </si>
  <si>
    <t>Section 5 Conclusion</t>
  </si>
  <si>
    <t>The data split uses a standard random stratified approach.</t>
  </si>
  <si>
    <t>both datasets were split into a training and testing ratio of 80:20, stratified split, maintaining the proportion of attack and normal classes.</t>
  </si>
  <si>
    <t>Page 8, Section 3.2 Preprocessing</t>
  </si>
  <si>
    <t>Section 3.2 Preprocessing</t>
  </si>
  <si>
    <t>Avoidance of data leakage through data splitting.</t>
  </si>
  <si>
    <t>the model has to be trained, validated, and tested on data that are not the same to avoid data leakage to inflate performance.</t>
  </si>
  <si>
    <t>10 / Splitting data</t>
  </si>
  <si>
    <t>Use of random split configuration (80/10/10).</t>
  </si>
  <si>
    <t>It is also possible to sort it in the 80/10/10 ratio that has been widely used in data set split.</t>
  </si>
  <si>
    <t>11 / Splitting data</t>
  </si>
  <si>
    <t>Splitting data (Pages 10-11)</t>
  </si>
  <si>
    <t>Metrics and Baselines</t>
  </si>
  <si>
    <t>Results and discussions / Tables 2-3 (Pages 16-17)</t>
  </si>
  <si>
    <t>Dataset used is OpenSky Network.</t>
  </si>
  <si>
    <t>The ADS-B messages come from the part of the data of the CDG8779 flight of the OpenSky Network [31] on January 4, 2021.</t>
  </si>
  <si>
    <t>8</t>
  </si>
  <si>
    <t>Need to test in a real-world environment.</t>
  </si>
  <si>
    <t>step out of the experimental simulation environment, and test our method in an actual environment.</t>
  </si>
  <si>
    <t>14</t>
  </si>
  <si>
    <t>V. SIMULATION EXPERIMENTS AND ANALYSIS &gt; A. Simulation Environment</t>
  </si>
  <si>
    <t>VI. CONCLUSION</t>
  </si>
  <si>
    <t>Evaluation Datasets</t>
  </si>
  <si>
    <t>The training and testing of the machine learning models were performed over the CICIDS 2017 and UNSW-NB15 datasets.</t>
  </si>
  <si>
    <t>The performance of the models has been measured as accuracy, precision, recall, and F1-score.</t>
  </si>
  <si>
    <t>Future development should concentrate on minimizing computational overhead, optimizing ML model performance, and incorporating advanced AI methods to further enhance security</t>
  </si>
  <si>
    <t>Page 7, Section VII</t>
  </si>
  <si>
    <t>Section V. IMPLEMENTATION AND RESULT ANALYSIS</t>
  </si>
  <si>
    <t>Used stratified 10-fold cross validation for split strategy.</t>
  </si>
  <si>
    <t>The experimental results for the evaluation metrics presented in this section were obtained using a stratified 10-fold cross-validation</t>
  </si>
  <si>
    <t>Page 13, Section 4.4</t>
  </si>
  <si>
    <t>Acknowledged issue with using accuracy for highly imbalanced datasets.</t>
  </si>
  <si>
    <t>accuracy is not a reliable metric for measuring model performance when dealing with highly imbalanced datasets</t>
  </si>
  <si>
    <t>Page 13, Section 4.4.1</t>
  </si>
  <si>
    <t>Code is available only upon request.</t>
  </si>
  <si>
    <t>The source code will be available upon request.</t>
  </si>
  <si>
    <t>Page 19, Data Availability Statement</t>
  </si>
  <si>
    <t>3.3.4. Data Splitting / 4.4. Performance Evaluation</t>
  </si>
  <si>
    <t>3.4. Resampling</t>
  </si>
  <si>
    <t>Proposes User Awareness (UA) to measure malicious intent based on hiding activities.</t>
  </si>
  <si>
    <t>a concept of user awareness (UA) is proposed which represents a degree of intent with which an application tries to hide its activities</t>
  </si>
  <si>
    <t>Combines UA with dataflow analysis to improve accuracy and reduce false positives.</t>
  </si>
  <si>
    <t>This extended analysis measurement, combined with dataflow-based analysis, will help make a more accurate decision with less false positives.</t>
  </si>
  <si>
    <t>Entire paper (Document is only an abstract/short paper with no experimental setup)</t>
  </si>
  <si>
    <t>The framework learns Markovian models from NetFlow data to generate SDN security policies.</t>
  </si>
  <si>
    <t>Synaptic includes a component for learning a Markovian model that captures the networking behavior of an application</t>
  </si>
  <si>
    <t>Page 2, Section II. SYNAPTIC: GENERATING AND CHECKING POLICIES</t>
  </si>
  <si>
    <t>Section III. THE DEMONSTRATION</t>
  </si>
  <si>
    <t>Graph representation for security chains</t>
  </si>
  <si>
    <t>A security chain c corresponds to a graph whose vertices are security functions, such as firewalls, intrusion detection systems (IDS)</t>
  </si>
  <si>
    <t>Temporal data split strategy</t>
  </si>
  <si>
    <t>We used the first 70% of the application logs for the learning phase, while the remaining 30% was used for the evaluation of accuracy.</t>
  </si>
  <si>
    <t>Page 6, Section V.C</t>
  </si>
  <si>
    <t>III. BACKGROUND ON SECURITY CHAINS</t>
  </si>
  <si>
    <t>V. PERFORMANCE EVALUATION, C. Accuracy of the security chains</t>
  </si>
  <si>
    <t>The dataset is split into training and testing partitions using a simple percentage.</t>
  </si>
  <si>
    <t>the available dataset is divided into 80% for training (including cross-validation) and 20% for testing.</t>
  </si>
  <si>
    <t>RF and XGBoost performed the best among baseline ML algorithms.</t>
  </si>
  <si>
    <t>RF and XGB are the models providing the best performance with a 0.98 average F1-Score.</t>
  </si>
  <si>
    <t>The developed framework and codebase are open source.</t>
  </si>
  <si>
    <t>code available in [5]</t>
  </si>
  <si>
    <t>Section V.B (MTD Decision Module: ML-based Reactive)</t>
  </si>
  <si>
    <t>Section V.B / TABLE III</t>
  </si>
  <si>
    <t>Dataset Split</t>
  </si>
  <si>
    <t>We split the dataset into 70% for training and 30% for testing.</t>
  </si>
  <si>
    <t>Page 6, Section 4</t>
  </si>
  <si>
    <t>Dataset 1 specific split</t>
  </si>
  <si>
    <t>Here we used 80% of the data for training and the remaining 20% for testing.</t>
  </si>
  <si>
    <t>4. Experimental results and simulation setup</t>
  </si>
  <si>
    <t>Test datasets used for evaluation</t>
  </si>
  <si>
    <t>We choose four test sets each of which consists of 10 files in the same format which is picked from the following types; TXT... CPP... PDF... EXE</t>
  </si>
  <si>
    <t>Core objective of the paper</t>
  </si>
  <si>
    <t>we propose the Data Leakage Prevention System (DLPS) which is applied at the entrance of the enterprise network to filter out the outgoing sensitive information.</t>
  </si>
  <si>
    <t>Section IV. SIMULATION RESULTS</t>
  </si>
  <si>
    <t>Framework focus</t>
  </si>
  <si>
    <t>A DTF framework of Window malware forensic toolkit is further proposed. It is also based on ISO/IEC 27037: 2012</t>
  </si>
  <si>
    <t>Future work identifies gaps in OS diversity</t>
  </si>
  <si>
    <t>there is still a need for further experimentation to keep the integrity of digital evidences across different OSes and various devices.</t>
  </si>
  <si>
    <t>VI. FUTURE RESEARCH</t>
  </si>
  <si>
    <t>Abstract, I. INTRODUCTION</t>
  </si>
  <si>
    <t>Code and dataset availability</t>
  </si>
  <si>
    <t>All source code about the algorithm, data generation, and performance evaluation in this paper are provided on GitHub</t>
  </si>
  <si>
    <t>V. PERFORMANCE EVALUATION</t>
  </si>
  <si>
    <t>Future work focuses on large-scale realistic simulations</t>
  </si>
  <si>
    <t>V. PERFORMANCE EVALUATION, Section B. Experiment setup</t>
  </si>
  <si>
    <t>Attackers can bypass security when default authentication is disabled by directly accessing the database via specific open ports.</t>
  </si>
  <si>
    <t>once the script finds the ES server hosted on port '9200'... Check whether to get the index without authentication.</t>
  </si>
  <si>
    <t>Section III. A. Penetrate Elasticsearch Database</t>
  </si>
  <si>
    <t>Section III. Attack Methodology</t>
  </si>
  <si>
    <t>The research focuses on organizational data leakage via email, not ML train-test leakage.</t>
  </si>
  <si>
    <t>focused on providing a safety net to prevent against accidental outbound transmission of sensitive information.</t>
  </si>
  <si>
    <t>Page 1, Section 1. Introduction</t>
  </si>
  <si>
    <t>The main problem is management, not technology.</t>
  </si>
  <si>
    <t>gap between availability and adoption, that this paper proposes is due to the management challenges in application, rather than technology.</t>
  </si>
  <si>
    <t>Abstract and Section 1</t>
  </si>
  <si>
    <t>The data is split strictly using an 8:1:1 ratio without chronological partitioning.</t>
  </si>
  <si>
    <t>For the training process, these datasets were split into a ratio of 8:1:1 for training, validation, and testing, respectively.</t>
  </si>
  <si>
    <t>Page 9, Section 5.1 Dataset</t>
  </si>
  <si>
    <t>Model extracts node and edge features forming a static graph format for SQL commands based on hierarchical formatting.</t>
  </si>
  <si>
    <t>Through the connections inferred from this indentation depth, lines were linked together, forming a graph where nodes corresponded to lines</t>
  </si>
  <si>
    <t>Page 6, Section 4.2 Overall proposed structure</t>
  </si>
  <si>
    <t>5.1 Dataset</t>
  </si>
  <si>
    <t>5.3 Metrics performance</t>
  </si>
  <si>
    <t>Prequential evaluation handles time effectively in data streams.</t>
  </si>
  <si>
    <t>implemented using MOA [22] data stream learning framework and applies the online prequential learning manner.</t>
  </si>
  <si>
    <t>4 (IV. EXPERIMENTS / A. Settings)</t>
  </si>
  <si>
    <t>Active learning strategy addresses uncertainty.</t>
  </si>
  <si>
    <t>the active learning strategy based on predictive uncertainty is proposed... the margin value is used as criterion for discrimination</t>
  </si>
  <si>
    <t>3 (III. METHODS / A. Active learning strategy)</t>
  </si>
  <si>
    <t>Evaluation Protocol</t>
  </si>
  <si>
    <t>IV. EXPERIMENTS / A. Settings</t>
  </si>
  <si>
    <t>Algorithm Design</t>
  </si>
  <si>
    <t>III. METHODS</t>
  </si>
  <si>
    <t>The optimization uses a genetic algorithm rather than ML models.</t>
  </si>
  <si>
    <t>The optimisation problem is implemented in Python and solved using a Genetic Algorithm.</t>
  </si>
  <si>
    <t>Page 7, Section 5.7 Solver</t>
  </si>
  <si>
    <t>Data sets used for experiments are publicly available.</t>
  </si>
  <si>
    <t>Complete details of the data sets used for the experiments can be found at http://www.imperial.ac.uk/people/andrew.fielder/research.html</t>
  </si>
  <si>
    <t>Page 7, Section 5.5 Controls – alternative cases</t>
  </si>
  <si>
    <t>Indirect costs are subjective estimates.</t>
  </si>
  <si>
    <t>We consciously model indirect costs as a single, limited scale. Values are subjective and informed by related security usability research</t>
  </si>
  <si>
    <t>Page 6, Section 5.4 Indirect costs – responsibility budget</t>
  </si>
  <si>
    <t>Section 5.2 Targets and attacks</t>
  </si>
  <si>
    <t>Section 5.5 Controls – alternative cases</t>
  </si>
  <si>
    <t>The paper uses standard training/validation split and cross-validation.</t>
  </si>
  <si>
    <t>an 80–20 ratio was adopted... a cross-validation procedure using k-fold cross-validation (with k = 5) on both the synthetic and UQVS datasets was conducted.</t>
  </si>
  <si>
    <t>The model achieved superior accuracy across all metrics.</t>
  </si>
  <si>
    <t>Specifically, the proposed method achieves a precision of 93%, an accuracy of 97%, an F1-score of 92%, and a recall of 92%.</t>
  </si>
  <si>
    <t>1</t>
  </si>
  <si>
    <t>4 Results and Discussions</t>
  </si>
  <si>
    <t>4.2 Evaluation Measures</t>
  </si>
  <si>
    <t>KDD99 dataset is used as a benchmark for comparison.</t>
  </si>
  <si>
    <t>For comparing the detection rate with the existing works, we make use of KDD99 dataset as a common test bed.</t>
  </si>
  <si>
    <t>Page 6, Section C. CEP Module</t>
  </si>
  <si>
    <t>Proposed system achieves 99.046% accuracy using MCA.</t>
  </si>
  <si>
    <t>The maximum detection accuracy is obtained for α=1. The proposed method using CEP based Hybrid IDS is compared with existing works in table 5.</t>
  </si>
  <si>
    <t>Evaluation setup and datasets</t>
  </si>
  <si>
    <t>IV. IMPLEMENTATION and Section C. CEP Module</t>
  </si>
  <si>
    <t>Voice channels can be used as hidden communication for APT attacks.</t>
  </si>
  <si>
    <t>Voice call channels can be used for Advanced Persistent Threat (APT) which is one of the recent prevalent cyber attacks.</t>
  </si>
  <si>
    <t>9</t>
  </si>
  <si>
    <t>Highest performance using 4-FSK modulation.</t>
  </si>
  <si>
    <t>In Table 2, we show that the 4-FSK modulations overall performance is the highest in all three experiments.</t>
  </si>
  <si>
    <t>16</t>
  </si>
  <si>
    <t>3.3 Attack Scenario</t>
  </si>
  <si>
    <t>5.2 Performance &amp; 5.5.1 Denoising Images (Table 2 &amp; Table 3)</t>
  </si>
  <si>
    <t>Proposed architecture mitigates man-in-the-middle attacks</t>
  </si>
  <si>
    <t>instant messaging protocol should be compatible with the TLS protocol or analogical (similar) so that the encrypted communication is protected against man-in-the-middle attacks.</t>
  </si>
  <si>
    <t>Page 3, Section II. PROPOSED ARCHITECTURE</t>
  </si>
  <si>
    <t>Page 3, Section II</t>
  </si>
  <si>
    <t>Prevention of data leakage during cross-validation</t>
  </si>
  <si>
    <t>To prevent leakage, all preprocessing is conducted within each training fold</t>
  </si>
  <si>
    <t>Section 5.1</t>
  </si>
  <si>
    <t>Dataset artifacts causing artificially high performance</t>
  </si>
  <si>
    <t>The unusually high values of precision and recall (near 1.0) require critical consideration. These may be due to: i) well-separated class boundaries</t>
  </si>
  <si>
    <t>Section 5.2</t>
  </si>
  <si>
    <t>Abstract, Section 4.5, Section 5.1</t>
  </si>
  <si>
    <t>Using ITRC dataset</t>
  </si>
  <si>
    <t>We aim to add originality and value by sourcing data from the Identity Theft Resource Center (ITRC).</t>
  </si>
  <si>
    <t>Decontamination of confounding events</t>
  </si>
  <si>
    <t>After excluding... multiple breaches of the same firm within a single event window... FactSet was queried for firm news announcements within each... windows.</t>
  </si>
  <si>
    <t>7</t>
  </si>
  <si>
    <t>Metrics and Baselines_or_Comparators</t>
  </si>
  <si>
    <t>Section 4. Results</t>
  </si>
  <si>
    <t>Section 3. Hypotheses and methodology</t>
  </si>
  <si>
    <t>Critique of prior data leakage causing overstated results</t>
  </si>
  <si>
    <t>Recent studies have proposed deep learning-based intrusion detection systems (IDS), but data leakage... lead to overstated performance.</t>
  </si>
  <si>
    <t>Strict leakage-free testing setup</t>
  </si>
  <si>
    <t>we employed a stringent, leakage-free technique that included cross-vehicle testing, evaluation of undetected attacks, and time-window simulations</t>
  </si>
  <si>
    <t>Section 7 Conclusion, Page 22</t>
  </si>
  <si>
    <t>Temporal validation framework implementation</t>
  </si>
  <si>
    <t>The evaluation simulates real-world deployment through time-based segmentation (windowing), wherein CAN traffic is partitioned into fixed-length time intervals</t>
  </si>
  <si>
    <t>Section 6.5 Real-time evaluation, Page 18</t>
  </si>
  <si>
    <t>Split_Strategy and Leakage_Control_Method</t>
  </si>
  <si>
    <t>Section 5.2 Evaluation scenarios &amp; Section 6.5 Real-time evaluation</t>
  </si>
  <si>
    <t>Model comparisons and constraints</t>
  </si>
  <si>
    <t>Section 6.4 Generalisation across vehicles and unseen attack scenarios &amp; Section 6.6 Efficiency and deployment</t>
  </si>
  <si>
    <t>Temporal overlap in train-test split for stock dataset.</t>
  </si>
  <si>
    <t>For training purpose, data from period 2-Jan-2000 to 25-Apr-2016... and for testing purpose, data from period 2-Jan-2001 to 25-Apr-2016 is fetched</t>
  </si>
  <si>
    <t>4.1. Datasets</t>
  </si>
  <si>
    <t>Using misclassified instances to improve model performance on imbalanced streams.</t>
  </si>
  <si>
    <t>we are propagating the false positive and false negative observations of a classifier to subsequent classifier for improving the performance.</t>
  </si>
  <si>
    <t>3. Ensemble for Nonstationary Imbalanced Data Stream (ENSIDS)</t>
  </si>
  <si>
    <t>Split_Strategy / Temporal Leakage</t>
  </si>
  <si>
    <t>Sampling_Strategy / Hard_Negatives</t>
  </si>
  <si>
    <t>Proposed a hybrid approach combining static and dynamic analysis for detecting mobile threats.</t>
  </si>
  <si>
    <t>we propose a hybrid approach which aggregates the static and dynamic analysis for detecting security threat and attack in mobile app.</t>
  </si>
  <si>
    <t>Dynamic analysis utilizes symbolic execution to get API calling path.</t>
  </si>
  <si>
    <t>It is called symbolic execution, because the application is run to get the API calling path and no real attack will take place.</t>
  </si>
  <si>
    <t>Evaluation metrics and dataset</t>
  </si>
  <si>
    <t>Section V (HYBRID ANALYSIS IMPLEMENTATION) - No quantitative results reported.</t>
  </si>
  <si>
    <t>Split Strategy Validation</t>
  </si>
  <si>
    <t>We trained the classifier on the feature vectors from a random 90% of the benign apps. The remaining 10%... form test set.</t>
  </si>
  <si>
    <t>our algorithm implementation is available online at https://github.com/fpb1386/feature_selection</t>
  </si>
  <si>
    <t>Temporal generalization check (RQ6)</t>
  </si>
  <si>
    <t>Can benign apps of 2014 be still representative of nowadays 'normal' usage of sensitive data?</t>
  </si>
  <si>
    <t>11</t>
  </si>
  <si>
    <t>Section 5. Evaluations and Discussions (RQ3)</t>
  </si>
  <si>
    <t>Section 4.2. Evaluation Metrics</t>
  </si>
  <si>
    <t>Deduplication and data cleaning.</t>
  </si>
  <si>
    <t>the dataset is noisy and contains many duplicate hash and nan values. Therefore, we thoroughly cleaned the dataset</t>
  </si>
  <si>
    <t>4. Dataset, Page 3</t>
  </si>
  <si>
    <t>Data split ratio.</t>
  </si>
  <si>
    <t>the training set is 75% of the total data, and the validation set has 25% of the data.</t>
  </si>
  <si>
    <t>6. Methodology, Page 5</t>
  </si>
  <si>
    <t>Impact of noisy data on evaluation.</t>
  </si>
  <si>
    <t>Low performance is caused due to noisy data.</t>
  </si>
  <si>
    <t>7. Results, Page 6</t>
  </si>
  <si>
    <t>6. Methodology</t>
  </si>
  <si>
    <t>4. Conclusions / Table 4</t>
  </si>
  <si>
    <t>Pre-split feature selection causes data leakage.</t>
  </si>
  <si>
    <t>the evaluation pipeline selected features before cross-validation, introducing a feature-leakage problem.</t>
  </si>
  <si>
    <t>Page 3, Section 1 (INTRODUCTION)</t>
  </si>
  <si>
    <t>Pipeline integration eliminates leakage.</t>
  </si>
  <si>
    <t>integrated SelectKBest(mutual_info_classif) directly within a 5-fold Stratified K-Fold cross-validation... This design eliminates leakage</t>
  </si>
  <si>
    <t>Page 12, Section 3.2</t>
  </si>
  <si>
    <t>Temporal evaluation is missing and recommended for future work.</t>
  </si>
  <si>
    <t>Future work should integrate... longitudinal updates to address model drift and enhance detection resilience against adaptive malware.</t>
  </si>
  <si>
    <t>Page 16, Section 4 (CONCLUSION)</t>
  </si>
  <si>
    <t>Section 2.4.2 (Automated Select KBest with Mutual Information) and Section 3.2</t>
  </si>
  <si>
    <t>Section 2.5 (Data Preprocessing)</t>
  </si>
  <si>
    <t>Categorizes LLM risks into two frameworks.</t>
  </si>
  <si>
    <t>A key aspect of this survey is the categorization of risks into two primary frameworks: vulnerability-centric risks and threat-centric risks.</t>
  </si>
  <si>
    <t>1.1 Framework, Page 1</t>
  </si>
  <si>
    <t>Remaining gaps in current LLM mitigations for defense.</t>
  </si>
  <si>
    <t>While current mitigation strategies address many of these issues, gaps remain in scalability, real-time effectiveness, and adaptability to defense-specific needs.</t>
  </si>
  <si>
    <t>7. Conclusion, Page 6</t>
  </si>
  <si>
    <t>Title and Focus</t>
  </si>
  <si>
    <t>The classic random split introduces bias due to correlated data.</t>
  </si>
  <si>
    <t>The classic evaluation procedure that randomly splits users’ flows between training and testing sets is not recommended... this procedure is biased by seeing correlated data</t>
  </si>
  <si>
    <t>15</t>
  </si>
  <si>
    <t>The authors propose an IP-based evaluation procedure.</t>
  </si>
  <si>
    <t>splitting the datasets into train and test sub-data using the distribution of malicious flows per attacker and the type of attacks.</t>
  </si>
  <si>
    <t>15-16</t>
  </si>
  <si>
    <t>5 Evaluation Procedure (Page 15)</t>
  </si>
  <si>
    <t>6.3 Results (Page 19)</t>
  </si>
  <si>
    <t>The model uses an 80:20 split for training and validation.</t>
  </si>
  <si>
    <t>Class imbalance is handled by random oversampling.</t>
  </si>
  <si>
    <t>Additionally, class imbalance in certain datasets was handled by applying the RandomOverSampler method from the imbalanced-learn library</t>
  </si>
  <si>
    <t>Page 4, Proposed model architecture section</t>
  </si>
  <si>
    <t>Dataset description / Page 3</t>
  </si>
  <si>
    <t>Proposed model architecture / Page 4</t>
  </si>
  <si>
    <t>10-fold cross validation strategy</t>
  </si>
  <si>
    <t>A ten-fold cross-validation was performed to evaluate the performance of the four classifiers</t>
  </si>
  <si>
    <t>6.2.1 Execution</t>
  </si>
  <si>
    <t>Dataset origins and assumption</t>
  </si>
  <si>
    <t>malicious samples are collected from VirusShare... benign samples... were collected from a popular Chinese android application market</t>
  </si>
  <si>
    <t>6.1 Goals and experiment design</t>
  </si>
  <si>
    <t>Graph used for extracting feature vector (counts)</t>
  </si>
  <si>
    <t>construct a call graph... construct a call graph to describe the control flow of an app... count the call numbers of dataflow related API in each component.</t>
  </si>
  <si>
    <t>4.2 Feature vector extraction / 5. Classifier construction</t>
  </si>
  <si>
    <t>Evaluation setup</t>
  </si>
  <si>
    <t>Classification Strategy</t>
  </si>
  <si>
    <t>The paper is a comparative literature review, not an empirical experimental study.</t>
  </si>
  <si>
    <t>This literature review aims to explore various AI techniques for solving security hazards in BYOD...</t>
  </si>
  <si>
    <t>Page 2, Section II. B. AI Techniques</t>
  </si>
  <si>
    <t>Need for further research to improve accuracy and integration of AI in BYOD.</t>
  </si>
  <si>
    <t>Further research and development are required to enhance the accuracy, integration, and effectiveness of these techniques...</t>
  </si>
  <si>
    <t>Page 4, Section IV. CONCLUSION</t>
  </si>
  <si>
    <t>Paper Classification / Methodology</t>
  </si>
  <si>
    <t>The CVSS metric was adapted to measure the severity of the exploits.</t>
  </si>
  <si>
    <t>To measure each participant submission, we use the 'attack score' based on the MITRE Common Vulnerability Scoring System (CVSS).</t>
  </si>
  <si>
    <t>Page 7, Section 3.3.3</t>
  </si>
  <si>
    <t>The evaluation has limitations regarding the test environment.</t>
  </si>
  <si>
    <t>The limitation of our study is that we only assessed single infotainment OS. Also, we did not utilize a real car.</t>
  </si>
  <si>
    <t>Page 12, Section 6.2</t>
  </si>
  <si>
    <t>Section 6.2 Limitation</t>
  </si>
  <si>
    <t>Section 3.3.3 Attack Score</t>
  </si>
  <si>
    <t>AI detection success rate</t>
  </si>
  <si>
    <t>AI-driven anomaly detection achieved a 95% accuracy rate in identifying unauthorized access attempts</t>
  </si>
  <si>
    <t>7.7. Results and Analysis of Experiments</t>
  </si>
  <si>
    <t>ECC latency benefit</t>
  </si>
  <si>
    <t>7.4. User Experience Survey and Quantitative Analysis</t>
  </si>
  <si>
    <t>7.6. Metrics for Assessing Effectiveness</t>
  </si>
  <si>
    <t>8.3. Future Research Directions</t>
  </si>
  <si>
    <t>The evaluation utilized a purely random split strategy into three subsets.</t>
  </si>
  <si>
    <t>The total dataset was divided into 3 subsets randomly and for each classification the detection rate, its accuracy and false positives were shown</t>
  </si>
  <si>
    <t>Page 4, Section V. RESULTS AND DISCUSSION</t>
  </si>
  <si>
    <t>The approach suffers significantly when encountering code obfuscation.</t>
  </si>
  <si>
    <t>We observed the subset of malwares with the encoded code gave an accuracy of less than 60%.</t>
  </si>
  <si>
    <t>Page 4, Section VI. CONCLUSION AND FUTURE WORK</t>
  </si>
  <si>
    <t>The dataset is well-balanced containing equal amounts of benign and malicious executables.</t>
  </si>
  <si>
    <t>dataset consists of a total of 2570 files, out of which 1285 are benign files and 1285 are malicious files.</t>
  </si>
  <si>
    <t>Page 4, Section IV. DATASETS</t>
  </si>
  <si>
    <t>V. RESULTS AND DISCUSSION</t>
  </si>
  <si>
    <t>IV. DATASETS</t>
  </si>
  <si>
    <t>Evaluating Threshold without predefined splits</t>
  </si>
  <si>
    <t>We heuristically compute a detection threshold (y) from the minimum AHR by fitting a polynomial of degree 3 between the two curves...</t>
  </si>
  <si>
    <t>Page 3, Section IV.B Results</t>
  </si>
  <si>
    <t>Vulnerability to large transmission intervals</t>
  </si>
  <si>
    <t>AHR cannot distinguish the tunneling traffic when the tunneling query transmission interval is large; this is a vulnerability of AHR.</t>
  </si>
  <si>
    <t>False alarm possibility due to unobserved regular web traffic</t>
  </si>
  <si>
    <t>A naive filter derived from AHR (and also CHR) might give a false alarm for this kind of new web access.</t>
  </si>
  <si>
    <t>Page 4, Section V. DISCUSSION</t>
  </si>
  <si>
    <t>Metrics and Splits</t>
  </si>
  <si>
    <t>Section IV. EXPERIMENTS</t>
  </si>
  <si>
    <t>Section V. DISCUSSION</t>
  </si>
  <si>
    <t>Dataset Generation and Availability</t>
  </si>
  <si>
    <t>Due to non-availability of military dataset consisting of sensitive data, we generated our training dataset manually.</t>
  </si>
  <si>
    <t>4 IMPLEMENTATION AND DEPLOYMENT</t>
  </si>
  <si>
    <t>It consists of 1205 sentences which contain 599 sensitive and 606 normal sentences.</t>
  </si>
  <si>
    <t>The observations from offline tests on the BERT model indicate that the model performed the task with 99.67% accuracy.</t>
  </si>
  <si>
    <t>5.1 Offline Tests on BERT Classifier</t>
  </si>
  <si>
    <t>5 RESULTS AND ANALYSIS</t>
  </si>
  <si>
    <t>The dataset consists of 500 malware and 500 benign samples.</t>
  </si>
  <si>
    <t>500 malware and 500 benign samples were used in evaluation.</t>
  </si>
  <si>
    <t>Section 4.1. Feature extraction and analysis, Page 4-5</t>
  </si>
  <si>
    <t>Proposed method reduces computational cost and improves accuracy over the baseline.</t>
  </si>
  <si>
    <t>our proposed method could reduce computational cost by 56.57%, while improving accuracy by 5%.</t>
  </si>
  <si>
    <t>Section 4.2. Performance analysis, Page 6</t>
  </si>
  <si>
    <t>Future work will aim to automate the selection of temporal patterns.</t>
  </si>
  <si>
    <t>Our future work will focus on coming up with an algorithm which could automatically select the TPs that generate the best result</t>
  </si>
  <si>
    <t>Section 5. Conclusion, Page 7</t>
  </si>
  <si>
    <t>Evaluation Datasets and Splits</t>
  </si>
  <si>
    <t>Section 4.1. Feature extraction and analysis</t>
  </si>
  <si>
    <t>Future Works</t>
  </si>
  <si>
    <t>Section 5. Conclusion</t>
  </si>
  <si>
    <t>Proposed Algorithm Method</t>
  </si>
  <si>
    <t>Dynamic Multiple Clouds Cryptographic Algorithm (DMCCA) is an encryption algorithm. This algorithm is a combination of RSA and Blow Fish algorithms.</t>
  </si>
  <si>
    <t>Finally, for future work, our aim to supply dynamic secure cloud database and improves different clouds storage capacity in all remote areas.</t>
  </si>
  <si>
    <t>Page 5, IV. RESULTS AND DISCUSSION (Tables 4.3.1, 4.3.2)</t>
  </si>
  <si>
    <t>Evaluation dataset is KDD'99.</t>
  </si>
  <si>
    <t>KDD’99 is considered as a standard benchmark dataset for network intrusion detection.</t>
  </si>
  <si>
    <t>Utilized cross-validation for evaluation.</t>
  </si>
  <si>
    <t>all the experiments were done under the 5-class classification, and 5-fold cross-validation was utilized to reduce the risk of overfitting.</t>
  </si>
  <si>
    <t>Evaluation setup and Cross Validation</t>
  </si>
  <si>
    <t>Section 4.3 Evaluation Results</t>
  </si>
  <si>
    <t>Section 4.1 Dataset chosen</t>
  </si>
  <si>
    <t>AI can help identify zero-day threats in real-time.</t>
  </si>
  <si>
    <t>demonstrating the identification of zero-day threats within 2 minutes of attack commencement.</t>
  </si>
  <si>
    <t>Adversarial ML poses a threat to AI-powered security systems.</t>
  </si>
  <si>
    <t>adversarial strategies could also be deployed on the monitoring and defense side of the security ecosystem</t>
  </si>
  <si>
    <t>Evaluation specifics (Datasets, Splits, Metrics)</t>
  </si>
  <si>
    <t>Entire paper (Conceptual/Survey format)</t>
  </si>
  <si>
    <t>PMPGuard has lower overhead compared to state-of-the-art TMR techniques.</t>
  </si>
  <si>
    <t>our proposed system incurs about 2× area and 1.5× power overheads without any adverse impact on throughput.</t>
  </si>
  <si>
    <t>Evaluated on SPEC and MEDIA benchmark suites via simulation.</t>
  </si>
  <si>
    <t>These applications are from SPEC2006 [16] and MEDIA Bench II [13] benchmark suites.</t>
  </si>
  <si>
    <t>5 EXPERIMENTAL SETUP AND RESULTS</t>
  </si>
  <si>
    <t>Threat model and task</t>
  </si>
  <si>
    <t>2 PMPGUARD THREAT MODEL AND ASSUMPTIONS</t>
  </si>
  <si>
    <t>The dataset used is BoT-IoT.</t>
  </si>
  <si>
    <t>The dataset used in the experiment is the BoT-IoT dataset [16].</t>
  </si>
  <si>
    <t>Page 3, Section IV. EVALUATION AND ANALYSIS</t>
  </si>
  <si>
    <t>Privacy leakage is reduced significantly with negligible accuracy cost.</t>
  </si>
  <si>
    <t>we prevent personal information leakage by approximately 10%, with only a negligible average accuracy decrease of 0.55%</t>
  </si>
  <si>
    <t>Page 1, Section I. INTRODUCTION</t>
  </si>
  <si>
    <t>Future work will explore automated metrics for privacy feature sets.</t>
  </si>
  <si>
    <t>we plan to study a feature set that can minimize information leakage by defining an automated metric.</t>
  </si>
  <si>
    <t>Page 5, Section V. CONCLUSION</t>
  </si>
  <si>
    <t>Section IV. EVALUATION AND ANALYSIS</t>
  </si>
  <si>
    <t>Section V. CONCLUSION</t>
  </si>
  <si>
    <t>The ratio of training and test sets is 9:1.</t>
  </si>
  <si>
    <t>Page 5, Section 3.1.3 Dataset Parameters</t>
  </si>
  <si>
    <t>Sampling via sliding window</t>
  </si>
  <si>
    <t>We use a sliding window of 32 or 64 IPDs for comparison.</t>
  </si>
  <si>
    <t>Page 6, Section 4.3 Existing IPD Image Processing Methods</t>
  </si>
  <si>
    <t>Discussion of data leakage</t>
  </si>
  <si>
    <t>Such a large detection window has high requirements for the dataset and is easily exploited for small-size data leakage.</t>
  </si>
  <si>
    <t>Section 3.1.3 Dataset Parameters</t>
  </si>
  <si>
    <t>Section 4.3 Existing IPD Image Processing Methods</t>
  </si>
  <si>
    <t>The study uses Saaty's priority rating scale (AHP) instead of ML methods.</t>
  </si>
  <si>
    <t>the authors first tested the Saaty’s [23], priority rating scale, based on the decomposition of a complex problem</t>
  </si>
  <si>
    <t>The data is derived from a single enterprise survey.</t>
  </si>
  <si>
    <t>in the process of research, a survey of enterprise N was conducted and the priority rating scale was applied.</t>
  </si>
  <si>
    <t>Page 7, Section 3</t>
  </si>
  <si>
    <t>Abstract, Materials and Methods</t>
  </si>
  <si>
    <t>Section 3. Results and Discussion</t>
  </si>
  <si>
    <t>Tested on 20 applications without details on standard dataset.</t>
  </si>
  <si>
    <t>We totally analyzed 20 applications with the help of the mechanism, and in this paper we just present the detailed analysis process</t>
  </si>
  <si>
    <t>4 System Test</t>
  </si>
  <si>
    <t>High false positives and accuracy issues noted.</t>
  </si>
  <si>
    <t>there are some problems in the system, such as low efficiency and accuracy, false positives and false negatives</t>
  </si>
  <si>
    <t>5 Conclusion and Prospect</t>
  </si>
  <si>
    <t>The evaluation uses a temporal split based on chronological days.</t>
  </si>
  <si>
    <t>The initial access entries were created using the data of the first 24 days... calculate AMC for each DNS query... remaining seven days.</t>
  </si>
  <si>
    <t>Page 9, Section VI. A.</t>
  </si>
  <si>
    <t>The model utilizes a client-aware training strategy.</t>
  </si>
  <si>
    <t>The LSTM was trained on a client-by-client basis, and the state of the model was reset every time the client was switched.</t>
  </si>
  <si>
    <t>Page 10, Section VI. A.</t>
  </si>
  <si>
    <t>Learning_Setup and Split_Strategy</t>
  </si>
  <si>
    <t>Section V. Filters Based on Cache-Property-Aware Features Against DNS Tunneling and Section VI. Evaluation of Filters</t>
  </si>
  <si>
    <t>Removing redundant features to prevent data leakage.</t>
  </si>
  <si>
    <t>4 (Dataset overview and preprocessing)</t>
  </si>
  <si>
    <t>Data splitting strategy relies on an 80-20 ratio.</t>
  </si>
  <si>
    <t>9 (Model training strategy)</t>
  </si>
  <si>
    <t>Future work will include XAI and federated learning.</t>
  </si>
  <si>
    <t>In future, we will apply federated and edge computing settings... incorporating online learning and explainable AI (XAI) techniques</t>
  </si>
  <si>
    <t>12-13 (Conclusion and future work)</t>
  </si>
  <si>
    <t>Evaluation splits and Data partition</t>
  </si>
  <si>
    <t>Model training strategy / Results and analysis</t>
  </si>
  <si>
    <t>Architecture Details</t>
  </si>
  <si>
    <t>ASTRID-Net architecture</t>
  </si>
  <si>
    <t>Future research direction focuses on human capital motivation.</t>
  </si>
  <si>
    <t>The prospects for further research in this area can include research into the impact of personal motivation of human capital</t>
  </si>
  <si>
    <t>Page 20 / Conclusion</t>
  </si>
  <si>
    <t>Conclusion</t>
  </si>
  <si>
    <t>Knowledge Graph usage for attack chain identification</t>
  </si>
  <si>
    <t>By combining malicious code protection technology and knowledge graph technology, an "attack scenario" based attack chain identification module was developed</t>
  </si>
  <si>
    <t>Page 5, Section III.C.3</t>
  </si>
  <si>
    <t>Gap statement for future research</t>
  </si>
  <si>
    <t>Page 6, Section IV. CONCLUSION</t>
  </si>
  <si>
    <t>Evaluation and Datasets</t>
  </si>
  <si>
    <t>Throughout the paper (Missing)</t>
  </si>
  <si>
    <t>Paper objective is a comprehensive overview, not an empirical study.</t>
  </si>
  <si>
    <t>The primary objective of this paper is to provide a comprehensive overview of the role of Artificial Intelligence (AI) in enhancing security...</t>
  </si>
  <si>
    <t>The term 'Data Leakage' is discussed as a social network privacy threat, not an ML train-test evaluation flaw.</t>
  </si>
  <si>
    <t>Data leakage is a significant issue within the landscape of mobile social networks... refers to the unauthorized transfer of information</t>
  </si>
  <si>
    <t>Page 4, Section V-A</t>
  </si>
  <si>
    <t>Study Type and Scope</t>
  </si>
  <si>
    <t>Abstract and Section II (OBJECTIVE AND SCOPE OF THE PAPER)</t>
  </si>
  <si>
    <t>SED vulnerability allows a revoked user full access to newly encrypted files.</t>
  </si>
  <si>
    <t>the vulnerability discovered on SED multi-user (Figure 1) permits full access in files even after PGP key was revoked by administrator user.</t>
  </si>
  <si>
    <t>5</t>
  </si>
  <si>
    <t>2 Method / 3 Attack Scenario</t>
  </si>
  <si>
    <t>Using 10-fold cross-validation for the experiment.</t>
  </si>
  <si>
    <t>We use 10-fold cross validation in the experiment.</t>
  </si>
  <si>
    <t>Small imbalanced dataset ratio for training.</t>
  </si>
  <si>
    <t>So 10 sessions are obtained for 10 different RATs. 160 normal sessions for 10 different normal applications are applied for training.</t>
  </si>
  <si>
    <t>Features are extracted from the first 20 packets.</t>
  </si>
  <si>
    <t>The first twenty packets mean the one that starts from SYN to the twentieth packet without considering packet interval time</t>
  </si>
  <si>
    <t>Evaluation Metric Setup and Splitting</t>
  </si>
  <si>
    <t>Section 5. EXPERIMENT AND RESULTS</t>
  </si>
  <si>
    <t>Feature Engineering</t>
  </si>
  <si>
    <t>Section 4.1 Feature Extraction Phase</t>
  </si>
  <si>
    <t>APT attacks account for a significant portion of medical facility attacks.</t>
  </si>
  <si>
    <t>10% of attacks on medical facilities are APT attacks [1].</t>
  </si>
  <si>
    <t>The authors created a new systematization framework for MCPS.</t>
  </si>
  <si>
    <t>The selected attributes for classification are: the impact of an attack; the level of the cyber-physical system; methods of attack; CIA; the execution...</t>
  </si>
  <si>
    <t>Section IV. Systematization of Attacks on Medical CPS / Table I</t>
  </si>
  <si>
    <t>Future extension to other OS and devices</t>
  </si>
  <si>
    <t>There is still a need for further experimentation to keep the integrity of digital evidences across different OSes and various devices.</t>
  </si>
  <si>
    <t>Page 6, VI. FUTURE RESEARCH</t>
  </si>
  <si>
    <t>Type of tools in the toolkit</t>
  </si>
  <si>
    <t>To have a simple and easy way in collecting batch information, this study presents a malware forensic toolkit in CLI tools.</t>
  </si>
  <si>
    <t>Page 5, V.B. Command Line Interface in Malware Forensic Toolkit</t>
  </si>
  <si>
    <t>Using pre-split 10% of UNSW-NB15 dataset</t>
  </si>
  <si>
    <t>we use a 10% cleaned dataset of UNSW-NB15, which includes a training set of 175,341 records and a test set of 82,332 records.</t>
  </si>
  <si>
    <t>Section III.A, Page 3</t>
  </si>
  <si>
    <t>Evaluation metrics used</t>
  </si>
  <si>
    <t>the performance metrics used for comparison include recall (R), precision (P), F1-score, training time and inference time</t>
  </si>
  <si>
    <t>Section IV, Page 4</t>
  </si>
  <si>
    <t>Section III. OVERVIEW OF UNSW-NB15 DATASET</t>
  </si>
  <si>
    <t>Experimental Setup and Metrics</t>
  </si>
  <si>
    <t>Section IV. EXPERIMENTAL RESULTS AND DISCUSSION</t>
  </si>
  <si>
    <t>Evaluated using 10-fold Cross-validation</t>
  </si>
  <si>
    <t>We evaluate our systems based on 10-fold cross-validation using an i5-8350U computer with 16Go RAM.</t>
  </si>
  <si>
    <t>Awareness of bias from redundant records</t>
  </si>
  <si>
    <t>the new NSL KDD dataset solved several serious problems, in which it eliminates about 77 of redundant records.</t>
  </si>
  <si>
    <t>Spatial split for anomaly evaluation</t>
  </si>
  <si>
    <t>For the temperature dataset, we split the first room values for training and the second one for the testing.</t>
  </si>
  <si>
    <t>Evaluation Split</t>
  </si>
  <si>
    <t>IV. AI-BASED REACTION AGENT IMPLEMENTATION AND PERFORMANCE EVALUATION</t>
  </si>
  <si>
    <t>IV. A. NETWORK PATTERNS ANALYSIS &amp; IV. B. ANOMALY-BASED INTRUSION DETECTION</t>
  </si>
  <si>
    <t>The paper uses a game theory approach rather than a data-driven ML methodology.</t>
  </si>
  <si>
    <t>we propose a game theoretic approach to study the strategic behavior of the attacker and derive the optimal two-step decisions</t>
  </si>
  <si>
    <t>Page 2, Section I. INTRODUCTION</t>
  </si>
  <si>
    <t>The evaluation relies purely on numerical simulations without empirical datasets.</t>
  </si>
  <si>
    <t>Numerical simulation results have been provided to illustrate the CSP's optimal two-step decisions under different system scenarios and configurations.</t>
  </si>
  <si>
    <t>Page 6, Section VI. CONCLUSION</t>
  </si>
  <si>
    <t>Section V. SIMULATION RESULTS AND ANALYSIS</t>
  </si>
  <si>
    <t>Hardware baseline used for evaluation</t>
  </si>
  <si>
    <t>For this study, we implement a 2.5D OpenPiton system comprising of two logic chiplets and two memory chiplets.</t>
  </si>
  <si>
    <t>Page 8, V. RESULTS AND EVALUATION, A. Baseline 2.5D HI Design</t>
  </si>
  <si>
    <t>Equivalent security of distributed scramblers</t>
  </si>
  <si>
    <t>Therefore, the security levels remain equivalent to that of a centralized scrambler.</t>
  </si>
  <si>
    <t>Page 8, IV. DISTRIBUTED SCRAMBLERS FOR MULTICHIPLET INTERCONNECT OBFUSCATION, B. Security Properties</t>
  </si>
  <si>
    <t>While this work focuses on passive interposer implementation, we plan to work on active interposers as part of future work.</t>
  </si>
  <si>
    <t>Page 11, V. RESULTS AND EVALUATION, D. Impact on Timing and Signal Integrity</t>
  </si>
  <si>
    <t>V. RESULTS AND EVALUATION</t>
  </si>
  <si>
    <t>III. DYNAMIC INTERCONNECT OBFUSCATION, A. Need for Interconnect Obfuscation</t>
  </si>
  <si>
    <t>Systems face difficulties generalizing to real-world scenarios due to variations between limited experimental data and real-time environments.</t>
  </si>
  <si>
    <t>The performance of the intrusion detection systems has resulted with viable variations while it is tested on limited data and real-time time.</t>
  </si>
  <si>
    <t>Section IV. RESEARCH GAPS AND CHALLENGES</t>
  </si>
  <si>
    <t>Future systems need optimization-based semi-supervised learning to adapt to real-world data and novel attacks.</t>
  </si>
  <si>
    <t>optimization-based semi-supervised approach must be needed... has the ability to recognize new kinds of malicious attacks as well as testing on real-data.</t>
  </si>
  <si>
    <t>Section IV / Section V</t>
  </si>
  <si>
    <t>Section vi) Analysis on Performance Measures, and its maximum</t>
  </si>
  <si>
    <t>Evaluation methodology uses randomly selected days for anomaly injection.</t>
  </si>
  <si>
    <t>To determine the static threshold value, anomalous events have been inserted into six random days in the dataset</t>
  </si>
  <si>
    <t>Reduction in model training time compared to baseline.</t>
  </si>
  <si>
    <t>The times taken for training are 90379.68 seconds and 116661.7 seconds, respectively. There is an improvement of 22.5%.</t>
  </si>
  <si>
    <t>Page 5, Section V-C</t>
  </si>
  <si>
    <t>Drawback of the baseline dynamic threshold approach.</t>
  </si>
  <si>
    <t>this calculation will result in inappropriate threshold values under high anomalous event conditions.</t>
  </si>
  <si>
    <t>Evaluation splits and sampling</t>
  </si>
  <si>
    <t>Section IV. System Design, and V. Experimental Results</t>
  </si>
  <si>
    <t>Model parameters and architecture</t>
  </si>
  <si>
    <t>Section IV. System Design</t>
  </si>
  <si>
    <t>We address the threat of a hacker or malicious insider extracting sensitive information from the internal network.</t>
  </si>
  <si>
    <t>Storage volume reduction performance</t>
  </si>
  <si>
    <t>reduces the total HTTP volume required for archival by 99.8%, or by 90.9% to 93.9% of the outbound traffic</t>
  </si>
  <si>
    <t>Page 3, Section 1</t>
  </si>
  <si>
    <t>Metrics and Primary_Metric</t>
  </si>
  <si>
    <t>Section 2. SETUP AND FORENSIC USE CASES</t>
  </si>
  <si>
    <t>Sampling Strategy was Quota Sampling</t>
  </si>
  <si>
    <t>quota sampling based on gender, age, education, and income distribution of the internet user population in each country was used.</t>
  </si>
  <si>
    <t>Evaluation relies on cross-sectional self-reported data.</t>
  </si>
  <si>
    <t>with cross-sectional survey data, we are not able to ascertain the causal directions... survey data can only investigate self-reported instead of actual behaviors.</t>
  </si>
  <si>
    <t>3.1. Data</t>
  </si>
  <si>
    <t>5.0. Discussion and Conclusion</t>
  </si>
  <si>
    <t>Lack of structured models for DLP maturity</t>
  </si>
  <si>
    <t>a conspicuous gap is evident in the literature: the lack of a structured DLP maturity model.</t>
  </si>
  <si>
    <t>2.1. Problem</t>
  </si>
  <si>
    <t>Future exploration of LLMs for DLP</t>
  </si>
  <si>
    <t>significant opportunity for future exploration into the potential of large language models (LLMs) to revolutionize DLP strategies in dynamic business contexts.</t>
  </si>
  <si>
    <t>2.2.4. Impact of Large Language Models on DLP and Future Trends</t>
  </si>
  <si>
    <t>Objective of the study</t>
  </si>
  <si>
    <t>By developing a DLP Maturity Model, adapted from the renowned C2M2 framework, this research provides a comprehensive tool for assessing organizational DLP capabilities</t>
  </si>
  <si>
    <t>Focus on corporate DLP policy rather than ML algorithm</t>
  </si>
  <si>
    <t>2.1. Problem &amp; 3. Results</t>
  </si>
  <si>
    <t>Evaluated on Transposition, sentence structure alteration, modification, obfuscation attacks.</t>
  </si>
  <si>
    <t>Transposition, sentence structure alteration, modification, obfuscation attacks are taken into consideration within the scope of paper.</t>
  </si>
  <si>
    <t>The dataset is split 70% train and 30% test.</t>
  </si>
  <si>
    <t>Daha sonrasında ise %70 eğitim %30 test olacak şekilde ikiye ayrılmıştır</t>
  </si>
  <si>
    <t>Page 8, Section 4.1</t>
  </si>
  <si>
    <t>Section 4.1 Test Veri Kümeleri</t>
  </si>
  <si>
    <t>Section 3. YAKLAŞIM (PROPOSED METHOD)</t>
  </si>
  <si>
    <t>80/20 Random Split Strategy Used</t>
  </si>
  <si>
    <t>The combined dataset was balanced with a 1: 1 ratio of benign to phishing samples and split into 80/20 training and testing partitions.</t>
  </si>
  <si>
    <t>Page 8, Section IV.B</t>
  </si>
  <si>
    <t>Deduplication performed in preprocessing</t>
  </si>
  <si>
    <t>The content of the text is purged by eliminating duplicates, special characters, and other misplaced formatting.</t>
  </si>
  <si>
    <t>Page 4, Section III.B</t>
  </si>
  <si>
    <t>IV. IMPLEMENTATION AND EVALUATION -&gt; A. Experimental Setup and Datasets</t>
  </si>
  <si>
    <t>IV. IMPLEMENTATION AND EVALUATION -&gt; B. Evaluation Metrics</t>
  </si>
  <si>
    <t>Dataset is divided using a 70/15/15 ratio.</t>
  </si>
  <si>
    <t>70/15/15 train/val/test; non-IID shards per device (Dirichlet α=0.3)</t>
  </si>
  <si>
    <t>Page 7, Table 3</t>
  </si>
  <si>
    <t>Data preprocessing uses sliding windows.</t>
  </si>
  <si>
    <t>Min–Max scaling, 5 s sliding windows (2.5 s stride), categorical→one-hot</t>
  </si>
  <si>
    <t>The dataset may lack realistic traffic variability.</t>
  </si>
  <si>
    <t>dataset that is not representative of the variability of a realistic traffic in the first place... adversarial behaviours... would be underrepresented.</t>
  </si>
  <si>
    <t>Page 17, Section 6.1</t>
  </si>
  <si>
    <t>Table 3. Common environment &amp; datasets</t>
  </si>
  <si>
    <t>Section 6.1 Discussion</t>
  </si>
  <si>
    <t>Split sizes for UNSW-NB15 dataset</t>
  </si>
  <si>
    <t>includes a training set of 175,341 records and a test set of 82,332 records.</t>
  </si>
  <si>
    <t>Feature selection vs feature extraction overall performance trend</t>
  </si>
  <si>
    <t>feature selection generally achieves higher detection accuracy and requires less training and inference times when the number of reduced features K is large enough</t>
  </si>
  <si>
    <t>Dataset and Evaluation Setup</t>
  </si>
  <si>
    <t>Data splitting method</t>
  </si>
  <si>
    <t>Typically, when you separate a data set into a training set and testing set, most of the data is used for training...</t>
  </si>
  <si>
    <t>Primary result</t>
  </si>
  <si>
    <t>The results show that the proposed LSTM-based approach outperforms traditional machine learning techniques in terms of accuracy and F1 score which is 99%</t>
  </si>
  <si>
    <t>Data source used</t>
  </si>
  <si>
    <t>Malware Dataset were used to achieve the objective of this study which is available online at (https://github.com/anchal27sri/Intrusion-Detection-with-machine-Learning/find/master).</t>
  </si>
  <si>
    <t>3.7 K-Means Clustering / Data splitting table</t>
  </si>
  <si>
    <t>6. Recommendation</t>
  </si>
  <si>
    <t>Feature leakage via feature selection before split in prior works</t>
  </si>
  <si>
    <t>3</t>
  </si>
  <si>
    <t>Proposed control for data leakage</t>
  </si>
  <si>
    <t>Feature selection is confined to training subsets within each fold, ensuring the test data remain unseen throughout optimisation.</t>
  </si>
  <si>
    <t>Limitations regarding generalisation to evolving threats</t>
  </si>
  <si>
    <t>limited by its reliance on static permission features... which may restrict generalisation to evolving malware families.</t>
  </si>
  <si>
    <t>2.4.2 Automated Select KBest with Mutual Information</t>
  </si>
  <si>
    <t>4. CONCLUSION</t>
  </si>
  <si>
    <t>TROP reduces packet re-transmissions significantly compared to baselines.</t>
  </si>
  <si>
    <t>While considering the re-transmission count, on average, there is a 57% reduction when compared with HTWOT and 32% on average with the state-of-the-art.</t>
  </si>
  <si>
    <t>8.1 Performance Analysis</t>
  </si>
  <si>
    <t>TROP incurs minimal hardware overhead.</t>
  </si>
  <si>
    <t>We can see that TROP module incurs an additional 4.5% area and 6% power than a baseline router in NHT.</t>
  </si>
  <si>
    <t>8.5 Overhead Analysis</t>
  </si>
  <si>
    <t>Evaluation metrics and setup</t>
  </si>
  <si>
    <t>7 EXPERIMENTAL SETUP AND WORKLOADS / 8 EXPERIMENTAL ANALYSIS</t>
  </si>
  <si>
    <t>DFA-AOKGE was evaluated via simulation and outperformed baselines.</t>
  </si>
  <si>
    <t>Through sequential simulations, DFA-AOKGE proves to offer better performance than current methods</t>
  </si>
  <si>
    <t>Page 2, Section I (Introduction / related paragraph)</t>
  </si>
  <si>
    <t>The baselines used for comparison are AES and ECC based forensics.</t>
  </si>
  <si>
    <t>outperforms conventional forensic methods, which includes AES-primarily based totally and ECC- primarily based totally forensics</t>
  </si>
  <si>
    <t>Page 5, Section IV. RESULTS AND DISCUSSION</t>
  </si>
  <si>
    <t>Page 6, Fig 2: Cloud Forensics Encryption Method Comparison</t>
  </si>
  <si>
    <t>Evaluation setup (Simulations)</t>
  </si>
  <si>
    <t>Page 2, Introduction / Architecture Overview</t>
  </si>
  <si>
    <t>Evaluation split uses cross-validation with an 8:2 ratio.</t>
  </si>
  <si>
    <t>5 (Section V.B)</t>
  </si>
  <si>
    <t>The base model used is a standard MLP.</t>
  </si>
  <si>
    <t>Considering the client’s performance issue, we chose the basic Multi-Layer Perceptron (MLP) model.</t>
  </si>
  <si>
    <t>The system processes features as a 215-dimensional vector, not as a graph.</t>
  </si>
  <si>
    <t>We utilize the 215-dimensional features extracted from the Drebin... These features include permissions, sensitive API calls, component information</t>
  </si>
  <si>
    <t>5 (Section V.A)</t>
  </si>
  <si>
    <t>V. EXPERIMENTAL DESIGN &gt; B. Experimental Configuration</t>
  </si>
  <si>
    <t>V. EXPERIMENTAL DESIGN &gt; A. Dataset</t>
  </si>
  <si>
    <t>High success rate of physical penetration tests.</t>
  </si>
  <si>
    <t>The attacks demonstrated a high success rate, estimated to be approximately 85-90%, with each breach typically taking several minutes to under an hour to complete.</t>
  </si>
  <si>
    <t>Page 4, Section III.D Experiment and Result</t>
  </si>
  <si>
    <t>No graph or ML mechanism, focusing on direct exploits.</t>
  </si>
  <si>
    <t>Our empirical approach involved simulating various attacks, such as brute force logins, firmware exploitation, and mobile application data leakage... using compromised TP-Link adapters.</t>
  </si>
  <si>
    <t>Section III.D Experiment and Result</t>
  </si>
  <si>
    <t>Abstract and Section III. Methodology</t>
  </si>
  <si>
    <t>Testbed environment consists of small number of machines</t>
  </si>
  <si>
    <t>Testing was performed on a virtualized network consisting of two sub-networks... only three out of the eight machines were involved:</t>
  </si>
  <si>
    <t>Page 8, Section V.B</t>
  </si>
  <si>
    <t>Graph modeling limitations regarding real-time dynamic behavior</t>
  </si>
  <si>
    <t>inability of the iIRS to target the specific port on which the bot communicates.</t>
  </si>
  <si>
    <t>Page 8, Section V.D</t>
  </si>
  <si>
    <t>Section V.A</t>
  </si>
  <si>
    <t>Section V.B and V.C</t>
  </si>
  <si>
    <t>การจำลอง APT ดำเนินการโดยใช้ RAT ในเครื่องจำลอง</t>
  </si>
  <si>
    <t>The Advanced Persistent Threat (APT) simulation using a Remote Access Trojan (RAT) was coded and run in a VirtualBox virtual machine</t>
  </si>
  <si>
    <t>Task_Type, Dataset_Used</t>
  </si>
  <si>
    <t>Abstract, Methodology</t>
  </si>
  <si>
    <t>Lack of standardized benchmarks complicates evaluating AI in SOC operations.</t>
  </si>
  <si>
    <t>This lack of standardized benchmarks complicates cross-study comparisons and may obscure subtle trade-offs between precision, transparency, and runtime performance.</t>
  </si>
  <si>
    <t>19</t>
  </si>
  <si>
    <t>Simulated environments fail to capture real-world operational challenges.</t>
  </si>
  <si>
    <t>These conditions often lack the volatility, noise, and ambiguity present in real-world deployments.</t>
  </si>
  <si>
    <t>7. Threats to Validity</t>
  </si>
  <si>
    <t>Datasets and Evaluation Metrics</t>
  </si>
  <si>
    <t>Table 1</t>
  </si>
  <si>
    <t>Temporal Split Detail</t>
  </si>
  <si>
    <t>Training set Normal 25828 ISP traffic of the first two days... Test set Normal 50022 ISP traffic for the last four days</t>
  </si>
  <si>
    <t>Learning Setup</t>
  </si>
  <si>
    <t>we employ a one-class classifier trained on benign samples to detect DNS tunnels... Common classifiers... Isolation Forest and One-class SVM.</t>
  </si>
  <si>
    <t>Page 3-4, Section II.C &amp; Section II.D</t>
  </si>
  <si>
    <t>Evaluation Threat Noted</t>
  </si>
  <si>
    <t>Attackers can fragment sensitive data and utilize different machines in their botnet to transmit various parts of the data.</t>
  </si>
  <si>
    <t>Table II. TRAINING SET TEST SET SEGMENTATION</t>
  </si>
  <si>
    <t>Section IV.B Challenges with Distributed Attacks and Detection Methods</t>
  </si>
  <si>
    <t>Use of call graph for determining application structure and sequence.</t>
  </si>
  <si>
    <t>we specify the structure of the application, for example the application’s call graph...</t>
  </si>
  <si>
    <t>Page 3, 3.1 Disassembling Application</t>
  </si>
  <si>
    <t>Dataset used for evaluation.</t>
  </si>
  <si>
    <t>we collected 6,187 Android malwares, which are publicly available for researchers, in June 2016.</t>
  </si>
  <si>
    <t>Page 5, 4.1 Malware Collection</t>
  </si>
  <si>
    <t>Evaluation results and metrics</t>
  </si>
  <si>
    <t>Page 6, 4.3 Malware Analysis in Presence of Intent Instrumentation</t>
  </si>
  <si>
    <t>Graph type and feature extraction</t>
  </si>
  <si>
    <t>Page 3, 3 PROPOSED INSTRUMENTATION FRAMEWORK</t>
  </si>
  <si>
    <t>AI improves anomaly detection.</t>
  </si>
  <si>
    <t>Threat detection improves anomaly detection with AI and ML technologies through recognition of common patterns by analysing real-time data.</t>
  </si>
  <si>
    <t>Page 3, Section IV. AI IN IOT SECURITY</t>
  </si>
  <si>
    <t>Edge computing combined with local ML reduces exposure risks.</t>
  </si>
  <si>
    <t>By conducting local analyses... ML and edge computing have improved data privacy and security for resource constrained IoT devices</t>
  </si>
  <si>
    <t>Empirical Evaluation</t>
  </si>
  <si>
    <t>Entire paper (Review format limits empirical evidence)</t>
  </si>
  <si>
    <t>Dataset used is Enron with 150 users.</t>
  </si>
  <si>
    <t>dataset is used Enron [14], that contains 150 users email data with full header and bodies.</t>
  </si>
  <si>
    <t>Using subsequence preserving sampling algorithm.</t>
  </si>
  <si>
    <t>subsequence preserving sampling algorithm is used to generate sampling algorithm.</t>
  </si>
  <si>
    <t>5. RESULTS AND DISCUSSION / Page 6</t>
  </si>
  <si>
    <t>Page 6, Equations (1) and (2)</t>
  </si>
  <si>
    <t>As illustrated by the identity-to-public-key-binding stealthy targeted attack and the private-key-service censorship attack</t>
  </si>
  <si>
    <t>while the whole implementation is publicly available on Github.</t>
  </si>
  <si>
    <t>Page 10, Section 4.2.1</t>
  </si>
  <si>
    <t>Dataset Used for FL use case</t>
  </si>
  <si>
    <t>train a CNN model over MNIST dataset.</t>
  </si>
  <si>
    <t>Section 3.2</t>
  </si>
  <si>
    <t>Experimental Setup &amp; Evaluation</t>
  </si>
  <si>
    <t>RealityCapture accuracy</t>
  </si>
  <si>
    <t>RealityCapture delivers superior reconstruction accuracy (1-10 mm error) and geometric detail preservation</t>
  </si>
  <si>
    <t>LumaAI unsuitability due to security</t>
  </si>
  <si>
    <t>remains unsuitable for digitizing classified infrastructure due to data leakage risks.</t>
  </si>
  <si>
    <t>Evaluation metrics and accuracy</t>
  </si>
  <si>
    <t>Software comparisons</t>
  </si>
  <si>
    <t>Discussion</t>
  </si>
  <si>
    <t>AI improves anomaly detection over traditional signature-based methods.</t>
  </si>
  <si>
    <t>Page 3, Section IV.A</t>
  </si>
  <si>
    <t>Predictive analytics allows mitigating risks before critical data loss.</t>
  </si>
  <si>
    <t>This predictive analysis is particularly valuable for IoT systems, allowing operators to mitigate risks before the data loss is critical.</t>
  </si>
  <si>
    <t>Key_Findings</t>
  </si>
  <si>
    <t>Section IV. AI IN IOT SECURITY and Section VII. CONCLUSION</t>
  </si>
  <si>
    <t>SMOTE and Undersampling yield moderate improvements</t>
  </si>
  <si>
    <t>SMOTE with oversampling attained an accuracy of 81.21%, while random undersampling attained 79.77%.</t>
  </si>
  <si>
    <t>Real-time streaming evaluation was simulated using Python</t>
  </si>
  <si>
    <t>With the use of Python river packages, we first converted the data into a stream</t>
  </si>
  <si>
    <t>Table 2. Training and testing accuracy (Page 6)</t>
  </si>
  <si>
    <t>Sampling Details</t>
  </si>
  <si>
    <t>3.3.1. Random Undersampling / 3.3.2. SMOTE Oversampling (Pages 9-10)</t>
  </si>
  <si>
    <t>Explicit handling of duplicated data (Dataset artifacts leakage).</t>
  </si>
  <si>
    <t>hash techniques were used to identify the identical apps and label these apps by the MD5 hash names... replicated samples are excluded.</t>
  </si>
  <si>
    <t>4</t>
  </si>
  <si>
    <t>Splitting strategy uses standard Cross Validation.</t>
  </si>
  <si>
    <t>To train and test the generated models, a 10-fold cross-validation technique was performed.</t>
  </si>
  <si>
    <t>IV. PROPOSED SYSTEM -&gt; A. Data Collection</t>
  </si>
  <si>
    <t>V. EXPERIMENTS AND RESULTS -&gt; B. Evaluation Methodology</t>
  </si>
  <si>
    <t>Existing datasets provide implicit prior knowledge causing bias against real-world APT evaluation.</t>
  </si>
  <si>
    <t>the samples in existing datasets provide prior knowledge for new APT attacks, resulting in traceability techniques always falling behind variants of malicious software.</t>
  </si>
  <si>
    <t>Use of oversampling for class imbalance resolution.</t>
  </si>
  <si>
    <t>They used oversampling algorithms to generate minority-class samples to achieve data balance.</t>
  </si>
  <si>
    <t>Usage of heterogeneous to homogeneous graph projection.</t>
  </si>
  <si>
    <t>compressing the massive heterogeneous APK-API relationship graph into a homogeneous APK graph.</t>
  </si>
  <si>
    <t>12</t>
  </si>
  <si>
    <t>6. Summary and prospect</t>
  </si>
  <si>
    <t>5. Dataset</t>
  </si>
  <si>
    <t>Lack of named baselines for performance comparison.</t>
  </si>
  <si>
    <t>The specific experimental data performance comparison is shown in Table 1.</t>
  </si>
  <si>
    <t>Page 7, Section 3.2</t>
  </si>
  <si>
    <t>Future direction regarding cybersecurity and infrastructure.</t>
  </si>
  <si>
    <t>Page 12, Section: Conclusion</t>
  </si>
  <si>
    <t>Data availability policy is restricted.</t>
  </si>
  <si>
    <t>Data availability Data will be made available on request.</t>
  </si>
  <si>
    <t>Page 12, Data availability</t>
  </si>
  <si>
    <t>Evaluation Metrics and Split Strategies</t>
  </si>
  <si>
    <t>Section 3.2 Experimental analysis, Table 1</t>
  </si>
  <si>
    <t>Datasets and Task Modeling</t>
  </si>
  <si>
    <t>Section 4.1 Construction of decision model, Table 2</t>
  </si>
  <si>
    <t>Data preparation and deduplication</t>
  </si>
  <si>
    <t>Firstly, data cleaning is carried out, including removing duplicate items... The data set is divided into training set, verification set and test set according to the proportion of 70%, 15% and 15%.</t>
  </si>
  <si>
    <t>Model performance vs traditional algorithms</t>
  </si>
  <si>
    <t>CNN model has the best performance in intrusion detection tasks, and its accuracy, recall and F1 score are 92.3%, 89.4% and 90.5% respectively</t>
  </si>
  <si>
    <t>IV. EXPERIMENTAL EVALUATION AND ANALYSIS</t>
  </si>
  <si>
    <t>Literature gap in cloud security</t>
  </si>
  <si>
    <t>Page 7</t>
  </si>
  <si>
    <t>Future direction involves AI and ML</t>
  </si>
  <si>
    <t>AI and ML are set to play a pivotal role in cloud security.</t>
  </si>
  <si>
    <t>Gap in Existing Literature (Page 6-7)</t>
  </si>
  <si>
    <t>Future Trends in Cloud Computing Security (Page 10)</t>
  </si>
  <si>
    <t>DeepFM yields the highest F1 score.</t>
  </si>
  <si>
    <t>As observed from the result in Table 2, DeepFM is the most accurate with 99.5% accuracy followed by SVM and Random Forests</t>
  </si>
  <si>
    <t>Page 5, VII. RESULTS</t>
  </si>
  <si>
    <t>Using F-1 score due to class imbalance.</t>
  </si>
  <si>
    <t>The dataset was skewed and hence F-1 score was used to find the accuracy of the algorithms.</t>
  </si>
  <si>
    <t>Limitations against stealthy tunneling.</t>
  </si>
  <si>
    <t>In the future, tunnelling engineered to be undetectable to the classifier specifically could become common and possibly require features on the non-encrypted side</t>
  </si>
  <si>
    <t>Page 5, Future Work</t>
  </si>
  <si>
    <t>Metrics and Baseline models</t>
  </si>
  <si>
    <t>VII. RESULTS, Table II</t>
  </si>
  <si>
    <t>Future research should focus on combining models like differential privacy and k-anonymity.</t>
  </si>
  <si>
    <t>The future research work can concentrate on the combination of differential privacy and k-anonymity.</t>
  </si>
  <si>
    <t>IV. RECOMMENDATION AND FUTURE WORKS (Page 8)</t>
  </si>
  <si>
    <t>IV. RECOMMENDATION AND FUTURE WORKS</t>
  </si>
  <si>
    <t>Prequential evaluation handles testing incrementally before training.</t>
  </si>
  <si>
    <t>each individual example is used to test the model before it is used for training</t>
  </si>
  <si>
    <t>Page 8, Section IV. B. Performance Evaluation</t>
  </si>
  <si>
    <t>The authors reset evaluation metrics to avoid contamination from previous concepts.</t>
  </si>
  <si>
    <t>resetting the performance results to 0 at the 500th time step.</t>
  </si>
  <si>
    <t>Metrics and Split_Strategy</t>
  </si>
  <si>
    <t>Section III. B. Experimental Settings and Section IV. B. Performance Evaluation</t>
  </si>
  <si>
    <t>Data deduplication was performed.</t>
  </si>
  <si>
    <t>The first subcategory, data cleaning, removes missing and duplicate entries</t>
  </si>
  <si>
    <t>Page 9, Section 3.1</t>
  </si>
  <si>
    <t>The dataset was split using a random ratio rather than chronologically.</t>
  </si>
  <si>
    <t>The dataset was split into 80 % for training and 20 % for testing.</t>
  </si>
  <si>
    <t>Page 10, Section 3.3</t>
  </si>
  <si>
    <t>Only benign and DoS samples were used from the dataset.</t>
  </si>
  <si>
    <t>we chose all benign samples from the original dataset, while the anomaly class consisted exclusively of DoS attack samples.</t>
  </si>
  <si>
    <t>Page 14, Section 5.1</t>
  </si>
  <si>
    <t>Future work will address adversarial attacks on the FL framework.</t>
  </si>
  <si>
    <t>we plan to explore adversarial attacks on one or more nodes in the FL framework and investigate methods to effectively filter poisoned models.</t>
  </si>
  <si>
    <t>Page 17, Section 6</t>
  </si>
  <si>
    <t>Section 3.3. Developing a deep learning model for intrusion detection</t>
  </si>
  <si>
    <t>Section 5.1. Dataset overview</t>
  </si>
  <si>
    <t>Modeling network as a dynamic graph</t>
  </si>
  <si>
    <t>The framework maintains a time-aware record of device neighbors using a dynamic set of edges E in the local table</t>
  </si>
  <si>
    <t>3.1 Modeling and Discussion</t>
  </si>
  <si>
    <t>Dataset utilization</t>
  </si>
  <si>
    <t>To evaluate the behavior of the proposed framework, the publicly available IoT-23 dataset is utilized.</t>
  </si>
  <si>
    <t>4 Simulation Description</t>
  </si>
  <si>
    <t>Evaluation threats from class imbalance</t>
  </si>
  <si>
    <t>The imbalance between benign and malicious traffic can influence detection performance.</t>
  </si>
  <si>
    <t>Abstract and Section 4 Simulation Description</t>
  </si>
  <si>
    <t>Section 4 Simulation Description</t>
  </si>
  <si>
    <t>Code implementation is available.</t>
  </si>
  <si>
    <t>interfaces of TAB smart contract, while the whole implementation is publicly available on Github</t>
  </si>
  <si>
    <t>10 / Section 4.2.1</t>
  </si>
  <si>
    <t>Evaluated metrics are Gas Cost and Time.</t>
  </si>
  <si>
    <t>In particular, the performance includes two aspects: the gas cost and the test time.</t>
  </si>
  <si>
    <t>10 / Section 4.2.2</t>
  </si>
  <si>
    <t>Overhead evaluated by training CNN on MNIST.</t>
  </si>
  <si>
    <t>the task of FL is to train a CNN model over MNIST dataset.</t>
  </si>
  <si>
    <t>4.2 Experimental Evaluation</t>
  </si>
  <si>
    <t>Table 2</t>
  </si>
  <si>
    <t>Information leakage control through architectural design</t>
  </si>
  <si>
    <t>Dilated Convolutions, extracts temporal features that capture relationships across different time steps without information leakage from future data points.</t>
  </si>
  <si>
    <t>Model explainability via SHAP</t>
  </si>
  <si>
    <t>The CusTFL-AN model leverages SHAP (SHapley Additive exPlanations) to evaluate feature importance across three datasets: UNSW-NB15, BoT-IoT, and Edge-IIoT.</t>
  </si>
  <si>
    <t>Use of GAN for minority class sampling (Class Imbalance Handling)</t>
  </si>
  <si>
    <t>Adversarial Minority Augmentation (AMA) leverages the generator G to focus on synthesizing samples for minority classes.</t>
  </si>
  <si>
    <t>Section III (C. Feature Engineering - Temporal Feature Extraction)</t>
  </si>
  <si>
    <t>Evaluation Metrics and Splitting</t>
  </si>
  <si>
    <t>Section IV (Result and Analysis - Dataset Description)</t>
  </si>
  <si>
    <t>Evaluation metric based on precision against other apps.</t>
  </si>
  <si>
    <t>define the precision of its automaton as the percentage of logs of other applications that it rejects</t>
  </si>
  <si>
    <t>Aggregation of flow features avoids strict model overfitting to changing IPs.</t>
  </si>
  <si>
    <t>if a netname appears more than n times in the overall log it is considered as significant and it is integrated into the model</t>
  </si>
  <si>
    <t>Evaluation metrics and exact generation method</t>
  </si>
  <si>
    <t>IV. PERFORMANCE EVALUATION</t>
  </si>
  <si>
    <t>Algorithm flow and dataset aggregation</t>
  </si>
  <si>
    <t>III. AUTOMATA LEARNING STRATEGY FOR SUPPORTING ANDROID APPLICATION SECURITY</t>
  </si>
  <si>
    <t>The paper is a survey providing an overview of existing literature.</t>
  </si>
  <si>
    <t>we tried to provide a comprehensive overview of academic publications.</t>
  </si>
  <si>
    <t>The term 'Data Leakage' in this paper refers to a security threat (exfiltration), not ML evaluation leakage.</t>
  </si>
  <si>
    <t>Data leakage occurs when sensitive data and confidential information is revealed to unauthorized parties.</t>
  </si>
  <si>
    <t>The paper proposes a three-tiered taxonomy for GenAI cognitive security risks.</t>
  </si>
  <si>
    <t>We propose a three-tiered taxonomy that categorizes risks into 1) internal security... 2) interactional security... and 3) external security...</t>
  </si>
  <si>
    <t>The paper relies on existing literature rather than empirical validation.</t>
  </si>
  <si>
    <t>the governance framework and risk matrix presented in this paper are primarily conceptual and deductive, synthesized from existing literature rather than validated</t>
  </si>
  <si>
    <t>Page 14, VII. LIMITATION AND DISCUSSION</t>
  </si>
  <si>
    <t>VII. LIMITATION AND DISCUSSION -&gt; B. Limitations and Future Directions</t>
  </si>
  <si>
    <t>Model avoids data leakage by ensuring unique data subsets for training, validation, and testing.</t>
  </si>
  <si>
    <t>splitting has to done in a very specific manner... tested on data that are not the same to avoid data leakage to inflate performance.</t>
  </si>
  <si>
    <t>Page 10, Splitting data</t>
  </si>
  <si>
    <t>HEDL model components and architecture.</t>
  </si>
  <si>
    <t>The proposed HEDL integrates CNN, LSTM, and AutoEncoder architectures... An attention mechanism incorporated into the LSTM</t>
  </si>
  <si>
    <t>Page 6, Methodology</t>
  </si>
  <si>
    <t>Data augmentation prevents overfitting and simulates real-world variations.</t>
  </si>
  <si>
    <t>Jittering technique consists in adding noise to each power trace, randomly... scaling... shifting</t>
  </si>
  <si>
    <t>Page 10, Data augmentation</t>
  </si>
  <si>
    <t>Leakage Risks Discussed</t>
  </si>
  <si>
    <t>Evaluation Threats Noted</t>
  </si>
  <si>
    <t>Page 26, Table 12. Performance of the HEDL model under edge cases</t>
  </si>
  <si>
    <t>The paper relies on analytical modeling rather than empirical datasets.</t>
  </si>
  <si>
    <t>To construct the risk defense system... it is necessary to establish a defense optimization model for the loss caused by risk paths and attack transfer.</t>
  </si>
  <si>
    <t>Page 3, Section IV. O&amp;M RISK OPTIMIZATION MODELE</t>
  </si>
  <si>
    <t>The paper focuses on cryptographic protocol improvements.</t>
  </si>
  <si>
    <t>this article establishes the communication mechanism of terminal Dynamic Authentication and Encryption Protocol (DAEP) through an intermittent rotating dynamic encryption Z algorithm.</t>
  </si>
  <si>
    <t>Section IV and V (no empirical evaluation sections exist)</t>
  </si>
  <si>
    <t>Sliding window overlap creates dependent samples</t>
  </si>
  <si>
    <t>A sliding window with a size of 64 and a sliding step size of 32 is employed for processing.</t>
  </si>
  <si>
    <t>Page 3, Section III.A (Preprocessing)</t>
  </si>
  <si>
    <t>Basic train-test split without temporal consideration</t>
  </si>
  <si>
    <t>reduced the original data to 100,000 samples, which were divided into a training set and a test set at a ratio of 7:3.</t>
  </si>
  <si>
    <t>Page 4, Section IV.B (Dataset)</t>
  </si>
  <si>
    <t>Perfect Evaluation Results</t>
  </si>
  <si>
    <t>intrusion detection system achieves a precision, recall, and F1 score of 100% on the Carhacking dataset</t>
  </si>
  <si>
    <t>Section IV.B (Dataset)</t>
  </si>
  <si>
    <t>Section III.A (Preprocessing) and Section IV.B</t>
  </si>
  <si>
    <t>ทิศทางงานวิจัยในอนาคตควรนำ AI และ Machine Learning มาใช้</t>
  </si>
  <si>
    <t>development of automated security solutions utilizing artificial intelligence (AI) and machine learning</t>
  </si>
  <si>
    <t>Page 4, Section Conclusions</t>
  </si>
  <si>
    <t>Conclusions</t>
  </si>
  <si>
    <t>Deduplication and cleaning process during dataset creation</t>
  </si>
  <si>
    <t>After deduplication, we upload all samples to the VirusTotal platform for cleaning</t>
  </si>
  <si>
    <t>Page 9 / Section 4.2</t>
  </si>
  <si>
    <t>Temporal evaluation strategy</t>
  </si>
  <si>
    <t>a data set subset is extracted from the malicious APP dataset... for each of the nine years (2013-2021).</t>
  </si>
  <si>
    <t>Use of cross-validation for robustness test</t>
  </si>
  <si>
    <t>We used the 5-fold cross-validation method to process the data sets and statistically analyzed the distribution</t>
  </si>
  <si>
    <t>Page 15 / Section 5.5</t>
  </si>
  <si>
    <t>Dataset and Split_Strategy</t>
  </si>
  <si>
    <t>Section 4.2 Dataset</t>
  </si>
  <si>
    <t>Section 4.3 Evaluation metric</t>
  </si>
  <si>
    <t>Task Type Classification of plain and encrypted data streams</t>
  </si>
  <si>
    <t>A Multilayer Perceptron (MLP) Neural Network has been designed for the classification of plain and encrypted data streams.</t>
  </si>
  <si>
    <t>Section III. PROPOSED METHODOLOGY</t>
  </si>
  <si>
    <t>Dataset collection methodology and Accuracy outcomes</t>
  </si>
  <si>
    <t>collecting 5000 samples of AES encryption... and 5000 samples for other peripherals. We achieved 92.57% and 92.93% training and testing accuracy</t>
  </si>
  <si>
    <t>Section III. PROPOSED METHODOLOGY / Section IV. B.</t>
  </si>
  <si>
    <t>Section IV. B. Training and Simulation of Proposed Hardware Trojan</t>
  </si>
  <si>
    <t>Model evaluation relies on independent testing set without clear split details.</t>
  </si>
  <si>
    <t>After training, independent test data sets are used to evaluate the performance of the model.</t>
  </si>
  <si>
    <t>Page 3-4, III. EXPERIMENT AND VERIFICATION</t>
  </si>
  <si>
    <t>The algorithm combines CNN and LSTM to capture temporal and spatial characteristics.</t>
  </si>
  <si>
    <t>The model combines CNN and LSTM to capture the spatial and temporal characteristics of network traffic at the same time.</t>
  </si>
  <si>
    <t>Page 3, III. EXPERIMENT AND VERIFICATION</t>
  </si>
  <si>
    <t>III. EXPERIMENT AND VERIFICATION</t>
  </si>
  <si>
    <t>IV. CONCLUSION</t>
  </si>
  <si>
    <t>The role of ML is conceptual and only mentioned as future work for checking duplicated PUFs.</t>
  </si>
  <si>
    <t>Machine learning classification methods detect illegal key duplication attempts by identifying subtle changes in digital scans of molecular PUFs.</t>
  </si>
  <si>
    <t>Page 4, Section IV. B</t>
  </si>
  <si>
    <t>The system has practical biological limitations.</t>
  </si>
  <si>
    <t>First, DNA signature analysis using PCR and gel electrophoresis is susceptible to temperature, ionic properties, and pH</t>
  </si>
  <si>
    <t>Page 6, Section V. A</t>
  </si>
  <si>
    <t>Section IV (Proposed Framework)</t>
  </si>
  <si>
    <t>Section V (Discussion and Future Work)</t>
  </si>
  <si>
    <t>Using basic ratio for data splitting without explicitly mentioning temporal rules.</t>
  </si>
  <si>
    <t>Split (X,y) into training Dtrain and testing Dtest sets using a ratio ρ</t>
  </si>
  <si>
    <t>Page 5, Algorithm 1</t>
  </si>
  <si>
    <t>The dataset used is for IoT intrusion detection.</t>
  </si>
  <si>
    <t>The performance of the proposed architect was analyzed using a real-time dataset “IDSIoT2024” [19]</t>
  </si>
  <si>
    <t>Page 5, Section III.B</t>
  </si>
  <si>
    <t>Algorithm 1 (Page 5)</t>
  </si>
  <si>
    <t>Section III.B (Page 5)</t>
  </si>
  <si>
    <t>Dataset mention and ML processing phase</t>
  </si>
  <si>
    <t>All the finalized data set will be taken to processing state where critical attributes will be assigned for learning process.</t>
  </si>
  <si>
    <t>Page 5, IV. RESEARCH METHODOLOGY</t>
  </si>
  <si>
    <t>Malware detection effectiveness</t>
  </si>
  <si>
    <t>100% protection against known Malwares. 85% protection against Unknown (New) Malwares.</t>
  </si>
  <si>
    <t>Page 6, Malware detection</t>
  </si>
  <si>
    <t>ML model results explicitly shown in tabular format</t>
  </si>
  <si>
    <t>Table 1 ML Model Results. ALGORITHM PRECISION RECALL F1 SCORE ACCURACY</t>
  </si>
  <si>
    <t>Page 6, Table 1</t>
  </si>
  <si>
    <t>Evaluation metrics and Model comparison</t>
  </si>
  <si>
    <t>Table 1 ML Model Results, Page 6</t>
  </si>
  <si>
    <t>Lack of splitting and dataset specifics</t>
  </si>
  <si>
    <t>Section IV. RESEARCH METHODOLOGY</t>
  </si>
  <si>
    <t>The study is a systematic literature review on phishing awareness, not a machine learning model presentation.</t>
  </si>
  <si>
    <t>The method used in this study is the Systematic Literature Review (SLR) method.</t>
  </si>
  <si>
    <t>Page 2, III. RESEARCH METHODOLOGY</t>
  </si>
  <si>
    <t>The evaluation has limitations due to sample size and representativeness.</t>
  </si>
  <si>
    <t>Due to the limited research size and the fact that the material was not representative of Indonesia's entire population, the study has certain limitations.</t>
  </si>
  <si>
    <t>Page 4, Column 2</t>
  </si>
  <si>
    <t>Abstract, III. RESEARCH METHODOLOGY</t>
  </si>
  <si>
    <t>Page 4, before the overall conclusion paragraph</t>
  </si>
  <si>
    <t>The paper focuses on real-world cybercrime and legal aspects, not Machine Learning tasks.</t>
  </si>
  <si>
    <t>Legal analysis of the modus operandi of personal data sales cases results in patterns of information system vulnerabilities</t>
  </si>
  <si>
    <t>Threat Model revolves around personal data theft.</t>
  </si>
  <si>
    <t>Hackers illegally accessed the Indonesian General Elections Commission’s (KPU) voter data system to collect voter data to sell to third parties.</t>
  </si>
  <si>
    <t>Paper Scope</t>
  </si>
  <si>
    <t>Nature of paper</t>
  </si>
  <si>
    <t>This paper aims to bridge this gap by drawing upon a wide range of scholarly literature and industry reports</t>
  </si>
  <si>
    <t>Future work</t>
  </si>
  <si>
    <t>Section VIII</t>
  </si>
  <si>
    <t>Paper Objective</t>
  </si>
  <si>
    <t>Future research should address large-scale data exfiltration.</t>
  </si>
  <si>
    <t>Current malware primarily targets small data sets such as binary data, passwords, and encryption keys.</t>
  </si>
  <si>
    <t>Page 30, Future directions and conclusion</t>
  </si>
  <si>
    <t>Need for better software detection mechanisms.</t>
  </si>
  <si>
    <t>More studies should focus on software techniques for detecting malware. For example, exploring algorithms to detect malware that utilizes GSM frequencies</t>
  </si>
  <si>
    <t>Page 31, Future directions and conclusion</t>
  </si>
  <si>
    <t>Phase8_Gaps_and_FutureWork_perPaper</t>
  </si>
  <si>
    <t>9 Future directions and conclusion</t>
  </si>
  <si>
    <t>Focus on static design time rather than ML execution</t>
  </si>
  <si>
    <t>Because we focus on data leakage when data are in flow, the design time data flow diagram is the main focus of simulating security posture.</t>
  </si>
  <si>
    <t>Section 1. Introduction, Page 3</t>
  </si>
  <si>
    <t>Source code and scenarios are publicly available</t>
  </si>
  <si>
    <t>The source code of the API can be viewed at https://t.ly/Rdfvr (accessed on 30 September 2024).</t>
  </si>
  <si>
    <t>Section 3.2.5. Attack Scenario API, Page 12</t>
  </si>
  <si>
    <t>Quantitative evaluation is lacking and planned for future work</t>
  </si>
  <si>
    <t>Future work will focus on empirical studies to quantify the benefits of our approach. This will include the development of metrics for comparison</t>
  </si>
  <si>
    <t>Section 8. Conclusions and Future Work, Page 27</t>
  </si>
  <si>
    <t>Section 5. Results and Comparative Analysis (Tables 2 &amp; 3)</t>
  </si>
  <si>
    <t>Section 8. Conclusions and Future Work</t>
  </si>
  <si>
    <t>The attack trace graph was generated and fed back to the user.</t>
  </si>
  <si>
    <t>The performance evaluation of this work adopts the method of comparative analysis... as shown in Table 7</t>
  </si>
  <si>
    <t>Use of Bloom Filter</t>
  </si>
  <si>
    <t>Blockchain reference library establishment scheme based on Bloom filter is to efficiently trace the on-chain storage</t>
  </si>
  <si>
    <t>Page 5, Section IV.C.1</t>
  </si>
  <si>
    <t>Section V. PERMANENCE EVALUATION (Table VII)</t>
  </si>
  <si>
    <t>Split Strategy used is Cross-Validation</t>
  </si>
  <si>
    <t>We used the 5-fold cross-validation method to process the data sets and statistically analyzed the distribution of their experimental results.</t>
  </si>
  <si>
    <t>Page 15, Section 5.5</t>
  </si>
  <si>
    <t>Dataset spans multiple years</t>
  </si>
  <si>
    <t>MPMal2023... extracting 1,000 samples per year... from open source platforms in 2013 to 2021</t>
  </si>
  <si>
    <t>Page 9, Section 4.2</t>
  </si>
  <si>
    <t>Leakage control via deduplication</t>
  </si>
  <si>
    <t>After deduplication, we upload all samples to the VirusTotal platform for cleaning...</t>
  </si>
  <si>
    <t>Graph construction is static from reverse engineering</t>
  </si>
  <si>
    <t>First, we utilize the Android reverse compilation tool to obtain the relevant data characteristics... extract API and permission information call structures...</t>
  </si>
  <si>
    <t>Section 4.2 Dataset or 5.5 Robustness analysis</t>
  </si>
  <si>
    <t>Section 3.2 Construction of heterogeneous information network</t>
  </si>
  <si>
    <t>Evaluation using simulation tools</t>
  </si>
  <si>
    <t>The combinational RECORD designs were synthesized using Xilinix Vivado and tested using the same through timing analysis to verify the functionality...</t>
  </si>
  <si>
    <t>Page 5, Section V. DESIGN EXAMPLES</t>
  </si>
  <si>
    <t>Focus on Hardware Trojans</t>
  </si>
  <si>
    <t>Hardware Trojan is a manipulative circuit alteration/integration that carries out the same... capable of stealing encryption keys, passwords...</t>
  </si>
  <si>
    <t>Performance metrics defined as Randomization and Recovery</t>
  </si>
  <si>
    <t>The percentage of randomization and recovery obtained is taken into consideration to assess the design efficacy.</t>
  </si>
  <si>
    <t>Section V. DESIGN EXAMPLES</t>
  </si>
  <si>
    <t>detect and distinguish this type of threat from legitimate applications</t>
  </si>
  <si>
    <t>divided into a part of 80% for training and the remaining for testing.</t>
  </si>
  <si>
    <t>Page 5, Section 4.2</t>
  </si>
  <si>
    <t>Dataset Statistics</t>
  </si>
  <si>
    <t>obtain 4.039 Benign samples and 12.685 malware samples.</t>
  </si>
  <si>
    <t>converting APK files (selected features) into images which works as the input of these deep learning models.</t>
  </si>
  <si>
    <t>Table 4 and Table 5</t>
  </si>
  <si>
    <t>Uses CNN for malware and LSTM for network behavior</t>
  </si>
  <si>
    <t>For malware detection, CNN is used to extract the features of binary files; For network abnormal behavior identification, RNN is used... particularly Long Short Term Memory (LSTM)</t>
  </si>
  <si>
    <t>Uses sliding window for traffic data</t>
  </si>
  <si>
    <t>The sliding window technology is used to divide the continuous network traffic into multiple time segments</t>
  </si>
  <si>
    <t>Evaluation on independent test set</t>
  </si>
  <si>
    <t>effectiveness is evaluated using an independent test set</t>
  </si>
  <si>
    <t>Dataset sources</t>
  </si>
  <si>
    <t>malware detection data set from VirusTotal... network abnormal behavior identification data set from the actual network environment... obtained through simulation</t>
  </si>
  <si>
    <t>Table I and Table II (Page 4)</t>
  </si>
  <si>
    <t>Task Type/Goal</t>
  </si>
  <si>
    <t>This paper analyzes and tests various anonymization techniques within a HIS developed for healthcare.</t>
  </si>
  <si>
    <t>dataset of three main tables from the HIS. The patient records table contains around 16,000 entries</t>
  </si>
  <si>
    <t>IV. PERFORMANCE IMPACT OF ANONYMIZATION IN HIS</t>
  </si>
  <si>
    <t>Metrics/Results</t>
  </si>
  <si>
    <t>In HIS, the performance impact of implementing differentiated privacy was calculated to be approximately 20%</t>
  </si>
  <si>
    <t>IV. PERFORMANCE IMPACT OF ANONYMIZATION IN HIS (E. Differential Privacy)</t>
  </si>
  <si>
    <t>No Graph/ML Split</t>
  </si>
  <si>
    <t>In our performance analysis, we evaluated anonymization techniques using a dataset... evaluate the performance impact</t>
  </si>
  <si>
    <t>Leakage control via in-fold preprocessing</t>
  </si>
  <si>
    <t>To prevent leakage, all preprocessing is conducted within each training fold, and these intervals are calculated over five stratified folds.</t>
  </si>
  <si>
    <t>Page 6, Section 5.1</t>
  </si>
  <si>
    <t>we implement stratified 5-fold cross validation with in fold preprocessing.</t>
  </si>
  <si>
    <t>Sampling strategy</t>
  </si>
  <si>
    <t>we employed stratified sampling and verified class proportions.</t>
  </si>
  <si>
    <t>Page 3, Section 4.1</t>
  </si>
  <si>
    <t>Task Type and Models</t>
  </si>
  <si>
    <t>employing three lightweight machine learning (ML) models (logistic regression (LR), random forest (RF), and gradient boosting (GB))</t>
  </si>
  <si>
    <t>Section 4.5 Cross-validation and generalization assessment</t>
  </si>
  <si>
    <t>Section 5.1 Prediction probability distribution</t>
  </si>
  <si>
    <t>predicting the kind of URLs to extract excellent machine learning models... malicious URL detection</t>
  </si>
  <si>
    <t>Feature-based approach (Not Graph)</t>
  </si>
  <si>
    <t>feature dataset consisting of 13 features, including URL syntax features... and URL security features</t>
  </si>
  <si>
    <t>The dataset is obtained from Kaggle... containing a total of 545,815 usable URLs</t>
  </si>
  <si>
    <t>Split Strategy (Random)</t>
  </si>
  <si>
    <t>The dataset is randomly divided into training and testing sets in the ratio of 8:2.</t>
  </si>
  <si>
    <t>Split Strategy (Cross Validation)</t>
  </si>
  <si>
    <t>under five fold cross validation, which divides the dataset into a training set TrainDate and a testing set TestDate.</t>
  </si>
  <si>
    <t>Page 2, Section III (Figure 2 description)</t>
  </si>
  <si>
    <t>Performance Results</t>
  </si>
  <si>
    <t>the model in this study achieves 0.92 accuracy, precision, recall, and F1 score under cross-validation with an AUC value of 0.95</t>
  </si>
  <si>
    <t>Section IV. EXPERIMENTS AND RESULTS</t>
  </si>
  <si>
    <t>Section III.B Extraction and Preprocessing</t>
  </si>
  <si>
    <t>Use of XGBoost instead of Graph methods</t>
  </si>
  <si>
    <t>our approach leverages XGBoost—a lightweight yet powerful algorithm—to train detection models locally on devices.</t>
  </si>
  <si>
    <t>Split Strategy Description</t>
  </si>
  <si>
    <t>We started by dividing the datasets into training and test sets. The training set is used for the centralized and federated learning process...</t>
  </si>
  <si>
    <t>Page 8 / Section IV-B</t>
  </si>
  <si>
    <t>Data Partitioning for FL</t>
  </si>
  <si>
    <t>we have chosen a horizontal partitioning... clients’ data share the same feature space... but have different sample sets</t>
  </si>
  <si>
    <t>Page 6 / Section III-D-1</t>
  </si>
  <si>
    <t>Section IV-C EXPERIMENTAL RESULTS</t>
  </si>
  <si>
    <t>Section III-B XGBoost</t>
  </si>
  <si>
    <t>Task Type and Classes</t>
  </si>
  <si>
    <t>target classes of 5 attack and 1 benign label</t>
  </si>
  <si>
    <t>Page 4, Section II-D</t>
  </si>
  <si>
    <t>lightweight DNN model comprising an input layer (64 neurons...), 2 hidden layers... and an output layer of 6 neurons</t>
  </si>
  <si>
    <t>Dataset Split Strategy</t>
  </si>
  <si>
    <t>which was further split into 70:20:10, as the training, testing, and validation set respectively.</t>
  </si>
  <si>
    <t>Differential Privacy Mechanism</t>
  </si>
  <si>
    <t>utilization of Gaussian and Laplace differential privacy (DP) mechanisms by clients during local training to obfuscate their model parameters</t>
  </si>
  <si>
    <t>utilized the edge-IIoT dataset [14], a real-world dataset containing recent attacks</t>
  </si>
  <si>
    <t>Section II-D (Experimental Setup)</t>
  </si>
  <si>
    <t>Section III (Result Discussion)</t>
  </si>
  <si>
    <t>identify a specific critical file from a packet or a group of packets over even unknown protocols</t>
  </si>
  <si>
    <t>The first dataset includes 980 documents downloaded from Wikipedia... The second dataset includes 1,000 PE malware files downloaded from the VirusShare</t>
  </si>
  <si>
    <t>Page 5, Section IV.A</t>
  </si>
  <si>
    <t>Split/Sampling Strategy</t>
  </si>
  <si>
    <t>We select 100 documents... and download each of the old versions... We call these 100 documents as similar wiki files.</t>
  </si>
  <si>
    <t>Comparator</t>
  </si>
  <si>
    <t>For comparison and test purposes, we install Zeek [5], an open-source network security monitoring tool</t>
  </si>
  <si>
    <t>Page 6, Section IV.B</t>
  </si>
  <si>
    <t>Section IV.C Experimental results</t>
  </si>
  <si>
    <t>Sampling</t>
  </si>
  <si>
    <t>Section IV.A Experimental Setup</t>
  </si>
  <si>
    <t>Task is vulnerability analysis and automated patching</t>
  </si>
  <si>
    <t>In this paper, we report the first systematic study on how the authorization-data are managed... We propose SecHARE, an automated tool to patch the vulnerable IoT clouds.</t>
  </si>
  <si>
    <t>Dataset/Systems used for evaluation</t>
  </si>
  <si>
    <t>We applied SecHARE to 3 popular open-source IoT clouds, ThingsBoard [13], Kaa [14] and JetLinks [15].</t>
  </si>
  <si>
    <t>Use of AST (Graph-like structure) for Code Analysis</t>
  </si>
  <si>
    <t>uses Spoon [47] to build the AST model... build an AST model for the source code to obtain the calling relationship of the methods/functions.</t>
  </si>
  <si>
    <t>Page 10, Section 5.5</t>
  </si>
  <si>
    <t>we measured the CPU and run-time memory usage for 1000 device creation... We observed an increase of only 0.14% in CPU usage</t>
  </si>
  <si>
    <t>Page 11, Section 6.2</t>
  </si>
  <si>
    <t>Paper type is a survey/review</t>
  </si>
  <si>
    <t>This paper illustrates an extensive investigation to access control models and displays several risk access control models.</t>
  </si>
  <si>
    <t>Focus on Access Control Models</t>
  </si>
  <si>
    <t>Table 1 shows the surveyed proposed risk access control model for the cloud with their pros and cons.</t>
  </si>
  <si>
    <t>No datasets or experiments</t>
  </si>
  <si>
    <t>A study on risk based control systems was reported in this paper... Several access control models were proposed and utilized for a while...</t>
  </si>
  <si>
    <t>Page 4, Conclusion</t>
  </si>
  <si>
    <t>Section IV / Table 1</t>
  </si>
  <si>
    <t>%70 eğitim %30 test olacak şekilde ikiye ayrılmıştır</t>
  </si>
  <si>
    <t>We developed a novel algorithm for classifying documents successfully under scoped attack types.</t>
  </si>
  <si>
    <t>algoritmanın aşırı uyuma gitmemesi için test dokümanlarının sayısı eşitlenmeye çalışılmıştır.</t>
  </si>
  <si>
    <t>Transcendental Meditation (TM), Mormon ve Dyncorp veri setleri... DBPedia</t>
  </si>
  <si>
    <t>Section 4.3 Test Sonuçlarının Değerlendirilmesi</t>
  </si>
  <si>
    <t>Evaluation strategy using Leave-one-out</t>
  </si>
  <si>
    <t>In our leave-one-device-out tests, a classifier is trained with a certain device-type dataset and tested with the remaining device-type data</t>
  </si>
  <si>
    <t>sampling rate of 1.7kHz and a window length of 1.5 seconds... sliding window with one-third overlap</t>
  </si>
  <si>
    <t>Page 5, Section V-A &amp; IV-B</t>
  </si>
  <si>
    <t>Overfitting Risk</t>
  </si>
  <si>
    <t>the leave-one-out tests introduced a prediction accuracy of below 80%, which suggests a possible overfitting problem.</t>
  </si>
  <si>
    <t>Page 6, Section V-A</t>
  </si>
  <si>
    <t>Section V.A (1-D CNN Classifier Design) and Table II</t>
  </si>
  <si>
    <t>Abstract and Section I (Introduction)</t>
  </si>
  <si>
    <t>Use of random split for FL clients</t>
  </si>
  <si>
    <t>due to randomly split training data, there is a slight difference in the accuracy and loss</t>
  </si>
  <si>
    <t>Section V-B Results</t>
  </si>
  <si>
    <t>Dataset used is MNIST</t>
  </si>
  <si>
    <t>We use federated learning to train CNNMnist [13]... to complete MNIST handwriting recognition task</t>
  </si>
  <si>
    <t>Section V Experiments</t>
  </si>
  <si>
    <t>Method involves LSB steganography in gradients</t>
  </si>
  <si>
    <t>uses the least significant bit steganography algorithm to embed data during model parameters exchanges</t>
  </si>
  <si>
    <t>Section V. Experiments, Subsection A. Setup</t>
  </si>
  <si>
    <t>Section V. Experiments, Subsection B. Results</t>
  </si>
  <si>
    <t>Task Type is Attack Detection via Cryptography</t>
  </si>
  <si>
    <t>The security-aware design... is based on the Paillier digital signature scheme.</t>
  </si>
  <si>
    <t>Page 7, Section IV-B</t>
  </si>
  <si>
    <t>Threat Model includes Data Injection</t>
  </si>
  <si>
    <t>In the presence of such attacks, the data received by the coordinator could be completely distorted... termed as data injection attack</t>
  </si>
  <si>
    <t>Page 5, Section II-B</t>
  </si>
  <si>
    <t>Evaluation using Simulation</t>
  </si>
  <si>
    <t>We consider the problem of real-time electricity allocation for a distribution feeder... There are 1000 residential ACs</t>
  </si>
  <si>
    <t>Page 8, Section V</t>
  </si>
  <si>
    <t>No ML Splitting/Training</t>
  </si>
  <si>
    <t>Participant j sets FLAG = 1 if Alg_ver(...) = 1 and ... matches index</t>
  </si>
  <si>
    <t>Page 8, Algorithm 2</t>
  </si>
  <si>
    <t>Section IV. Security-Aware Design</t>
  </si>
  <si>
    <t>Section V. Case Studies</t>
  </si>
  <si>
    <t>Task Type is System Design/Simulation</t>
  </si>
  <si>
    <t>In this article we presented a simulation of a blockchain messaging platform based on the Bitcoin protocol.</t>
  </si>
  <si>
    <t>6 (Conclusions)</t>
  </si>
  <si>
    <t>The project can be found on Github in: Uncuffed Code on Github</t>
  </si>
  <si>
    <t>4 (Section 2)</t>
  </si>
  <si>
    <t>Security Domain</t>
  </si>
  <si>
    <t>Messaging systems used in critical applications... The blockchain technology is proposed... to prevent personal data leakage.</t>
  </si>
  <si>
    <t>2 (Abstract)</t>
  </si>
  <si>
    <t>Code Link</t>
  </si>
  <si>
    <t>Section 2 UNCUFFED SYSTEM</t>
  </si>
  <si>
    <t>Evaluation methodology involving data extraction</t>
  </si>
  <si>
    <t>the research extracts the uniform interval data in the database for processing, and also intercepts a segment from the most original database</t>
  </si>
  <si>
    <t>Page 6, Section 3.3</t>
  </si>
  <si>
    <t>Security focus is on system protection not detection model</t>
  </si>
  <si>
    <t>In terms of network security, the research has adopted multiple security technologies, including data encryption, access control, intrusion detection</t>
  </si>
  <si>
    <t>Task is Recommendation</t>
  </si>
  <si>
    <t>proposes an intelligent recommendation algorithm based on data mining</t>
  </si>
  <si>
    <t>Type of paper is management overview/statistical analysis, not technical ML implementation</t>
  </si>
  <si>
    <t>In this article, the main approaches to information security (IS) in modern organizations are examined, depending on its structure and communication...</t>
  </si>
  <si>
    <t>Datasets used are statistical data from government bodies</t>
  </si>
  <si>
    <t>“Fig.1” shows the National Statistical Institute of Bulgaria data from the last two state observations...</t>
  </si>
  <si>
    <t>Mentions IDS/IPS as tools but does not propose new algorithms</t>
  </si>
  <si>
    <t>Intrusion Detection Systems solutions monitor and analyse the organization's internal network traffic...</t>
  </si>
  <si>
    <t>Section III Results and Discussion</t>
  </si>
  <si>
    <t>Page 253 / Abstract</t>
  </si>
  <si>
    <t>Paper Type is Survey</t>
  </si>
  <si>
    <t>This study is based on a systematic literature review in a way to provide a comprehensive analysis...</t>
  </si>
  <si>
    <t>Page 254 / Introduction</t>
  </si>
  <si>
    <t>Review of Database Misuse Detection (Graph mention)</t>
  </si>
  <si>
    <t>The method uses dependency graphs based on domain-expert knowledge.</t>
  </si>
  <si>
    <t>Page 255 / III. Results and Discussion A</t>
  </si>
  <si>
    <t>Abstract &amp; Introduction</t>
  </si>
  <si>
    <t>Definition of Leakage</t>
  </si>
  <si>
    <t>Use of Bi-LSTM for classification</t>
  </si>
  <si>
    <t>Bi-LSTM model is employed at the end to determine the class label properly.</t>
  </si>
  <si>
    <t>Page 2851 (Section 3.5)</t>
  </si>
  <si>
    <t>Workflow suggests Leakage via Global SMOTE</t>
  </si>
  <si>
    <t>online streaming of big data is initially preprocessed... Next, the preprocessed data undergoes class imbalance handling process by following SMOTE-GSO algorithm... Data Stream 1...n</t>
  </si>
  <si>
    <t>Page 2846 (Section 3) &amp; Fig. 1</t>
  </si>
  <si>
    <t>Dataset size matches Training set</t>
  </si>
  <si>
    <t>KDDCup 99 dataset includes a set of 125973 instances</t>
  </si>
  <si>
    <t>Page 2852 (Table 1)</t>
  </si>
  <si>
    <t>Oversampling results</t>
  </si>
  <si>
    <t>GSO-SMOTE technique sampled the original KDDCup99 dataset with 125973 instances into 129843 instances.</t>
  </si>
  <si>
    <t>Page 2852 (Section 4.1)</t>
  </si>
  <si>
    <t>Leakage in Workflow</t>
  </si>
  <si>
    <t>Figure 1, Page 2846</t>
  </si>
  <si>
    <t>Table 1 &amp; Table 2, Page 2852-2853</t>
  </si>
  <si>
    <t>Focus on scheduling algorithms rather than graph-based detection</t>
  </si>
  <si>
    <t>Eight algorithms are proposed to minimize the total transmission time... The studied problem is an NP-hard.</t>
  </si>
  <si>
    <t>Use of synthetic dataset for evaluation</t>
  </si>
  <si>
    <t>To assess the proposed algorithms, we used 1,500 instances... generated following five classes of instances... based on the uniform distribution</t>
  </si>
  <si>
    <t>Page 10 (Generated dataset evaluation)</t>
  </si>
  <si>
    <t>Use of real dataset based on video packet sizes, not security traces</t>
  </si>
  <si>
    <t>Benchmark Real-Dataset evaluation... The packet transmission time is estimated based on their size... dataset on video packet size... published in Ukommi</t>
  </si>
  <si>
    <t>Page 13</t>
  </si>
  <si>
    <t>Task Type is Secure Messaging System Design (Other)</t>
  </si>
  <si>
    <t>The blockchain technology is proposed in this article for a simulation messaging platform based on the Bitcoin protocol to prevent personal data leakage.</t>
  </si>
  <si>
    <t>Graph Type is Blockchain/UTXO</t>
  </si>
  <si>
    <t>A blockchain is a list of a continuously ever-growing list of blocks, which are linked together using a cryptographic hash</t>
  </si>
  <si>
    <t>Page 2, Section 1 Introduction</t>
  </si>
  <si>
    <t>Page 4, Section 2 UNCUFFED SYSTEM</t>
  </si>
  <si>
    <t>Threat Model related to Data Leakage</t>
  </si>
  <si>
    <t>Messaging systems used in critical applications... increase the security issues that lead faster to breaches, loss, and damage.</t>
  </si>
  <si>
    <t>Page 4, Section 2 (Hyperlink hidden in PDF text)</t>
  </si>
  <si>
    <t>Reasons_for_Low_Confidence</t>
  </si>
  <si>
    <t>The source is a book, not a research paper, so standard ML evaluation fields are naturally missing.</t>
  </si>
  <si>
    <t>Paper is Out-of-Scope for 'Graph-based APT Detection'. It is a Wireless Communication/Hardware Security paper.</t>
  </si>
  <si>
    <t>Paper is irrelevant to Graph-based APT Detection (SLR topic). It focuses on Packet Scheduling Algorithms.</t>
  </si>
  <si>
    <t>N/A</t>
  </si>
  <si>
    <t>The paper is completely out of scope for 'Graph-based APT Detection'. It is a qualitative review of telemedicine data privacy laws in Indonesia.</t>
  </si>
  <si>
    <t>Paper is not about Graph-based APT Detection (Off-topic for the specific SLR domain but extracted accurately based on content).</t>
  </si>
  <si>
    <t>Paper is out of domain for 'APT Detection'. It focuses on Cybersecurity Awareness Education using Social Network Analysis.</t>
  </si>
  <si>
    <t>The paper is a technical report on software features, not a research paper on detection algorithms. Many fields are rightfully 'Not Reported'.</t>
  </si>
  <si>
    <t>Paper is not about Graph-based APT Detection or ML evaluation. It is a general security paper on DLP tools.</t>
  </si>
  <si>
    <t>Paper is not about Graph-based APT Detection; Domain is Medical Imaging; Model is CNN (ResNet), not GNN</t>
  </si>
  <si>
    <t>The paper is about Hardware Security (Trojans/Circuit Design), not Graph-based APT Detection or Machine Learning.; Most schema fields regarding ML evaluation (splits, leakage, sampling) are not applicable.</t>
  </si>
  <si>
    <t>Paper is not strictly Graph-based (Tabular Stream Classification), so Graph-related fields are 'Not Reported'.</t>
  </si>
  <si>
    <t>Paper is not about Graph-based APT Detection or ML Evaluation.; Content is theoretical/definition-based, lacking experimental metrics typically required for this schema.</t>
  </si>
  <si>
    <t>Paper is out of scope: This is a social science survey paper, not a technical computer science paper on Graph-based APT detection.; No graph data, APT datasets, or ML models present.</t>
  </si>
  <si>
    <t>Paper is out of scope (Recommendation System, not Graph-based APT Detection).</t>
  </si>
  <si>
    <t>Survey Paper: Does not contain primary experimental evaluation details (Splits/Sampling) required by the schema.</t>
  </si>
  <si>
    <t>Paper is clearly out of scope for 'Graph-based APT Detection' SLR. It focuses on Chatbot Security and General ML concepts without specific experiments.</t>
  </si>
  <si>
    <t>The paper is a secondary study (Literature Review) in the Energy domain, not a primary study on Graph-based APT detection, resulting in 'Not Reported' for most specific fields.</t>
  </si>
  <si>
    <t>Paper is Out of Scope: The document is about 'Teacher Training in Cybersecurity' (Education), not 'Graph-based APT Detection' (Technical Computer Science). Therefore, all technical fields (Split, Leakage, Graph Type) are not applicable.</t>
  </si>
  <si>
    <t>Paper is not about Graph-based APT Detection using ML; it is about Data Leakage Prevention using AV signatures and Epidemic Simulation.</t>
  </si>
  <si>
    <t>Paper is not about Graph-based APT Detection using ML.; Methodology is Formal Verification (Model Checking), not Data Mining/ML.; No datasets, splits, or sampling strategies applicable to the SLR topic.</t>
  </si>
  <si>
    <t>บทความตั้งชื่อหัวข้อ Experimental Results แต่เนื้อหาภายในเป็นเพียงตารางสรุปข้อมูล (Definitions) ไม่ใช่ผลการทดลองจริง</t>
  </si>
  <si>
    <t>Paper is clearly out of scope for 'Graph-based APT Detection'. It is a user behavior survey.</t>
  </si>
  <si>
    <t>Paper is not strictly a Graph-based APT detection paper.; It focuses on Cryptography (ECC) and general risk assessment.; Evaluation details lack standard ML rigor (splits, datasets).</t>
  </si>
  <si>
    <t>บทความนี้เป็น Hardware Security/Static Analysis ไม่ใช่ Graph-based APT Detection ด้วย ML โดยตรง ทำให้หลาย Field ใน Schema เป็น 'Not Reported' หรือต้อง Mapping แบบอ้อมๆ</t>
  </si>
  <si>
    <t>Paper is out of scope for 'Graph-based APT Detection' SLR. It is a theoretical security framework paper, not an ML/Graph empirical study.</t>
  </si>
  <si>
    <t>The paper is a case study on mobile security vulnerabilities and does not fit the specific inclusion criteria for Graph-based APT detection models or ML evaluation.</t>
  </si>
  <si>
    <t>บทความนี้ไม่เกี่ยวข้องกับหัวข้อ Graph-based APT Detection โดยตรง (Out of scope)</t>
  </si>
  <si>
    <t>บทความนี้ไม่ใช่ Technical Paper ด้าน Graph-based Detection แต่เป็นงานด้าน Requirements Engineering (Conceptual Framework) จึงไม่มีข้อมูลด้าน Dataset, Split, หรือ Metrics ที่ต้องการใน SLR นี้</t>
  </si>
  <si>
    <t>Paper is Out-of-Scope: This is an educational systematic review, not a technical paper on Graph-based APT Detection.</t>
  </si>
  <si>
    <t>Paper is out of scope: Legal analysis/Policy paper, not Technical/CS Graph-based APT detection experiment.</t>
  </si>
  <si>
    <t>Paper is technically valid but is likely a False Positive for 'Graph-based APT Detection' SLR as it deals with Hardware Formal Verification, not Network/System Log Analysis.</t>
  </si>
  <si>
    <t>This paper is a False Positive for the SLR topic 'Graph-based APT Detection'. It is a memory safety defense paper, not a graph learning paper.</t>
  </si>
  <si>
    <t>Paper is not about Graph-based APT detection or Machine Learning, so most specific schema fields are Not Reported.</t>
  </si>
  <si>
    <t>The paper is a conceptual overview/survey disguised as a research paper; it lacks specific experimental data, dataset names, or algorithmic details.</t>
  </si>
  <si>
    <t>Paper is irrelevant to the SLR topic (Graph-based APT Detection in ML), resulting in 'Not Reported' for most fields.</t>
  </si>
  <si>
    <t>Paper uses tabular network flow features and autoencoders, not specifically graph-based modeling, which leaves most Graph-specific properties as 'Not Reported'.</t>
  </si>
  <si>
    <t>The paper is entirely out of scope for the SLR target (Graph-based APT Detection). It evaluates a simple AIML chatbot for security awareness.</t>
  </si>
  <si>
    <t>เป็นเอกสารประเภท Demo Abstract ความยาว 2 หน้าเท่านั้น; ไม่ใช่งานวิจัยที่ใช้ Graph-based approach ตามเป้าหมายหลัก; ขาดรายละเอียดด้านการประเมินผลและการเตรียมข้อมูลโดยสิ้นเชิง</t>
  </si>
  <si>
    <t>The paper is focused on Relational Database Security (Query Optimization to mitigate Memory Scraping) and is completely out of scope for Graph-based APT Detection or Machine Learning evaluation.</t>
  </si>
  <si>
    <t>Paper is largely out-of-scope for 'Graph-based APT Detection' as it focuses on museum data, image classification, and federated learning without any graphs.</t>
  </si>
  <si>
    <t>Paper is a position/survey paper proposing an architecture. It completely lacks empirical evaluation, datasets, models, or graph structures matching the SLR scope.</t>
  </si>
  <si>
    <t>The paper is focused on Hardware Security and NoC routing simulation, which is fundamentally out of domain for Graph-based APT Machine Learning SLR. Key fields are marked as 'Not Reported' due to lack of applicability.</t>
  </si>
  <si>
    <t>ไม่พบเนื้อหาในส่วนของ Graph-based approaches ซึ่งเป็นบริบทหลักของการทบทวนวรรณกรรมนี้; ขาดรายละเอียดขั้นตอนการทดลองและประเมินผลเชิงลึก (Splitting &amp; Sampling)</t>
  </si>
  <si>
    <t>Paper is entirely outside the domain of Graph-based Machine Learning. It utilizes exact string matching in OS memory via hypervisors.</t>
  </si>
  <si>
    <t>เอกสารไม่เกี่ยวข้องกับ Graph-based APT Detection (ใช้การจัดหมวดหมู่บันทึกเครือข่าย/ระบบคลาวด์ปกติ); ไม่มีการรายงานวิธีการแบ่งชุดข้อมูล (Data splits) หรือกลยุทธ์การทดลองที่ละเอียดเพียงพอ</t>
  </si>
  <si>
    <t>The paper is strictly a framework proposal without empirical evaluation. Thus, most ML evaluation specific variables were marked 'Not Reported'.</t>
  </si>
  <si>
    <t>บทความนี้ไม่ใช่งานวิจัยด้าน Graph-based APT Detection หรือ Machine Learning แต่อย่างใด เป็นเรื่อง Game Theory และการหาจุดสมดุล Nash Equilibrium ทำให้ฟิลด์ข้อมูลต่างๆ ไม่สอดคล้องกับกรอบการวิเคราะห์หลัก</t>
  </si>
  <si>
    <t>The paper is completely out of scope regarding Graph-based APT Detection. It focuses on hashing technologies for CSAM detection.</t>
  </si>
  <si>
    <t>Not a graph-based APT detection paper (focuses on URL textual/statistical features for Phishing)</t>
  </si>
  <si>
    <t>The paper is entirely outside the scope of Graph-based APT detection. It focuses on Side-Channel Attacks (SCA) using time-series/sequential data (power traces).</t>
  </si>
  <si>
    <t>เปเปอร์นี้นำเสนอโปรโตคอลความปลอดภัยบนบล็อกเชน ไม่ใช่งานวิจัยด้าน Machine Learning สำหรับการตรวจจับ APT ด้วยกราฟตาม Schema หลัก จึงไม่พบข้อมูลเชิงประเมินผล ML</t>
  </si>
  <si>
    <t>งานวิจัยนี้ไม่ได้ใช้วิธีการทาง Graph-based machine learning (ใช้การดึงฟีเจอร์แบบ Tabular ปกติจาก Packet headers) ซึ่งอยู่นอกขอบเขตของ Graph-based APT Detection; ไม่มีการรายงานรายละเอียดเกี่ยวกับการแบ่งกลุ่มข้อมูลและการจัดการ leakage</t>
  </si>
  <si>
    <t>The document is an extended abstract/short paper consisting of only 2 pages.; No experimental section, datasets, or evaluation methodologies are present.; Not related to Graph-based APT detection (focuses on dynamic analysis of mobile malware).</t>
  </si>
  <si>
    <t>The paper is a demo track paper, not a full research paper on ML.; Lacks traditional ML experimental setup, datasets, and evaluation metrics.</t>
  </si>
  <si>
    <t>The paper focuses on SDN policy management and rule merging, rather than Graph Neural Networks or ML-based APT detection, leading to many ML-specific fields mapping to 'Not Reported' or 'other'.</t>
  </si>
  <si>
    <t>บทความนี้อยู่นอกขอบเขตของการวิจัย (Out of scope) เนื่องจากเนื้อหาเกี่ยวข้องกับ String Matching Algorithm และ Finite Automata ในบริบท Data Leakage Prevention ไม่เกี่ยวกับ Graph-based APT Detection หรือ Machine Learning Evaluation</t>
  </si>
  <si>
    <t>บทความนี้ไม่ใช่งานวิจัยด้าน Graph-based APT Detection หรือ ML Evaluation จึงไม่มีข้อมูลตรงกับฟิลด์ส่วนใหญ่ที่กำหนดไว้ใน Schema</t>
  </si>
  <si>
    <t>The paper focuses on Internet of Vehicles (IoV) and sequence modeling, not Graph-based APT detection.; Split and sampling strategies are not explicitly reported in the text.</t>
  </si>
  <si>
    <t>Paper is entirely out of scope for the Machine Learning / Graph-based APT evaluation topic.; Data Leakage refers to corporate data loss (DLP), not ML evaluation bias.</t>
  </si>
  <si>
    <t>The paper is highly relevant to temporal streaming data but completely out of scope regarding 'Graph-based APT Detection' or 'Explainability'. It focuses solely on network traffic stream protocol identification.</t>
  </si>
  <si>
    <t>The paper falls outside the domain of Machine Learning and Graph-based APT Detection, leading to many 'Not Reported' fields in standard data leakage and ML evaluation metrics.</t>
  </si>
  <si>
    <t>The paper is entirely out of scope for 'Graph-based APT Detection'. It is a telecommunications/systems security paper focusing on data transmission over analog voice channels.</t>
  </si>
  <si>
    <t>The paper is entirely out of scope for 'Graph-based APT Detection' as it is an empirical finance event study, leading to 'Not Reported' for all target fields.</t>
  </si>
  <si>
    <t>The paper does not contain a standard Machine Learning evaluation section, making most fields related to models, splits, metrics, and leakage 'Not Reported'.</t>
  </si>
  <si>
    <t>Paper is entirely out-of-scope for 'Graph-based APT Detection'. It is a survey focusing on Large Language Models (LLMs) in DoD applications.</t>
  </si>
  <si>
    <t>The extraction confidence is high in the context of identifying that empirical evaluation metrics, graph techniques, and split strategies are explicitly not present in this literature review paper.</t>
  </si>
  <si>
    <t>เปเปอร์ไม่ได้เกี่ยวกับ Graph-based APT Detection ตามขอบเขตที่ต้องการ แต่เน้นเรื่อง Cybersecurity และ Privacy ใน Extended Reality (XR)</t>
  </si>
  <si>
    <t>The paper focuses on threshold-based detection via sliding windows rather than Machine Learning graph classification, resulting in many fields marked as 'Not Reported'.</t>
  </si>
  <si>
    <t>The paper focuses on Natural Language Processing (BERT) and kernel modification for memory forensics, not on Graph-based APT Detection.</t>
  </si>
  <si>
    <t>บทความไม่มีการระบุการแบ่งส่วนข้อมูลสำหรับ Train และ Test (Train-Test Split) ที่ใช้ในการประเมินผลเลย ทำให้ข้อมูลด้าน Split Strategy ต้องตั้งเป็น Not Reported ทั้งหมด</t>
  </si>
  <si>
    <t>The extraction is confident; however, the paper focuses entirely on structured tabular network data rather than graph-based APT detection, making many schema fields explicitly 'Not Reported'.</t>
  </si>
  <si>
    <t>The document is a broad survey and perspective paper rather than an empirical study.; No specific datasets, evaluation splits, or graph-based threat detection models are proposed or systematically evaluated.</t>
  </si>
  <si>
    <t>The paper is strictly focused on hardware security and system architecture, entirely outside the domain of ML and Graph-based APT Detection.</t>
  </si>
  <si>
    <t>เปเปอร์นี้ไม่ได้อิงกับ Graph-based APT detection โดยตรง ทำให้หลาย Attributes ในหมวด Graph ต้องถูกตอบเป็น Not Reported; รายละเอียดเชิงลึกของ Train/Test Splitting ถูกละเว้นไว้ในตัวเปเปอร์</t>
  </si>
  <si>
    <t>The paper is entirely out-of-scope for the SLR topic (Graph-based APT Detection). It focuses on accounting digitalization and AHP.</t>
  </si>
  <si>
    <t>Not a Graph-based ML paper; Uses basic static analysis and keyword matching instead of ML or Graph modeling; Lack of traditional evaluation methodology</t>
  </si>
  <si>
    <t>The paper does not utilize graph-based techniques, which diverges from the core theme of the systematic literature review.</t>
  </si>
  <si>
    <t>The paper focuses on CNN/BiGRU applied to flow sequences rather than formal Graph Neural Networks, which limits its direct applicability to graph-specific evaluations.</t>
  </si>
  <si>
    <t>บทความนี้ไม่เกี่ยวข้องกับหัวข้อ Graph-based APT Detection และการประเมิน Machine Learning อย่างสิ้นเชิง เนื้อหาหลักคือเรื่อง Human Factors และ Cybersecurity Psychology</t>
  </si>
  <si>
    <t>The paper focuses on system architecture and concepts rather than empirical evaluation.; No datasets, baselines, split strategies, or evaluation metrics are reported.</t>
  </si>
  <si>
    <t>The paper is clearly an overview/survey paper and does not contain empirical ML experimental data to extract for SLR specific to evaluation setups.</t>
  </si>
  <si>
    <t>The paper is entirely out of scope for Graph-based APT Detection and Machine Learning. The term 'Data Leakage' in the title refers to information security (data loss/exfiltration) rather than ML evaluation leakage.</t>
  </si>
  <si>
    <t>The paper is purely theoretical/taxonomical and lacks empirical machine learning models. Most data extraction fields directly related to graph-based AI evaluation had to be mapped as 'Not Reported'.</t>
  </si>
  <si>
    <t>The paper is completely out of scope for Machine Learning and Graph-based APT detection (it focuses on digital forensic methodologies and CLI tools).</t>
  </si>
  <si>
    <t>The document focuses on traditional ML-based NIDS, entirely missing the target domain of Graph-based APT Detection.</t>
  </si>
  <si>
    <t>Paper is not related to Graph-based APT Detection. It uses traditional features and tabular/time-series data, making graph-specific schema elements unanswerable.</t>
  </si>
  <si>
    <t>The paper is completely out of scope for graph-based ML or APT detection. It focuses on hardware interconnect routing (scramblers in 2.5D ICs).</t>
  </si>
  <si>
    <t>The text is a broad survey rather than a primary empirical paper on graph-based APT detection.; It lacks detailed insights specifically addressing dataset splits, leakage risks, or graph methodologies which are the core aspects of the SLR schema.</t>
  </si>
  <si>
    <t>เป้าหมายหลักของ Systematic Review คือ Graph-based APT Detection แต่งานนี้วิเคราะห์ข้อมูลแบบ Sequence-based Time-series (RNN Auto-encoder) ในโดเมน IoT Smart Home Spoofing โดยไม่มีการใช้ Graph</t>
  </si>
  <si>
    <t>The paper focuses on data compression and network forensic storage (data theft prevention), rather than graph-based machine learning for APT detection. ML evaluation metrics are not applicable.</t>
  </si>
  <si>
    <t>เปเปอร์นี้เป็นงานวิจัยทางสังคมศาสตร์ (Social Science) และพฤติกรรมศาสตร์ ซึ่งอยู่นอกขอบเขตของ Graph-based APT Detection และ Cybersecurity Machine Learning โดยสิ้นเชิง</t>
  </si>
  <si>
    <t>The content of the paper focuses entirely on corporate cybersecurity policies, incident management frameworks (C2M2), and organizational Data Leakage Prevention (DLP). It is fundamentally unrelated to machine learning, graph-based APT detection, model evaluation bias, or ML data leakage.</t>
  </si>
  <si>
    <t>งานวิจัยไม่ได้เน้นกระบวนการประเมินผลแบบ Graph Machine Learning ขั้นสูง แต่เป็นการสกัดฟีเจอร์จาก Network Graph เข้าสู่โมเดล CNN/FL ปกติ</t>
  </si>
  <si>
    <t>The paper focuses on tabular flow-level network intrusion detection, entirely omitting Graph-based or APT-specific concepts, making most graph-related fields 'Not Reported'.</t>
  </si>
  <si>
    <t>The paper is not based on graphs, requiring mapping of non-graph concepts to a strict graph-oriented schema.; The paper contains contradictory evaluation reports (e.g., claiming 99% precision/recall but later stating LSTM average TPR is 43% and FPR is 79%).</t>
  </si>
  <si>
    <t>The paper is about Network-on-Chip hardware security and routing algorithms, which does not fit the ML/Graph-based APT detection parameters outlined in the extraction instructions.</t>
  </si>
  <si>
    <t>งานวิจัยนี้อยู่นอกเหนือขอบเขต (Out of scope) ของการทำ Graph-based APT Detection / ML Evaluation ทำให้ค่าข้อมูลที่เกี่ยวข้องกับการแบ่งชุดข้อมูลหรือ Leakage เป็น Not Reported ทั้งหมด</t>
  </si>
  <si>
    <t>เนื้อหาของบทความไม่ตรงกับขอบเขตหัวข้อ Graph-based APT Detection และการประเมินผล Machine Learning ตามที่กำหนดในเป้าหมายการทบทวนวรรณกรรม</t>
  </si>
  <si>
    <t>The paper uses a deterministic/probabilistic security reasoning approach (POMDP + MulVAL), completely omitting ML-based dataset splitting or sampling strategies requested by the schema.</t>
  </si>
  <si>
    <t>บทความนี้ไม่ใช่ผลงานที่พัฒนา Machine Learning หรือ Graph-based algorithm หัวข้อประเมินผลในสคีมาส่วนใหญ่จึงไม่สามารถใช้งานได้</t>
  </si>
  <si>
    <t>The paper is a survey/systematic review (SLR) focusing on SOC automation via LLMs and AI Agents, not an empirical study focused on Graph-based APT Detection.; Most schema fields concerning specific graph methodologies, dataset splits, or model-level data leakage control are not applicable or 'Not Reported'.</t>
  </si>
  <si>
    <t>The paper is a software instrumentation paper, not a Machine Learning modeling paper.; Fields related to Split Strategy, Data Leakage, and Sampling strictly fall outside the scope of the paper's actual methodology.</t>
  </si>
  <si>
    <t>Paper is a general review on AI in IoT, lacking specific details on Graph-based APT detection, datasets, and evaluation methodologies.; Most required extraction fields are entirely unaddressed in the source text.</t>
  </si>
  <si>
    <t>The paper focuses on string matching and text-based data leakage prevention, which is entirely outside the scope of Graph-based APT Detection. ML evaluation fields are mostly inapplicable.</t>
  </si>
  <si>
    <t>The paper focuses on blockchain transparency for cryptographic key services, completely unrelated to Graph-based APT Detection or graph model evaluation leakage.</t>
  </si>
  <si>
    <t>The paper is entirely out of scope for the SLR topic (Graph-based APT Detection). It discusses civil engineering and 3D photogrammetry of energy infrastructure. The 'data leakage' mentioned relates to information security, not ML dataset splitting.</t>
  </si>
  <si>
    <t>Paper is a broad review on IoT security using AI, completely unrelated to Graph-based APT Detection.; No empirical experimental setup, datasets, metrics, or evaluation split strategies were discussed in the paper.</t>
  </si>
  <si>
    <t>The paper does not fit the Graph-based APT Detection context completely, resulting in 'Not Reported' for all graph and APT-related attributes.</t>
  </si>
  <si>
    <t>The paper focuses on ML-based DoH tunneling detection using packet statistics, not on Graph-based APT Detection (the core focus of the SLR framework).</t>
  </si>
  <si>
    <t>ตัวบทความไม่เกี่ยวข้องกับหัวข้อ Graph-based APT Detection หรือกระบวนการจัดเตรียมข้อมูล (Dataset Splitting, Leakage) สำหรับ Machine Learning ตามที่ต้องการ</t>
  </si>
  <si>
    <t>The paper focuses strictly on online stream processing and concept drift, lacking any relation to Graph-based APT detection which is the core subject of the review.</t>
  </si>
  <si>
    <t>The paper focuses on Federated Learning and Deep Learning for DoS detection, not Graph-based APT detection. Graph-specific fields are thus Not Reported.</t>
  </si>
  <si>
    <t>The paper is out of scope for the SLR topic 'Graph-based APT Detection'. It focuses exclusively on blockchain and transparency frameworks for cryptographic TPAs.</t>
  </si>
  <si>
    <t>บทความนี้มุ่งเน้นที่ Time-series sequence modeling (ใช้ TCN) ไม่ใช่ Graph-based model ซึ่งเป็นเป้าหมายหลักของ SLR (Graph-based APT Detection) ทำให้ข้อมูลฟิลด์ที่เกี่ยวกับ Graph เป็น Not Reported</t>
  </si>
  <si>
    <t>The paper focuses on Generative AI risks in education and governance frameworks, completely unrelated to Graph-based APT Detection or empirical ML dataset evaluation.</t>
  </si>
  <si>
    <t>The paper focuses on Time-Series analysis of Side-Channel Attacks, which diverges significantly from Graph-based APT Detection tasks specified in the target schema.</t>
  </si>
  <si>
    <t>เปเปอร์นี้อยู่นอกเหนือขอบเขตของ Graph-based APT Detection และไม่มีการทดลองที่เกี่ยวข้องกับโครงสร้างข้อมูลและการประเมินผล</t>
  </si>
  <si>
    <t>Paper is completely outside the domain of Graph-based APT Detection. It focuses on hardware-level trojans (FPGA, SoC, ML on bus transactions) with no graph elements.</t>
  </si>
  <si>
    <t>The paper is completely out of scope for the systematic literature review. It focuses on DNA-based cryptography and does not mention Graph-based APT Detection, ML datasets, graph dynamics, or evaluation splits.</t>
  </si>
  <si>
    <t>บทความที่นำมาวิเคราะห์อยู่นอกขอบเขต (Out of scope) ของหัวข้อ Graph-based APT Detection อย่างสิ้นเชิง โดยเป็นงานทบทวนวรรณกรรมเกี่ยวกับการตระหนักรู้ด้านฟิชชิง ทำให้ไม่พบข้อมูลทางเทคนิคที่เกี่ยวข้องกับ ML Evaluation</t>
  </si>
  <si>
    <t>The source document is completely out-of-scope for the SLR topic (Graph-based APT Detection). It is a legal case study on real-world data privacy breaches, causing almost all ML-specific JSON fields to be marked as 'Not Reported'.</t>
  </si>
  <si>
    <t>บทความนี้เป็นบทความปริทัศน์ (Survey/Overview) ด้าน Mobile Social Networks; ไม่ตรงกับขอบเขตงานวิจัยเรื่อง Graph-based APT Detection; ไม่มีการประเมินผลเชิงประจักษ์ (No Empirical Evaluation)</t>
  </si>
  <si>
    <t>เอกสารนี้เป็นบทความ Survey เกี่ยวกับ Covert Channels ไม่ใช่งานวิจัยด้าน Graph-based APT Detection หรือ Machine Learning จึงไม่มีข้อมูลที่ตอบโจทย์ตาม Schema เฟส 5 และ 6</t>
  </si>
  <si>
    <t>The paper is not a machine learning intrusion detection study, so most fields regarding Split Strategy, Leakage, and Sampling strictly do not apply and were marked 'Not Reported'.</t>
  </si>
  <si>
    <t>Paper is Out-of-Scope for the specific SLR topic (Graph-based APT Detection). It focuses on Hardware Security/Circuit Design.</t>
  </si>
  <si>
    <t>Paper is not graph-based (uses CNN/LSTM), so graph-specific fields are marked Not Reported</t>
  </si>
  <si>
    <t>This paper is a 'False Positive' for the specific topic of 'Graph-based APT Detection using Machine Learning'.; The paper discusses 'Authorization-Data Leakage' (security vulnerability) rather than 'Data Leakage' in ML evaluation.; Most fields related to ML training, splitting, and sampling are Not Applicable.</t>
  </si>
  <si>
    <t>Paper is not about Graph-based APT detection but Text-based DLP. Fields related to Graph are marked 'Not Reported'.</t>
  </si>
  <si>
    <t>Paper is clearly out of scope for Graph-based APT Detection (uses CNN on MNIST for Covert Comm in FL).</t>
  </si>
  <si>
    <t>The paper is clearly about Blockchain Messaging System Design and does not involve Machine Learning based APT detection, hence ML-specific fields are consistently 'Not Reported'.</t>
  </si>
  <si>
    <t>Paper is irrelevant to Graph-based APT Detection (Off-topic)</t>
  </si>
  <si>
    <t>บทความนี้อยู่นอกขอบเขต (Out of Scope) สำหรับโจทย์ Graph-based APT Detection Evaluation เพราะเป็น Survey ด้าน DLP Security Mechanism; คำว่า 'Data Leakage' ในบทความนี้หมายถึง Security Breach ไม่ใช่ ML Validation Flaw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</si>
</sst>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00Index" displayName="_00Index" ref="A1:J354">
  <autoFilter ref="A1:J354" xr:uid="{00000000-0009-0000-0100-000001000000}"/>
  <tableColumns count="10">
    <tableColumn id="1" xr3:uid="{00000000-0010-0000-0000-000001000000}" name="Paper_ID"/>
    <tableColumn id="2" xr3:uid="{00000000-0010-0000-0000-000002000000}" name="Title"/>
    <tableColumn id="3" xr3:uid="{00000000-0010-0000-0000-000003000000}" name="Year"/>
    <tableColumn id="4" xr3:uid="{00000000-0010-0000-0000-000004000000}" name="Venue"/>
    <tableColumn id="5" xr3:uid="{00000000-0010-0000-0000-000005000000}" name="DOI"/>
    <tableColumn id="6" xr3:uid="{00000000-0010-0000-0000-000006000000}" name="DOI_Link"/>
    <tableColumn id="7" xr3:uid="{00000000-0010-0000-0000-000007000000}" name="PDF_Path"/>
    <tableColumn id="8" xr3:uid="{00000000-0010-0000-0000-000008000000}" name="Extraction_Confidence"/>
    <tableColumn id="9" xr3:uid="{00000000-0010-0000-0000-000009000000}" name="Needs_Human_Review"/>
    <tableColumn id="10" xr3:uid="{00000000-0010-0000-0000-00000A000000}" name="Filename"/>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05Extraction" displayName="_05Extraction" ref="A1:AJ354">
  <autoFilter ref="A1:AJ354" xr:uid="{00000000-0009-0000-0100-000002000000}"/>
  <tableColumns count="36">
    <tableColumn id="1" xr3:uid="{00000000-0010-0000-0100-000001000000}" name="Paper_ID"/>
    <tableColumn id="2" xr3:uid="{00000000-0010-0000-0100-000002000000}" name="Title"/>
    <tableColumn id="3" xr3:uid="{00000000-0010-0000-0100-000003000000}" name="Year"/>
    <tableColumn id="4" xr3:uid="{00000000-0010-0000-0100-000004000000}" name="DOI"/>
    <tableColumn id="5" xr3:uid="{00000000-0010-0000-0100-000005000000}" name="PDF_Path"/>
    <tableColumn id="6" xr3:uid="{00000000-0010-0000-0100-000006000000}" name="Task_Type"/>
    <tableColumn id="7" xr3:uid="{00000000-0010-0000-0100-000007000000}" name="Security_Domain"/>
    <tableColumn id="8" xr3:uid="{00000000-0010-0000-0100-000008000000}" name="Threat_Model_or_Attack_Type"/>
    <tableColumn id="9" xr3:uid="{00000000-0010-0000-0100-000009000000}" name="Graph_Used"/>
    <tableColumn id="10" xr3:uid="{00000000-0010-0000-0100-00000A000000}" name="Graph_Type"/>
    <tableColumn id="11" xr3:uid="{00000000-0010-0000-0100-00000B000000}" name="Graph_Dynamics"/>
    <tableColumn id="12" xr3:uid="{00000000-0010-0000-0100-00000C000000}" name="Heterogeneous"/>
    <tableColumn id="13" xr3:uid="{00000000-0010-0000-0100-00000D000000}" name="Learning_Setup"/>
    <tableColumn id="14" xr3:uid="{00000000-0010-0000-0100-00000E000000}" name="Inductive_or_Transductive"/>
    <tableColumn id="15" xr3:uid="{00000000-0010-0000-0100-00000F000000}" name="Leakage_Risks_Discussed"/>
    <tableColumn id="16" xr3:uid="{00000000-0010-0000-0100-000010000000}" name="Leakage_Type"/>
    <tableColumn id="17" xr3:uid="{00000000-0010-0000-0100-000011000000}" name="Leakage_Channel"/>
    <tableColumn id="18" xr3:uid="{00000000-0010-0000-0100-000012000000}" name="Leakage_Control_Method"/>
    <tableColumn id="19" xr3:uid="{00000000-0010-0000-0100-000013000000}" name="Split_Strategy"/>
    <tableColumn id="20" xr3:uid="{00000000-0010-0000-0100-000014000000}" name="Split_Unit"/>
    <tableColumn id="21" xr3:uid="{00000000-0010-0000-0100-000015000000}" name="Temporal_Split"/>
    <tableColumn id="22" xr3:uid="{00000000-0010-0000-0100-000016000000}" name="Entity_Aware_Split"/>
    <tableColumn id="23" xr3:uid="{00000000-0010-0000-0100-000017000000}" name="Deduplication_or_Decontamination"/>
    <tableColumn id="24" xr3:uid="{00000000-0010-0000-0100-000018000000}" name="Sampling_Strategy"/>
    <tableColumn id="25" xr3:uid="{00000000-0010-0000-0100-000019000000}" name="Negative_Sampling"/>
    <tableColumn id="26" xr3:uid="{00000000-0010-0000-0100-00001A000000}" name="Hard_Negatives"/>
    <tableColumn id="27" xr3:uid="{00000000-0010-0000-0100-00001B000000}" name="Dataset_Used"/>
    <tableColumn id="28" xr3:uid="{00000000-0010-0000-0100-00001C000000}" name="Public_Data"/>
    <tableColumn id="29" xr3:uid="{00000000-0010-0000-0100-00001D000000}" name="Data_Availability_Link"/>
    <tableColumn id="30" xr3:uid="{00000000-0010-0000-0100-00001E000000}" name="Code_Availability"/>
    <tableColumn id="31" xr3:uid="{00000000-0010-0000-0100-00001F000000}" name="Code_Link"/>
    <tableColumn id="32" xr3:uid="{00000000-0010-0000-0100-000020000000}" name="Metrics"/>
    <tableColumn id="33" xr3:uid="{00000000-0010-0000-0100-000021000000}" name="Primary_Metric"/>
    <tableColumn id="34" xr3:uid="{00000000-0010-0000-0100-000022000000}" name="Baselines_or_Comparators"/>
    <tableColumn id="35" xr3:uid="{00000000-0010-0000-0100-000023000000}" name="Reproducibility_Assessment"/>
    <tableColumn id="36" xr3:uid="{00000000-0010-0000-0100-000024000000}" name="Evaluation_Threats_Noted"/>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06QuantCoding" displayName="_06QuantCoding" ref="A1:L354">
  <autoFilter ref="A1:L354" xr:uid="{00000000-0009-0000-0100-000003000000}"/>
  <tableColumns count="12">
    <tableColumn id="1" xr3:uid="{00000000-0010-0000-0200-000001000000}" name="Paper_ID"/>
    <tableColumn id="2" xr3:uid="{00000000-0010-0000-0200-000002000000}" name="Title"/>
    <tableColumn id="3" xr3:uid="{00000000-0010-0000-0200-000003000000}" name="Year"/>
    <tableColumn id="4" xr3:uid="{00000000-0010-0000-0200-000004000000}" name="DOI"/>
    <tableColumn id="5" xr3:uid="{00000000-0010-0000-0200-000005000000}" name="PDF_Path"/>
    <tableColumn id="6" xr3:uid="{00000000-0010-0000-0200-000006000000}" name="Has_Explicit_Leakage_Control"/>
    <tableColumn id="7" xr3:uid="{00000000-0010-0000-0200-000007000000}" name="Has_Temporal_Evaluation"/>
    <tableColumn id="8" xr3:uid="{00000000-0010-0000-0200-000008000000}" name="Has_Entity_Decontamination"/>
    <tableColumn id="9" xr3:uid="{00000000-0010-0000-0200-000009000000}" name="Reports_Split_Details"/>
    <tableColumn id="10" xr3:uid="{00000000-0010-0000-0200-00000A000000}" name="Reports_Sampling_Details"/>
    <tableColumn id="11" xr3:uid="{00000000-0010-0000-0200-00000B000000}" name="Risk_of_Evaluation_Bias"/>
    <tableColumn id="12" xr3:uid="{00000000-0010-0000-0200-00000C000000}" name="Risk_Rationale_Short"/>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07Findings" displayName="_07Findings" ref="A1:J354">
  <autoFilter ref="A1:J354" xr:uid="{00000000-0009-0000-0100-000004000000}"/>
  <tableColumns count="10">
    <tableColumn id="1" xr3:uid="{00000000-0010-0000-0300-000001000000}" name="Paper_ID"/>
    <tableColumn id="2" xr3:uid="{00000000-0010-0000-0300-000002000000}" name="Title"/>
    <tableColumn id="3" xr3:uid="{00000000-0010-0000-0300-000003000000}" name="Year"/>
    <tableColumn id="4" xr3:uid="{00000000-0010-0000-0300-000004000000}" name="DOI"/>
    <tableColumn id="5" xr3:uid="{00000000-0010-0000-0300-000005000000}" name="PDF_Path"/>
    <tableColumn id="6" xr3:uid="{00000000-0010-0000-0300-000006000000}" name="Key_Findings_1"/>
    <tableColumn id="7" xr3:uid="{00000000-0010-0000-0300-000007000000}" name="Key_Findings_2"/>
    <tableColumn id="8" xr3:uid="{00000000-0010-0000-0300-000008000000}" name="Key_Findings_3"/>
    <tableColumn id="9" xr3:uid="{00000000-0010-0000-0300-000009000000}" name="Evaluation_Bias_Observation"/>
    <tableColumn id="10" xr3:uid="{00000000-0010-0000-0300-00000A000000}" name="What_Was_Missing_in_Evaluation"/>
  </tableColumns>
  <tableStyleInfo name="TableStyleMedium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08GapsFutureWork" displayName="_08GapsFutureWork" ref="A1:L354">
  <autoFilter ref="A1:L354" xr:uid="{00000000-0009-0000-0100-000005000000}"/>
  <tableColumns count="12">
    <tableColumn id="1" xr3:uid="{00000000-0010-0000-0400-000001000000}" name="Paper_ID"/>
    <tableColumn id="2" xr3:uid="{00000000-0010-0000-0400-000002000000}" name="Title"/>
    <tableColumn id="3" xr3:uid="{00000000-0010-0000-0400-000003000000}" name="Year"/>
    <tableColumn id="4" xr3:uid="{00000000-0010-0000-0400-000004000000}" name="DOI"/>
    <tableColumn id="5" xr3:uid="{00000000-0010-0000-0400-000005000000}" name="PDF_Path"/>
    <tableColumn id="6" xr3:uid="{00000000-0010-0000-0400-000006000000}" name="Gap_Statements"/>
    <tableColumn id="7" xr3:uid="{00000000-0010-0000-0400-000007000000}" name="Future_Work_Suggestions"/>
    <tableColumn id="8" xr3:uid="{00000000-0010-0000-0400-000008000000}" name="Implication_for_Field"/>
    <tableColumn id="9" xr3:uid="{00000000-0010-0000-0400-000009000000}" name="Supports_Leakage_aware_Strategic_Sampling_Support_Level"/>
    <tableColumn id="10" xr3:uid="{00000000-0010-0000-0400-00000A000000}" name="Supports_Leakage_aware_Strategic_Sampling_How_it_supports"/>
    <tableColumn id="11" xr3:uid="{00000000-0010-0000-0400-00000B000000}" name="Supports_Intrinsic_Explainable_Dynamic_Hetero_Graph_Support_Level"/>
    <tableColumn id="12" xr3:uid="{00000000-0010-0000-0400-00000C000000}" name="Supports_Intrinsic_Explainable_Dynamic_Hetero_Graph_How_it_supports"/>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Evidence" displayName="Evidence" ref="A1:I1743">
  <autoFilter ref="A1:I1743" xr:uid="{00000000-0009-0000-0100-000006000000}"/>
  <tableColumns count="9">
    <tableColumn id="1" xr3:uid="{00000000-0010-0000-0500-000001000000}" name="Paper_ID"/>
    <tableColumn id="2" xr3:uid="{00000000-0010-0000-0500-000002000000}" name="Title"/>
    <tableColumn id="3" xr3:uid="{00000000-0010-0000-0500-000003000000}" name="Year"/>
    <tableColumn id="4" xr3:uid="{00000000-0010-0000-0500-000004000000}" name="DOI"/>
    <tableColumn id="5" xr3:uid="{00000000-0010-0000-0500-000005000000}" name="PDF_Path"/>
    <tableColumn id="6" xr3:uid="{00000000-0010-0000-0500-000006000000}" name="Type"/>
    <tableColumn id="7" xr3:uid="{00000000-0010-0000-0500-000007000000}" name="Claim"/>
    <tableColumn id="8" xr3:uid="{00000000-0010-0000-0500-000008000000}" name="Quote"/>
    <tableColumn id="9" xr3:uid="{00000000-0010-0000-0500-000009000000}" name="Page_or_Section"/>
  </tableColumns>
  <tableStyleInfo name="TableStyleMedium9"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QualityControl" displayName="QualityControl" ref="A1:H354">
  <autoFilter ref="A1:H354" xr:uid="{00000000-0009-0000-0100-000007000000}"/>
  <tableColumns count="8">
    <tableColumn id="1" xr3:uid="{00000000-0010-0000-0600-000001000000}" name="Paper_ID"/>
    <tableColumn id="2" xr3:uid="{00000000-0010-0000-0600-000002000000}" name="Title"/>
    <tableColumn id="3" xr3:uid="{00000000-0010-0000-0600-000003000000}" name="Year"/>
    <tableColumn id="4" xr3:uid="{00000000-0010-0000-0600-000004000000}" name="DOI"/>
    <tableColumn id="5" xr3:uid="{00000000-0010-0000-0600-000005000000}" name="PDF_Path"/>
    <tableColumn id="6" xr3:uid="{00000000-0010-0000-0600-000006000000}" name="Extraction_Confidence"/>
    <tableColumn id="7" xr3:uid="{00000000-0010-0000-0600-000007000000}" name="Reasons_for_Low_Confidence"/>
    <tableColumn id="8" xr3:uid="{00000000-0010-0000-0600-000008000000}" name="Needs_Human_Review"/>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4"/>
  <sheetViews>
    <sheetView tabSelected="1" workbookViewId="0">
      <pane ySplit="1" topLeftCell="A2" activePane="bottomLeft" state="frozen"/>
      <selection pane="bottomLeft" activeCell="G17" sqref="G17"/>
    </sheetView>
  </sheetViews>
  <sheetFormatPr baseColWidth="10" defaultColWidth="8.83203125" defaultRowHeight="15" x14ac:dyDescent="0.2"/>
  <cols>
    <col min="1" max="7" width="12" customWidth="1"/>
    <col min="8" max="8" width="23" customWidth="1"/>
    <col min="9" max="9" width="20" customWidth="1"/>
    <col min="10" max="10" width="12" customWidth="1"/>
  </cols>
  <sheetData>
    <row r="1" spans="1:10" ht="16" x14ac:dyDescent="0.2">
      <c r="A1" s="1" t="s">
        <v>0</v>
      </c>
      <c r="B1" s="1" t="s">
        <v>1</v>
      </c>
      <c r="C1" s="1" t="s">
        <v>2</v>
      </c>
      <c r="D1" s="1" t="s">
        <v>3</v>
      </c>
      <c r="E1" s="1" t="s">
        <v>4</v>
      </c>
      <c r="F1" s="1" t="s">
        <v>5</v>
      </c>
      <c r="G1" s="1" t="s">
        <v>6</v>
      </c>
      <c r="H1" s="1" t="s">
        <v>7</v>
      </c>
      <c r="I1" s="1" t="s">
        <v>8</v>
      </c>
      <c r="J1" s="1" t="s">
        <v>9</v>
      </c>
    </row>
    <row r="2" spans="1:10" x14ac:dyDescent="0.2">
      <c r="A2" t="s">
        <v>10</v>
      </c>
      <c r="B2" t="s">
        <v>11</v>
      </c>
      <c r="C2" t="s">
        <v>12</v>
      </c>
      <c r="D2" t="s">
        <v>13</v>
      </c>
      <c r="E2" t="s">
        <v>14</v>
      </c>
      <c r="F2" t="str">
        <f>HYPERLINK("https://doi.org/10.1007/978-1-4842-3700-7","doi.org")</f>
        <v>doi.org</v>
      </c>
      <c r="G2" t="str">
        <f>HYPERLINK("/pdf/2018_10_1007_978_1_4842_3700_7_defending_iot_infrastructures_with_the_raspberry_pi_monitoring_and_detecting_ne.pdf","open")</f>
        <v>open</v>
      </c>
      <c r="H2" t="s">
        <v>15</v>
      </c>
      <c r="I2" t="b">
        <v>0</v>
      </c>
      <c r="J2" t="s">
        <v>16</v>
      </c>
    </row>
    <row r="3" spans="1:10" x14ac:dyDescent="0.2">
      <c r="A3" t="s">
        <v>17</v>
      </c>
      <c r="B3" t="s">
        <v>18</v>
      </c>
      <c r="C3" t="s">
        <v>19</v>
      </c>
      <c r="D3" t="s">
        <v>20</v>
      </c>
      <c r="E3" t="s">
        <v>21</v>
      </c>
      <c r="F3" t="str">
        <f>HYPERLINK("https://doi.org/10.1109/ECCE64574.2025.11013816","doi.org")</f>
        <v>doi.org</v>
      </c>
      <c r="G3" t="str">
        <f>HYPERLINK("/pdf/2025_10.1109_ecce64574.2025.11013816_Intrusion_Detection_System_on_IoT_Devices_via_Federated_Learning.pdf","open")</f>
        <v>open</v>
      </c>
      <c r="H3" t="s">
        <v>15</v>
      </c>
      <c r="I3" t="b">
        <v>0</v>
      </c>
      <c r="J3" t="s">
        <v>22</v>
      </c>
    </row>
    <row r="4" spans="1:10" x14ac:dyDescent="0.2">
      <c r="A4" t="s">
        <v>23</v>
      </c>
      <c r="B4" t="s">
        <v>24</v>
      </c>
      <c r="C4" t="s">
        <v>25</v>
      </c>
      <c r="D4" t="s">
        <v>26</v>
      </c>
      <c r="E4" t="s">
        <v>27</v>
      </c>
      <c r="F4" t="str">
        <f>HYPERLINK("https://doi.org/10.1109/ICICT57646.2023.10133997","doi.org")</f>
        <v>doi.org</v>
      </c>
      <c r="G4" t="str">
        <f>HYPERLINK("/pdf/2023_10.1109_icict57646.2023.10133997_Enhancing_Home_Security__user_Authentication_Techniques_for_Home_Automation.pdf","open")</f>
        <v>open</v>
      </c>
      <c r="H4" t="s">
        <v>15</v>
      </c>
      <c r="I4" t="b">
        <v>0</v>
      </c>
      <c r="J4" t="s">
        <v>28</v>
      </c>
    </row>
    <row r="5" spans="1:10" x14ac:dyDescent="0.2">
      <c r="A5" t="s">
        <v>29</v>
      </c>
      <c r="B5" t="s">
        <v>30</v>
      </c>
      <c r="C5" t="s">
        <v>25</v>
      </c>
      <c r="D5" t="s">
        <v>31</v>
      </c>
      <c r="E5" t="s">
        <v>32</v>
      </c>
      <c r="F5" t="str">
        <f>HYPERLINK("https://doi.org/10.3390/s23208407","doi.org")</f>
        <v>doi.org</v>
      </c>
      <c r="G5" t="str">
        <f>HYPERLINK("/pdf/2023_10_3390_s23208407_a_lightweight_unsupervised_intrusion_detection_model_based_on_variational_auto_encoder.pdf","open")</f>
        <v>open</v>
      </c>
      <c r="H5" t="s">
        <v>15</v>
      </c>
      <c r="I5" t="b">
        <v>0</v>
      </c>
      <c r="J5" t="s">
        <v>33</v>
      </c>
    </row>
    <row r="6" spans="1:10" x14ac:dyDescent="0.2">
      <c r="A6" t="s">
        <v>34</v>
      </c>
      <c r="B6" t="s">
        <v>35</v>
      </c>
      <c r="C6" t="s">
        <v>36</v>
      </c>
      <c r="D6" t="s">
        <v>37</v>
      </c>
      <c r="E6" t="s">
        <v>38</v>
      </c>
      <c r="F6" t="str">
        <f>HYPERLINK("https://doi.org/10.32604/cmc.2021.016626","doi.org")</f>
        <v>doi.org</v>
      </c>
      <c r="G6" t="str">
        <f>HYPERLINK("/pdf/2021_10.32604_cmc.2021.016626_An_optimal_big_data_analytics_with_concept_drift_detection_on_high-dimensional_streaming_data.pdf","open")</f>
        <v>open</v>
      </c>
      <c r="H6" t="s">
        <v>15</v>
      </c>
      <c r="I6" t="b">
        <v>0</v>
      </c>
      <c r="J6" t="s">
        <v>39</v>
      </c>
    </row>
    <row r="7" spans="1:10" x14ac:dyDescent="0.2">
      <c r="A7" t="s">
        <v>40</v>
      </c>
      <c r="B7" t="s">
        <v>41</v>
      </c>
      <c r="C7" t="s">
        <v>19</v>
      </c>
      <c r="D7" t="s">
        <v>42</v>
      </c>
      <c r="E7" t="s">
        <v>43</v>
      </c>
      <c r="F7" t="str">
        <f>HYPERLINK("https://doi.org/10.1002/9781394250141.ch11","doi.org")</f>
        <v>doi.org</v>
      </c>
      <c r="G7" t="str">
        <f>HYPERLINK("/pdf/2025_10.1002_9781394250141.ch11_Security_and_privacy_issues_in_RIS-based_wireless_communication_systems.pdf","open")</f>
        <v>open</v>
      </c>
      <c r="H7" t="s">
        <v>44</v>
      </c>
      <c r="I7" t="b">
        <v>0</v>
      </c>
      <c r="J7" t="s">
        <v>45</v>
      </c>
    </row>
    <row r="8" spans="1:10" x14ac:dyDescent="0.2">
      <c r="A8" t="s">
        <v>46</v>
      </c>
      <c r="B8" t="s">
        <v>47</v>
      </c>
      <c r="C8" t="s">
        <v>48</v>
      </c>
      <c r="D8" t="s">
        <v>49</v>
      </c>
      <c r="E8" t="s">
        <v>50</v>
      </c>
      <c r="F8" t="str">
        <f>HYPERLINK("https://doi.org/10.1109/MCOMSTD.2026.3653959","doi.org")</f>
        <v>doi.org</v>
      </c>
      <c r="G8" t="str">
        <f>HYPERLINK("/pdf/2026_10.1109_mcomstd.2026.3653959_Robust_and_Privacy-Aware_Network_Flow_Watermarking_for_Digital_Twin_Communications_in_5G_6G_Edge_Environments.pdf","open")</f>
        <v>open</v>
      </c>
      <c r="H8" t="s">
        <v>15</v>
      </c>
      <c r="I8" t="b">
        <v>0</v>
      </c>
      <c r="J8" t="s">
        <v>51</v>
      </c>
    </row>
    <row r="9" spans="1:10" x14ac:dyDescent="0.2">
      <c r="A9" t="s">
        <v>52</v>
      </c>
      <c r="B9" t="s">
        <v>53</v>
      </c>
      <c r="C9" t="s">
        <v>54</v>
      </c>
      <c r="D9" t="s">
        <v>55</v>
      </c>
      <c r="E9" t="s">
        <v>56</v>
      </c>
      <c r="F9" t="str">
        <f>HYPERLINK("https://doi.org/10.3390/app10113978","doi.org")</f>
        <v>doi.org</v>
      </c>
      <c r="G9" t="str">
        <f>HYPERLINK("/pdf/2020_10_3390_app10113978_droid_portrait_android_malware_portrait_construction_based_on_multidimensional_behavior_a.pdf","open")</f>
        <v>open</v>
      </c>
      <c r="H9" t="s">
        <v>15</v>
      </c>
      <c r="I9" t="b">
        <v>0</v>
      </c>
      <c r="J9" t="s">
        <v>57</v>
      </c>
    </row>
    <row r="10" spans="1:10" x14ac:dyDescent="0.2">
      <c r="A10" t="s">
        <v>58</v>
      </c>
      <c r="B10" t="s">
        <v>59</v>
      </c>
      <c r="C10" t="s">
        <v>60</v>
      </c>
      <c r="D10" t="s">
        <v>61</v>
      </c>
      <c r="E10" t="s">
        <v>62</v>
      </c>
      <c r="F10" t="str">
        <f>HYPERLINK("https://doi.org/10.17770/etr2024vol2.8062","doi.org")</f>
        <v>doi.org</v>
      </c>
      <c r="G10" t="str">
        <f>HYPERLINK("/pdf/2024_10.17770_etr2024vol2.8062_Management_approaches_and_application_areas_of_information_security_in_organizations.pdf","open")</f>
        <v>open</v>
      </c>
      <c r="H10" t="s">
        <v>15</v>
      </c>
      <c r="I10" t="b">
        <v>0</v>
      </c>
      <c r="J10" t="s">
        <v>63</v>
      </c>
    </row>
    <row r="11" spans="1:10" x14ac:dyDescent="0.2">
      <c r="A11" t="s">
        <v>64</v>
      </c>
      <c r="B11" t="s">
        <v>65</v>
      </c>
      <c r="C11" t="s">
        <v>12</v>
      </c>
      <c r="D11" t="s">
        <v>66</v>
      </c>
      <c r="E11" t="s">
        <v>67</v>
      </c>
      <c r="F11" t="str">
        <f>HYPERLINK("https://doi.org/10.1109/TSE.2017.2697848","doi.org")</f>
        <v>doi.org</v>
      </c>
      <c r="G11" t="str">
        <f>HYPERLINK("/pdf/2018_10.1109_tse.2017.2697848_Towards_Model_Checking_Android_Applications.pdf","open")</f>
        <v>open</v>
      </c>
      <c r="H11" t="s">
        <v>15</v>
      </c>
      <c r="I11" t="b">
        <v>0</v>
      </c>
      <c r="J11" t="s">
        <v>68</v>
      </c>
    </row>
    <row r="12" spans="1:10" x14ac:dyDescent="0.2">
      <c r="A12" t="s">
        <v>69</v>
      </c>
      <c r="B12" t="s">
        <v>70</v>
      </c>
      <c r="C12" t="s">
        <v>25</v>
      </c>
      <c r="D12" t="s">
        <v>71</v>
      </c>
      <c r="E12" t="s">
        <v>72</v>
      </c>
      <c r="F12" t="str">
        <f>HYPERLINK("https://doi.org/10.7717/peerj-cs.1543","doi.org")</f>
        <v>doi.org</v>
      </c>
      <c r="G12" t="str">
        <f>HYPERLINK("/pdf/2023_10.7717_peerj-cs.1543_Scheduling_algorithms_for_data-protection_based_on_security-classification_constraints_to_data-dissemination.pdf","open")</f>
        <v>open</v>
      </c>
      <c r="H12" t="s">
        <v>15</v>
      </c>
      <c r="I12" t="b">
        <v>0</v>
      </c>
      <c r="J12" t="s">
        <v>73</v>
      </c>
    </row>
    <row r="13" spans="1:10" x14ac:dyDescent="0.2">
      <c r="A13" t="s">
        <v>74</v>
      </c>
      <c r="B13" t="s">
        <v>75</v>
      </c>
      <c r="C13" t="s">
        <v>25</v>
      </c>
      <c r="D13" t="s">
        <v>76</v>
      </c>
      <c r="E13" t="s">
        <v>74</v>
      </c>
      <c r="F13" t="str">
        <f>HYPERLINK("https://doi.org/10.1109/ACCESS.2024.3363640","doi.org")</f>
        <v>doi.org</v>
      </c>
      <c r="G13" t="str">
        <f>HYPERLINK("/pdf/2024_10_1109_access_2024_3363640_how_can_credit_supervision_mechanism_improve_security_crowdsourcing_ecosystem_go.pdf","open")</f>
        <v>open</v>
      </c>
      <c r="H13" t="s">
        <v>15</v>
      </c>
      <c r="I13" t="b">
        <v>1</v>
      </c>
      <c r="J13" t="s">
        <v>77</v>
      </c>
    </row>
    <row r="14" spans="1:10" x14ac:dyDescent="0.2">
      <c r="A14" t="s">
        <v>78</v>
      </c>
      <c r="B14" t="s">
        <v>79</v>
      </c>
      <c r="C14" t="s">
        <v>19</v>
      </c>
      <c r="D14" t="s">
        <v>80</v>
      </c>
      <c r="E14" t="s">
        <v>81</v>
      </c>
      <c r="F14" t="str">
        <f>HYPERLINK("https://doi.org/10.26583/sv.17.5.11","doi.org")</f>
        <v>doi.org</v>
      </c>
      <c r="G14" t="str">
        <f>HYPERLINK("/pdf/2025_10_26583_sv_17_5_11_performance_comparison_of_various_software_tools_in_photogrammetry_based_digitiz.pdf","open")</f>
        <v>open</v>
      </c>
      <c r="H14" t="s">
        <v>15</v>
      </c>
      <c r="I14" t="b">
        <v>1</v>
      </c>
      <c r="J14" t="s">
        <v>82</v>
      </c>
    </row>
    <row r="15" spans="1:10" x14ac:dyDescent="0.2">
      <c r="A15" t="s">
        <v>83</v>
      </c>
      <c r="B15" t="s">
        <v>84</v>
      </c>
      <c r="C15" t="s">
        <v>19</v>
      </c>
      <c r="D15" t="s">
        <v>85</v>
      </c>
      <c r="E15" t="s">
        <v>86</v>
      </c>
      <c r="F15" t="str">
        <f>HYPERLINK("https://doi.org/10.1016/j.icte.2025.05.002","doi.org")</f>
        <v>doi.org</v>
      </c>
      <c r="G15" t="str">
        <f>HYPERLINK("/pdf/2025_10.1016_j.icte.2025.05.002_Lightweight_federated_learning-based_intrusion_detection_system_for_industrial_internet_of_things.pdf","open")</f>
        <v>open</v>
      </c>
      <c r="H15" t="s">
        <v>15</v>
      </c>
      <c r="I15" t="b">
        <v>0</v>
      </c>
      <c r="J15" t="s">
        <v>87</v>
      </c>
    </row>
    <row r="16" spans="1:10" x14ac:dyDescent="0.2">
      <c r="A16" t="s">
        <v>88</v>
      </c>
      <c r="B16" t="s">
        <v>89</v>
      </c>
      <c r="C16" t="s">
        <v>60</v>
      </c>
      <c r="D16" t="s">
        <v>90</v>
      </c>
      <c r="E16" t="s">
        <v>91</v>
      </c>
      <c r="F16" t="str">
        <f>HYPERLINK("https://doi.org/10.1109/ICSTEM61137.2024.10560825","doi.org")</f>
        <v>doi.org</v>
      </c>
      <c r="G16" t="str">
        <f>HYPERLINK("/pdf/2024_10.1109_icstem61137.2024.10560825_SentinelGuard__An_Integration_of_Intelligent_Text_Data_Loss_Prevention_Mechanism_for_Organizational_Security_(.pdf","open")</f>
        <v>open</v>
      </c>
      <c r="H16" t="s">
        <v>15</v>
      </c>
      <c r="I16" t="b">
        <v>0</v>
      </c>
      <c r="J16" t="s">
        <v>92</v>
      </c>
    </row>
    <row r="17" spans="1:10" x14ac:dyDescent="0.2">
      <c r="A17" t="s">
        <v>93</v>
      </c>
      <c r="B17" t="s">
        <v>94</v>
      </c>
      <c r="C17" t="s">
        <v>19</v>
      </c>
      <c r="D17" t="s">
        <v>95</v>
      </c>
      <c r="E17" t="s">
        <v>96</v>
      </c>
      <c r="F17" t="str">
        <f>HYPERLINK("https://doi.org/10.1109/ITC58126.2025.00011","doi.org")</f>
        <v>doi.org</v>
      </c>
      <c r="G17" t="str">
        <f>HYPERLINK("/pdf/2025_10.1109_itc58126.2025.00011_QuEST__Quantitative_Entropy_based_Security_and_Trojan_Detection_Framework_for_Confidentiality_Verification.pdf","open")</f>
        <v>open</v>
      </c>
      <c r="H17" t="s">
        <v>15</v>
      </c>
      <c r="I17" t="b">
        <v>0</v>
      </c>
      <c r="J17" t="s">
        <v>97</v>
      </c>
    </row>
    <row r="18" spans="1:10" x14ac:dyDescent="0.2">
      <c r="A18" t="s">
        <v>98</v>
      </c>
      <c r="B18" t="s">
        <v>99</v>
      </c>
      <c r="C18" t="s">
        <v>100</v>
      </c>
      <c r="D18" t="s">
        <v>101</v>
      </c>
      <c r="E18" t="s">
        <v>102</v>
      </c>
      <c r="F18" t="str">
        <f>HYPERLINK("https://doi.org/10.1109/ICCED56140.2022.10010685","doi.org")</f>
        <v>doi.org</v>
      </c>
      <c r="G18" t="str">
        <f>HYPERLINK("/pdf/2022_10.1109_icced56140.2022.10010685_Patient_Data_Security_in_Telemedicine_Services_from_Data_Misuse_in_Health_Practice.pdf","open")</f>
        <v>open</v>
      </c>
      <c r="H18" t="s">
        <v>44</v>
      </c>
      <c r="I18" t="b">
        <v>0</v>
      </c>
      <c r="J18" t="s">
        <v>103</v>
      </c>
    </row>
    <row r="19" spans="1:10" x14ac:dyDescent="0.2">
      <c r="A19" t="s">
        <v>104</v>
      </c>
      <c r="B19" t="s">
        <v>105</v>
      </c>
      <c r="C19" t="s">
        <v>25</v>
      </c>
      <c r="D19" t="s">
        <v>106</v>
      </c>
      <c r="E19" t="s">
        <v>107</v>
      </c>
      <c r="F19" t="str">
        <f>HYPERLINK("https://doi.org/10.1109/CISES58720.2023.10183402","doi.org")</f>
        <v>doi.org</v>
      </c>
      <c r="G19" t="str">
        <f>HYPERLINK("/pdf/2023_10.1109_cises58720.2023.10183402_Security_Threats_in_Healthcare_Big_Data__A_Comparative_Study.pdf","open")</f>
        <v>open</v>
      </c>
      <c r="H19" t="s">
        <v>15</v>
      </c>
      <c r="I19" t="b">
        <v>0</v>
      </c>
      <c r="J19" t="s">
        <v>108</v>
      </c>
    </row>
    <row r="20" spans="1:10" x14ac:dyDescent="0.2">
      <c r="A20" t="s">
        <v>109</v>
      </c>
      <c r="B20" t="s">
        <v>110</v>
      </c>
      <c r="C20" t="s">
        <v>36</v>
      </c>
      <c r="D20" t="s">
        <v>111</v>
      </c>
      <c r="E20" t="s">
        <v>112</v>
      </c>
      <c r="F20" t="str">
        <f>HYPERLINK("https://doi.org/arXiv:2109.02379v2","doi.org")</f>
        <v>doi.org</v>
      </c>
      <c r="G20" t="str">
        <f>HYPERLINK("/pdf/2021_10_1109_iccd53106_2021_00097_qflow_quantitative_information_flow_for_security_aware_hardware_design_in_verilog.pdf","open")</f>
        <v>open</v>
      </c>
      <c r="H20" t="s">
        <v>15</v>
      </c>
      <c r="I20" t="b">
        <v>0</v>
      </c>
      <c r="J20" t="s">
        <v>113</v>
      </c>
    </row>
    <row r="21" spans="1:10" x14ac:dyDescent="0.2">
      <c r="A21" t="s">
        <v>114</v>
      </c>
      <c r="B21" t="s">
        <v>115</v>
      </c>
      <c r="C21" t="s">
        <v>100</v>
      </c>
      <c r="D21" t="s">
        <v>116</v>
      </c>
      <c r="E21" t="s">
        <v>117</v>
      </c>
      <c r="F21" t="str">
        <f>HYPERLINK("https://doi.org/10.1016/j.cose.2022.102874","doi.org")</f>
        <v>doi.org</v>
      </c>
      <c r="G21" t="str">
        <f>HYPERLINK("/pdf/2022_10.1016_j.cose.2022.102874_Background_knowledge_attacks_in_privacy-preserving_data_publishing_models.pdf","open")</f>
        <v>open</v>
      </c>
      <c r="H21" t="s">
        <v>15</v>
      </c>
      <c r="I21" t="b">
        <v>0</v>
      </c>
      <c r="J21" t="s">
        <v>118</v>
      </c>
    </row>
    <row r="22" spans="1:10" x14ac:dyDescent="0.2">
      <c r="A22" t="s">
        <v>119</v>
      </c>
      <c r="B22" t="s">
        <v>120</v>
      </c>
      <c r="C22" t="s">
        <v>19</v>
      </c>
      <c r="D22" t="s">
        <v>121</v>
      </c>
      <c r="E22" t="s">
        <v>122</v>
      </c>
      <c r="F22" t="str">
        <f>HYPERLINK("https://doi.org/10.14445/23488549/IJECE-V12I10P115","doi.org")</f>
        <v>doi.org</v>
      </c>
      <c r="G22" t="str">
        <f>HYPERLINK("/pdf/2025_10_14445_23488549_ijece_v12i10p115_qryptashield_quantum_inspired_feature_selection_and_rl_calibrated_federated_lea.pdf","open")</f>
        <v>open</v>
      </c>
      <c r="H22" t="s">
        <v>15</v>
      </c>
      <c r="I22" t="b">
        <v>0</v>
      </c>
      <c r="J22" t="s">
        <v>123</v>
      </c>
    </row>
    <row r="23" spans="1:10" x14ac:dyDescent="0.2">
      <c r="A23" t="s">
        <v>124</v>
      </c>
      <c r="B23" t="s">
        <v>125</v>
      </c>
      <c r="C23" t="s">
        <v>100</v>
      </c>
      <c r="D23" t="s">
        <v>126</v>
      </c>
      <c r="E23" t="s">
        <v>127</v>
      </c>
      <c r="F23" t="str">
        <f>HYPERLINK("https://doi.org/10.1109/I2CT54291.2022.9824368","doi.org")</f>
        <v>doi.org</v>
      </c>
      <c r="G23" t="str">
        <f>HYPERLINK("/pdf/2022_10.1109_i2ct54291.2022.9824368_Security_Challenges_and_Cyber_Forensics_For_IoT_Driven_BYOD_Systems.pdf","open")</f>
        <v>open</v>
      </c>
      <c r="H23" t="s">
        <v>15</v>
      </c>
      <c r="I23" t="b">
        <v>0</v>
      </c>
      <c r="J23" t="s">
        <v>128</v>
      </c>
    </row>
    <row r="24" spans="1:10" x14ac:dyDescent="0.2">
      <c r="A24" t="s">
        <v>129</v>
      </c>
      <c r="B24" t="s">
        <v>130</v>
      </c>
      <c r="C24" t="s">
        <v>25</v>
      </c>
      <c r="D24" t="s">
        <v>131</v>
      </c>
      <c r="E24" t="s">
        <v>132</v>
      </c>
      <c r="F24" t="str">
        <f>HYPERLINK("https://doi.org/10.1109/SOCC58585.2023.10256758","doi.org")</f>
        <v>doi.org</v>
      </c>
      <c r="G24" t="str">
        <f>HYPERLINK("/pdf/2023_10.1109_socc58585.2023.10256758_μThingNet__Leveraging_Fine-Grained_Power_Analysis_towards_A_Robust_Zero-Day_Defender.pdf","open")</f>
        <v>open</v>
      </c>
      <c r="H24" t="s">
        <v>15</v>
      </c>
      <c r="I24" t="b">
        <v>0</v>
      </c>
      <c r="J24" t="s">
        <v>133</v>
      </c>
    </row>
    <row r="25" spans="1:10" x14ac:dyDescent="0.2">
      <c r="A25" t="s">
        <v>134</v>
      </c>
      <c r="B25" t="s">
        <v>135</v>
      </c>
      <c r="C25" t="s">
        <v>136</v>
      </c>
      <c r="D25" t="s">
        <v>137</v>
      </c>
      <c r="E25" t="s">
        <v>138</v>
      </c>
      <c r="F25" t="str">
        <f>HYPERLINK("https://doi.org/10.35940/ijeat.F8202.088619","doi.org")</f>
        <v>doi.org</v>
      </c>
      <c r="G25" t="str">
        <f>HYPERLINK("/pdf/2019_10_35940_ijeat_f8202_088619_byod_secured_solution_framework.pdf","open")</f>
        <v>open</v>
      </c>
      <c r="H25" t="s">
        <v>15</v>
      </c>
      <c r="I25" t="b">
        <v>0</v>
      </c>
      <c r="J25" t="s">
        <v>139</v>
      </c>
    </row>
    <row r="26" spans="1:10" x14ac:dyDescent="0.2">
      <c r="A26" t="s">
        <v>140</v>
      </c>
      <c r="B26" t="s">
        <v>141</v>
      </c>
      <c r="C26" t="s">
        <v>25</v>
      </c>
      <c r="D26" t="s">
        <v>142</v>
      </c>
      <c r="E26" t="s">
        <v>143</v>
      </c>
      <c r="F26" t="str">
        <f>HYPERLINK("https://doi.org/10.11591/ijece.v13i5.pp5560-5568","doi.org")</f>
        <v>doi.org</v>
      </c>
      <c r="G26" t="str">
        <f>HYPERLINK("/pdf/2023_10_11591_ijece_v13i5_pp5560_5568_concept_drift_and_machine_learning_model_for_detecting_fraudulent_transactions_in_streamin.pdf","open")</f>
        <v>open</v>
      </c>
      <c r="H26" t="s">
        <v>15</v>
      </c>
      <c r="I26" t="b">
        <v>0</v>
      </c>
      <c r="J26" t="s">
        <v>144</v>
      </c>
    </row>
    <row r="27" spans="1:10" x14ac:dyDescent="0.2">
      <c r="A27" t="s">
        <v>145</v>
      </c>
      <c r="B27" t="s">
        <v>146</v>
      </c>
      <c r="C27" t="s">
        <v>136</v>
      </c>
      <c r="D27" t="s">
        <v>147</v>
      </c>
      <c r="E27" t="s">
        <v>148</v>
      </c>
      <c r="F27" t="str">
        <f>HYPERLINK("https://doi.org/Not Reported","doi.org")</f>
        <v>doi.org</v>
      </c>
      <c r="G27" t="str">
        <f>HYPERLINK("/pdf/2020_10.1109_idea49133.2020.9170738_Android_data_leakage_and_anomaly_based_Intrusion_detection_System.pdf","open")</f>
        <v>open</v>
      </c>
      <c r="H27" t="s">
        <v>15</v>
      </c>
      <c r="I27" t="b">
        <v>0</v>
      </c>
      <c r="J27" t="s">
        <v>149</v>
      </c>
    </row>
    <row r="28" spans="1:10" x14ac:dyDescent="0.2">
      <c r="A28" t="s">
        <v>150</v>
      </c>
      <c r="B28" t="s">
        <v>151</v>
      </c>
      <c r="C28" t="s">
        <v>19</v>
      </c>
      <c r="D28" t="s">
        <v>76</v>
      </c>
      <c r="E28" t="s">
        <v>152</v>
      </c>
      <c r="F28" t="str">
        <f>HYPERLINK("https://doi.org/10.1109/ACCESS.2025.3635667","doi.org")</f>
        <v>doi.org</v>
      </c>
      <c r="G28" t="str">
        <f>HYPERLINK("/pdf/2025_10.1109_access.2025.3635667_PPATF__A_Privacy-Preserving_Adversarial_Training_Framework_to_Enhance_the_Robustness_of_Lightweight_Intrusion_.pdf","open")</f>
        <v>open</v>
      </c>
      <c r="H28" t="s">
        <v>15</v>
      </c>
      <c r="I28" t="b">
        <v>0</v>
      </c>
      <c r="J28" t="s">
        <v>153</v>
      </c>
    </row>
    <row r="29" spans="1:10" x14ac:dyDescent="0.2">
      <c r="A29" t="s">
        <v>154</v>
      </c>
      <c r="B29" t="s">
        <v>155</v>
      </c>
      <c r="C29" t="s">
        <v>156</v>
      </c>
      <c r="D29" t="s">
        <v>157</v>
      </c>
      <c r="E29" t="s">
        <v>158</v>
      </c>
      <c r="F29" t="str">
        <f>HYPERLINK("https://doi.org/10.1007/s10796-013-9419-8","doi.org")</f>
        <v>doi.org</v>
      </c>
      <c r="G29" t="str">
        <f>HYPERLINK("/pdf/2013_10_1007_s10796_013_9419_8_guest_editorial_a_brief_overview_of_data_leakage_and_insider_threats.pdf","open")</f>
        <v>open</v>
      </c>
      <c r="H29" t="s">
        <v>15</v>
      </c>
      <c r="I29" t="b">
        <v>0</v>
      </c>
      <c r="J29" t="s">
        <v>159</v>
      </c>
    </row>
    <row r="30" spans="1:10" x14ac:dyDescent="0.2">
      <c r="A30" t="s">
        <v>160</v>
      </c>
      <c r="B30" t="s">
        <v>161</v>
      </c>
      <c r="C30" t="s">
        <v>100</v>
      </c>
      <c r="D30" t="s">
        <v>162</v>
      </c>
      <c r="E30" t="s">
        <v>163</v>
      </c>
      <c r="F30" t="str">
        <f>HYPERLINK("https://doi.org/10.1109/EIRCON56026.2022.9934810","doi.org")</f>
        <v>doi.org</v>
      </c>
      <c r="G30" t="str">
        <f>HYPERLINK("/pdf/2022_10.1109_eircon56026.2022.9934810_Model_to_Identify_the_Profile_of_Countermeasures_for_Information_Leakage_in_Financial_Organizations.pdf","open")</f>
        <v>open</v>
      </c>
      <c r="H30" t="s">
        <v>15</v>
      </c>
      <c r="I30" t="b">
        <v>0</v>
      </c>
      <c r="J30" t="s">
        <v>164</v>
      </c>
    </row>
    <row r="31" spans="1:10" x14ac:dyDescent="0.2">
      <c r="A31" t="s">
        <v>165</v>
      </c>
      <c r="B31" t="s">
        <v>166</v>
      </c>
      <c r="C31" t="s">
        <v>60</v>
      </c>
      <c r="D31" t="s">
        <v>167</v>
      </c>
      <c r="E31" t="s">
        <v>168</v>
      </c>
      <c r="F31" t="str">
        <f>HYPERLINK("https://doi.org/10.1109/iThings-GreenCom-CPSCom-SmartData-Cybermatics62450.2024.00102","doi.org")</f>
        <v>doi.org</v>
      </c>
      <c r="G31" t="str">
        <f>HYPERLINK("/pdf/2024_10.1109_ithings-greencom-cpscom-smartdata-cybermatics62450.2024.00102_On_the_Security_and_Privacy_Implications_of_Large_Language_Models__In-Depth_Threat_Analysis.pdf","open")</f>
        <v>open</v>
      </c>
      <c r="H31" t="s">
        <v>15</v>
      </c>
      <c r="I31" t="b">
        <v>0</v>
      </c>
      <c r="J31" t="s">
        <v>169</v>
      </c>
    </row>
    <row r="32" spans="1:10" x14ac:dyDescent="0.2">
      <c r="A32" t="s">
        <v>170</v>
      </c>
      <c r="B32" t="s">
        <v>171</v>
      </c>
      <c r="C32" t="s">
        <v>19</v>
      </c>
      <c r="D32" t="s">
        <v>172</v>
      </c>
      <c r="E32" t="s">
        <v>173</v>
      </c>
      <c r="F32" t="str">
        <f>HYPERLINK("https://doi.org/10.3390/cryptography9040072","doi.org")</f>
        <v>doi.org</v>
      </c>
      <c r="G32" t="str">
        <f>HYPERLINK("/pdf/2025_10_3390_cryptography9040072_a_post_quantum_cryptography_enabled_feature_level_fusion_framework_for_privacy_preserving.pdf","open")</f>
        <v>open</v>
      </c>
      <c r="H32" t="s">
        <v>15</v>
      </c>
      <c r="I32" t="b">
        <v>1</v>
      </c>
      <c r="J32" t="s">
        <v>174</v>
      </c>
    </row>
    <row r="33" spans="1:10" x14ac:dyDescent="0.2">
      <c r="A33" t="s">
        <v>175</v>
      </c>
      <c r="B33" t="s">
        <v>176</v>
      </c>
      <c r="C33" t="s">
        <v>19</v>
      </c>
      <c r="D33" t="s">
        <v>177</v>
      </c>
      <c r="E33" t="s">
        <v>178</v>
      </c>
      <c r="F33" t="str">
        <f>HYPERLINK("https://doi.org/10.1109/ETFA65518.2025.11205756","doi.org")</f>
        <v>doi.org</v>
      </c>
      <c r="G33" t="str">
        <f>HYPERLINK("/pdf/2025_10.1109_etfa65518.2025.11205756_Trustworthy_AI_for_Security_Decision-Making_in_ICSs__Towards_Compliance_with_the_EU_AI_Act.pdf","open")</f>
        <v>open</v>
      </c>
      <c r="H33" t="s">
        <v>15</v>
      </c>
      <c r="I33" t="b">
        <v>0</v>
      </c>
      <c r="J33" t="s">
        <v>179</v>
      </c>
    </row>
    <row r="34" spans="1:10" x14ac:dyDescent="0.2">
      <c r="A34" t="s">
        <v>180</v>
      </c>
      <c r="B34" t="s">
        <v>181</v>
      </c>
      <c r="C34" t="s">
        <v>19</v>
      </c>
      <c r="D34" t="s">
        <v>182</v>
      </c>
      <c r="E34" t="s">
        <v>183</v>
      </c>
      <c r="F34" t="str">
        <f>HYPERLINK("https://doi.org/10.1109/JIOT.2025.3583304","doi.org")</f>
        <v>doi.org</v>
      </c>
      <c r="G34" t="str">
        <f>HYPERLINK("/pdf/2025_10.1109_jiot.2025.3583304_BCTD-ICS__A_Blockchain-Aided_Framework_for_Trusted_Detection_of_Industrial_Control_System_Components.pdf","open")</f>
        <v>open</v>
      </c>
      <c r="H34" t="s">
        <v>15</v>
      </c>
      <c r="I34" t="b">
        <v>0</v>
      </c>
      <c r="J34" t="s">
        <v>184</v>
      </c>
    </row>
    <row r="35" spans="1:10" x14ac:dyDescent="0.2">
      <c r="A35" t="s">
        <v>185</v>
      </c>
      <c r="B35" t="s">
        <v>186</v>
      </c>
      <c r="C35" t="s">
        <v>148</v>
      </c>
      <c r="D35" t="s">
        <v>148</v>
      </c>
      <c r="E35" t="s">
        <v>148</v>
      </c>
      <c r="F35" t="str">
        <f>HYPERLINK("https://doi.org/Not Reported","doi.org")</f>
        <v>doi.org</v>
      </c>
      <c r="G35" t="str">
        <f>HYPERLINK("/pdf/2019_Towards_automated_threat-based_risk_assessment_for_cyber_security_in_smarthomes.pdf","open")</f>
        <v>open</v>
      </c>
      <c r="H35" t="s">
        <v>15</v>
      </c>
      <c r="I35" t="b">
        <v>0</v>
      </c>
      <c r="J35" t="s">
        <v>187</v>
      </c>
    </row>
    <row r="36" spans="1:10" x14ac:dyDescent="0.2">
      <c r="A36" t="s">
        <v>188</v>
      </c>
      <c r="B36" t="s">
        <v>189</v>
      </c>
      <c r="C36" t="s">
        <v>190</v>
      </c>
      <c r="D36" t="s">
        <v>191</v>
      </c>
      <c r="E36" t="s">
        <v>192</v>
      </c>
      <c r="F36" t="str">
        <f>HYPERLINK("https://doi.org/10.1016/j.jisa.2016.10.001","doi.org")</f>
        <v>doi.org</v>
      </c>
      <c r="G36" t="str">
        <f>HYPERLINK("/pdf/2017_10.1016_j.jisa.2016.10.001_A_white-box_anomaly-based_framework_for_database_leakage_detection.pdf","open")</f>
        <v>open</v>
      </c>
      <c r="H36" t="s">
        <v>15</v>
      </c>
      <c r="I36" t="b">
        <v>0</v>
      </c>
      <c r="J36" t="s">
        <v>193</v>
      </c>
    </row>
    <row r="37" spans="1:10" x14ac:dyDescent="0.2">
      <c r="A37" t="s">
        <v>194</v>
      </c>
      <c r="B37" t="s">
        <v>195</v>
      </c>
      <c r="C37" t="s">
        <v>148</v>
      </c>
      <c r="D37" t="s">
        <v>196</v>
      </c>
      <c r="E37" t="s">
        <v>148</v>
      </c>
      <c r="F37" t="str">
        <f>HYPERLINK("https://doi.org/Not Reported","doi.org")</f>
        <v>doi.org</v>
      </c>
      <c r="G37" t="str">
        <f>HYPERLINK("/pdf/2020_10.1109_rivf48685.2020.9140781_Network_Analytics_for_Improving_Students'_Cybersecurity_Awareness_in_Online_Learning_Systems.pdf","open")</f>
        <v>open</v>
      </c>
      <c r="H37" t="s">
        <v>15</v>
      </c>
      <c r="I37" t="b">
        <v>1</v>
      </c>
      <c r="J37" t="s">
        <v>197</v>
      </c>
    </row>
    <row r="38" spans="1:10" x14ac:dyDescent="0.2">
      <c r="A38" t="s">
        <v>198</v>
      </c>
      <c r="B38" t="s">
        <v>199</v>
      </c>
      <c r="C38" t="s">
        <v>25</v>
      </c>
      <c r="D38" t="s">
        <v>200</v>
      </c>
      <c r="E38" t="s">
        <v>201</v>
      </c>
      <c r="F38" t="str">
        <f>HYPERLINK("https://doi.org/10.1109/TCAD.2022.3174171","doi.org")</f>
        <v>doi.org</v>
      </c>
      <c r="G38" t="str">
        <f>HYPERLINK("/pdf/2023_10.1109_tcad.2022.3174171_IP-Tag__Tag-Based_Runtime_3PIP_Hardware_Trojan_Detection_in_SoC_Platforms.pdf","open")</f>
        <v>open</v>
      </c>
      <c r="H38" t="s">
        <v>15</v>
      </c>
      <c r="I38" t="b">
        <v>0</v>
      </c>
      <c r="J38" t="s">
        <v>202</v>
      </c>
    </row>
    <row r="39" spans="1:10" x14ac:dyDescent="0.2">
      <c r="A39" t="s">
        <v>203</v>
      </c>
      <c r="B39" t="s">
        <v>204</v>
      </c>
      <c r="C39" t="s">
        <v>19</v>
      </c>
      <c r="D39" t="s">
        <v>205</v>
      </c>
      <c r="E39" t="s">
        <v>206</v>
      </c>
      <c r="F39" t="str">
        <f>HYPERLINK("https://doi.org/10.1109/ROMA66616.2025.11155405","doi.org")</f>
        <v>doi.org</v>
      </c>
      <c r="G39" t="str">
        <f>HYPERLINK("/pdf/2025_10.1109_roma66616.2025.11155405_A_Survey_on_AI-Enabled_Anomaly_Detection_with_Privacy_Preservation_in_Wireless_Sensor_Healthcare_IoT_Environme.pdf","open")</f>
        <v>open</v>
      </c>
      <c r="H39" t="s">
        <v>15</v>
      </c>
      <c r="I39" t="b">
        <v>0</v>
      </c>
      <c r="J39" t="s">
        <v>207</v>
      </c>
    </row>
    <row r="40" spans="1:10" x14ac:dyDescent="0.2">
      <c r="A40" t="s">
        <v>208</v>
      </c>
      <c r="B40" t="s">
        <v>209</v>
      </c>
      <c r="C40" t="s">
        <v>210</v>
      </c>
      <c r="D40" t="s">
        <v>211</v>
      </c>
      <c r="E40" t="s">
        <v>148</v>
      </c>
      <c r="F40" t="str">
        <f>HYPERLINK("https://doi.org/Not Reported","doi.org")</f>
        <v>doi.org</v>
      </c>
      <c r="G40" t="str">
        <f>HYPERLINK("/pdf/2015_Device_management_technology_for_preventing_data_leakage.pdf","open")</f>
        <v>open</v>
      </c>
      <c r="H40" t="s">
        <v>15</v>
      </c>
      <c r="I40" t="b">
        <v>1</v>
      </c>
      <c r="J40" t="s">
        <v>212</v>
      </c>
    </row>
    <row r="41" spans="1:10" x14ac:dyDescent="0.2">
      <c r="A41" t="s">
        <v>213</v>
      </c>
      <c r="B41" t="s">
        <v>214</v>
      </c>
      <c r="C41" t="s">
        <v>215</v>
      </c>
      <c r="D41" t="s">
        <v>216</v>
      </c>
      <c r="E41" t="s">
        <v>217</v>
      </c>
      <c r="F41" t="str">
        <f>HYPERLINK("https://doi.org/10.1109/MASS.2014.131","doi.org")</f>
        <v>doi.org</v>
      </c>
      <c r="G41" t="str">
        <f>HYPERLINK("/pdf/2015_10.1109_mass.2014.131_Android_smartphone_third_party_advertising_library_data_leak_analysis.pdf","open")</f>
        <v>open</v>
      </c>
      <c r="H41" t="s">
        <v>15</v>
      </c>
      <c r="I41" t="b">
        <v>0</v>
      </c>
      <c r="J41" t="s">
        <v>218</v>
      </c>
    </row>
    <row r="42" spans="1:10" x14ac:dyDescent="0.2">
      <c r="A42" t="s">
        <v>219</v>
      </c>
      <c r="B42" t="s">
        <v>220</v>
      </c>
      <c r="C42" t="s">
        <v>19</v>
      </c>
      <c r="D42" t="s">
        <v>221</v>
      </c>
      <c r="E42" t="s">
        <v>222</v>
      </c>
      <c r="F42" t="str">
        <f>HYPERLINK("https://doi.org/10.1109/IACIS65746.2025.11211489","doi.org")</f>
        <v>doi.org</v>
      </c>
      <c r="G42" t="str">
        <f>HYPERLINK("/pdf/2025_10.1109_iacis65746.2025.11211489_A_Secure_Blockchain_Framework_Using_Stacked_SVM-RF_with_Advanced_Encryption_Standard_Galois_Counter_Mode.pdf","open")</f>
        <v>open</v>
      </c>
      <c r="H42" t="s">
        <v>15</v>
      </c>
      <c r="I42" t="b">
        <v>0</v>
      </c>
      <c r="J42" t="s">
        <v>223</v>
      </c>
    </row>
    <row r="43" spans="1:10" x14ac:dyDescent="0.2">
      <c r="A43" t="s">
        <v>224</v>
      </c>
      <c r="B43" t="s">
        <v>225</v>
      </c>
      <c r="C43" t="s">
        <v>100</v>
      </c>
      <c r="D43" t="s">
        <v>226</v>
      </c>
      <c r="E43" t="s">
        <v>227</v>
      </c>
      <c r="F43" t="str">
        <f>HYPERLINK("https://doi.org/10.1109/INCOFT55651.2022.10094509","doi.org")</f>
        <v>doi.org</v>
      </c>
      <c r="G43" t="str">
        <f>HYPERLINK("/pdf/2022_10.1109_incoft55651.2022.10094509_Data_Leakage_Prevention_System_for_Internal_Security.pdf","open")</f>
        <v>open</v>
      </c>
      <c r="H43" t="s">
        <v>15</v>
      </c>
      <c r="I43" t="b">
        <v>0</v>
      </c>
      <c r="J43" t="s">
        <v>228</v>
      </c>
    </row>
    <row r="44" spans="1:10" x14ac:dyDescent="0.2">
      <c r="A44" t="s">
        <v>229</v>
      </c>
      <c r="B44" t="s">
        <v>230</v>
      </c>
      <c r="C44" t="s">
        <v>19</v>
      </c>
      <c r="D44" t="s">
        <v>231</v>
      </c>
      <c r="E44" t="s">
        <v>232</v>
      </c>
      <c r="F44" t="str">
        <f>HYPERLINK("https://doi.org/10.1109/TSUSC.2024.3409329","doi.org")</f>
        <v>doi.org</v>
      </c>
      <c r="G44" t="str">
        <f>HYPERLINK("/pdf/2025_10.1109_tsusc.2024.3409329_Safeguarding_Patient_Data-Sharing__Blockchain-Enabled_Federated_Learning_in_Medical_Diagnostics.pdf","open")</f>
        <v>open</v>
      </c>
      <c r="H44" t="s">
        <v>44</v>
      </c>
      <c r="I44" t="b">
        <v>1</v>
      </c>
      <c r="J44" t="s">
        <v>233</v>
      </c>
    </row>
    <row r="45" spans="1:10" x14ac:dyDescent="0.2">
      <c r="A45" t="s">
        <v>234</v>
      </c>
      <c r="B45" t="s">
        <v>235</v>
      </c>
      <c r="C45" t="s">
        <v>36</v>
      </c>
      <c r="D45" t="s">
        <v>236</v>
      </c>
      <c r="E45" t="s">
        <v>237</v>
      </c>
      <c r="F45" t="str">
        <f>HYPERLINK("https://doi.org/10.1016/j.heliyon.2021.e06016","doi.org")</f>
        <v>doi.org</v>
      </c>
      <c r="G45" t="str">
        <f>HYPERLINK("/pdf/2021_10.1016_j.heliyon.2021.e06016_Measuring_the_level_of_cyber-security_awareness_for_cybercrime_in_Saudi_Arabia.pdf","open")</f>
        <v>open</v>
      </c>
      <c r="H45" t="s">
        <v>15</v>
      </c>
      <c r="I45" t="b">
        <v>1</v>
      </c>
      <c r="J45" t="s">
        <v>238</v>
      </c>
    </row>
    <row r="46" spans="1:10" x14ac:dyDescent="0.2">
      <c r="A46" t="s">
        <v>239</v>
      </c>
      <c r="B46" t="s">
        <v>240</v>
      </c>
      <c r="C46" t="s">
        <v>60</v>
      </c>
      <c r="D46" t="s">
        <v>241</v>
      </c>
      <c r="E46" t="s">
        <v>242</v>
      </c>
      <c r="F46" t="str">
        <f>HYPERLINK("https://doi.org/10.1109/ICCR61006.2024.10532886","doi.org")</f>
        <v>doi.org</v>
      </c>
      <c r="G46" t="str">
        <f>HYPERLINK("/pdf/2024_10.1109_iccr61006.2024.10532886_Feed-forward_ANN_with_Random_Forest_Technique_for_Identifying_Malicious_Internet_of_Things_Network_Intrusion.pdf","open")</f>
        <v>open</v>
      </c>
      <c r="H46" t="s">
        <v>15</v>
      </c>
      <c r="I46" t="b">
        <v>0</v>
      </c>
      <c r="J46" t="s">
        <v>243</v>
      </c>
    </row>
    <row r="47" spans="1:10" x14ac:dyDescent="0.2">
      <c r="A47" t="s">
        <v>244</v>
      </c>
      <c r="B47" t="s">
        <v>245</v>
      </c>
      <c r="C47" t="s">
        <v>100</v>
      </c>
      <c r="D47" t="s">
        <v>246</v>
      </c>
      <c r="E47" t="s">
        <v>247</v>
      </c>
      <c r="F47" t="str">
        <f>HYPERLINK("https://doi.org/10.1049/cmu2.12401","doi.org")</f>
        <v>doi.org</v>
      </c>
      <c r="G47" t="str">
        <f>HYPERLINK("/pdf/2022_10.1049_cmu2.12401_Trust_management_and_data_protection_for_online_social_networks.pdf","open")</f>
        <v>open</v>
      </c>
      <c r="H47" t="s">
        <v>15</v>
      </c>
      <c r="I47" t="b">
        <v>0</v>
      </c>
      <c r="J47" t="s">
        <v>248</v>
      </c>
    </row>
    <row r="48" spans="1:10" x14ac:dyDescent="0.2">
      <c r="A48" t="s">
        <v>249</v>
      </c>
      <c r="B48" t="s">
        <v>250</v>
      </c>
      <c r="C48" t="s">
        <v>190</v>
      </c>
      <c r="D48" t="s">
        <v>251</v>
      </c>
      <c r="E48" t="s">
        <v>252</v>
      </c>
      <c r="F48" t="str">
        <f>HYPERLINK("https://doi.org/10.1109/DASC-PICom-DataCom-CyberSciTec.2017.112","doi.org")</f>
        <v>doi.org</v>
      </c>
      <c r="G48" t="str">
        <f>HYPERLINK("/pdf/2017_10.1109_dasc-picom-datacom-cyberscitec.2017.112_Combating_data_leakage_trojans_in_sequential_circuits_through_randomized_encoding.pdf","open")</f>
        <v>open</v>
      </c>
      <c r="H48" t="s">
        <v>44</v>
      </c>
      <c r="I48" t="b">
        <v>1</v>
      </c>
      <c r="J48" t="s">
        <v>253</v>
      </c>
    </row>
    <row r="49" spans="1:10" x14ac:dyDescent="0.2">
      <c r="A49" t="s">
        <v>254</v>
      </c>
      <c r="B49" t="s">
        <v>255</v>
      </c>
      <c r="C49" t="s">
        <v>36</v>
      </c>
      <c r="D49" t="s">
        <v>256</v>
      </c>
      <c r="E49" t="s">
        <v>257</v>
      </c>
      <c r="F49" t="str">
        <f>HYPERLINK("https://doi.org/10.1109/DDECS52668.2021.9417061","doi.org")</f>
        <v>doi.org</v>
      </c>
      <c r="G49" t="str">
        <f>HYPERLINK("/pdf/2021_10.1109_ddecs52668.2021.9417061_A_Benchmark_Suite_of_RT-level_Hardware_Trojans_for_Pipelined_Microprocessor_Cores.pdf","open")</f>
        <v>open</v>
      </c>
      <c r="H49" t="s">
        <v>15</v>
      </c>
      <c r="I49" t="b">
        <v>0</v>
      </c>
      <c r="J49" t="s">
        <v>258</v>
      </c>
    </row>
    <row r="50" spans="1:10" x14ac:dyDescent="0.2">
      <c r="A50" t="s">
        <v>259</v>
      </c>
      <c r="B50" t="s">
        <v>75</v>
      </c>
      <c r="C50" t="s">
        <v>25</v>
      </c>
      <c r="D50" t="s">
        <v>76</v>
      </c>
      <c r="E50" t="s">
        <v>74</v>
      </c>
      <c r="F50" t="str">
        <f>HYPERLINK("https://doi.org/10.1109/ACCESS.2024.3363640","doi.org")</f>
        <v>doi.org</v>
      </c>
      <c r="G50" t="str">
        <f>HYPERLINK("/pdf/2024_10_1109_access_2024_3363640_how_can_credit_supervision_mechanism_improve_security_crowdsourcing_ecosystem_governance.pdf","open")</f>
        <v>open</v>
      </c>
      <c r="H50" t="s">
        <v>15</v>
      </c>
      <c r="I50" t="b">
        <v>0</v>
      </c>
      <c r="J50" t="s">
        <v>260</v>
      </c>
    </row>
    <row r="51" spans="1:10" x14ac:dyDescent="0.2">
      <c r="A51" t="s">
        <v>261</v>
      </c>
      <c r="B51" t="s">
        <v>262</v>
      </c>
      <c r="C51" t="s">
        <v>36</v>
      </c>
      <c r="D51" t="s">
        <v>263</v>
      </c>
      <c r="E51" t="s">
        <v>264</v>
      </c>
      <c r="F51" t="str">
        <f>HYPERLINK("https://doi.org/10.1109/BigDataSecurityHPSCIDS52275.2021.00038","doi.org")</f>
        <v>doi.org</v>
      </c>
      <c r="G51" t="str">
        <f>HYPERLINK("/pdf/2021_10.1109_bigdatasecurityhpscids52275.2021.00038_Toward_Pinpointing_Data_Leakage_from_Advanced_Persistent_Threats.pdf","open")</f>
        <v>open</v>
      </c>
      <c r="H51" t="s">
        <v>15</v>
      </c>
      <c r="I51" t="b">
        <v>0</v>
      </c>
      <c r="J51" t="s">
        <v>265</v>
      </c>
    </row>
    <row r="52" spans="1:10" x14ac:dyDescent="0.2">
      <c r="A52" t="s">
        <v>266</v>
      </c>
      <c r="B52" t="s">
        <v>267</v>
      </c>
      <c r="C52" t="s">
        <v>268</v>
      </c>
      <c r="D52" t="s">
        <v>269</v>
      </c>
      <c r="E52" t="s">
        <v>148</v>
      </c>
      <c r="F52" t="str">
        <f>HYPERLINK("https://doi.org/Not Reported","doi.org")</f>
        <v>doi.org</v>
      </c>
      <c r="G52" t="str">
        <f>HYPERLINK("/pdf/2010_10.1109_cnsm.2010.5691292_User_identification_in_encrypted_network_communications.pdf","open")</f>
        <v>open</v>
      </c>
      <c r="H52" t="s">
        <v>15</v>
      </c>
      <c r="I52" t="b">
        <v>0</v>
      </c>
      <c r="J52" t="s">
        <v>270</v>
      </c>
    </row>
    <row r="53" spans="1:10" x14ac:dyDescent="0.2">
      <c r="A53" t="s">
        <v>271</v>
      </c>
      <c r="B53" t="s">
        <v>272</v>
      </c>
      <c r="C53" t="s">
        <v>60</v>
      </c>
      <c r="D53" t="s">
        <v>273</v>
      </c>
      <c r="E53" t="s">
        <v>274</v>
      </c>
      <c r="F53" t="str">
        <f>HYPERLINK("https://doi.org/10.4108/eetsis.5028","doi.org")</f>
        <v>doi.org</v>
      </c>
      <c r="G53" t="str">
        <f>HYPERLINK("/pdf/2024_10_4108_eetsis_5028_determining_intrusion_attacks_against_online_applications_using_cloud_based_data_security.pdf","open")</f>
        <v>open</v>
      </c>
      <c r="H53" t="s">
        <v>15</v>
      </c>
      <c r="I53" t="b">
        <v>0</v>
      </c>
      <c r="J53" t="s">
        <v>275</v>
      </c>
    </row>
    <row r="54" spans="1:10" x14ac:dyDescent="0.2">
      <c r="A54" t="s">
        <v>276</v>
      </c>
      <c r="B54" t="s">
        <v>277</v>
      </c>
      <c r="C54" t="s">
        <v>190</v>
      </c>
      <c r="D54" t="s">
        <v>278</v>
      </c>
      <c r="E54" t="s">
        <v>279</v>
      </c>
      <c r="F54" t="str">
        <f>HYPERLINK("https://doi.org/10.1109/NETSOFT.2017.8004195","doi.org")</f>
        <v>doi.org</v>
      </c>
      <c r="G54" t="str">
        <f>HYPERLINK("/pdf/2017_10_1109_netsoft_2017_8004195_automated_verification_of_security_chains_in_software_defined_networks_with_synaptic.pdf","open")</f>
        <v>open</v>
      </c>
      <c r="H54" t="s">
        <v>15</v>
      </c>
      <c r="I54" t="b">
        <v>0</v>
      </c>
      <c r="J54" t="s">
        <v>280</v>
      </c>
    </row>
    <row r="55" spans="1:10" x14ac:dyDescent="0.2">
      <c r="A55" t="s">
        <v>281</v>
      </c>
      <c r="B55" t="s">
        <v>282</v>
      </c>
      <c r="C55" t="s">
        <v>36</v>
      </c>
      <c r="D55" t="s">
        <v>283</v>
      </c>
      <c r="E55" t="s">
        <v>284</v>
      </c>
      <c r="F55" t="str">
        <f>HYPERLINK("https://doi.org/10.1109/VTS50974.2021.9441032","doi.org")</f>
        <v>doi.org</v>
      </c>
      <c r="G55" t="str">
        <f>HYPERLINK("/pdf/2021_10.1109_vts50974.2021.9441032_Special_session__CAD_for_hardware_security_-_Automation_is_key_to_adoption_of_solutions.pdf","open")</f>
        <v>open</v>
      </c>
      <c r="H55" t="s">
        <v>15</v>
      </c>
      <c r="I55" t="b">
        <v>0</v>
      </c>
      <c r="J55" t="s">
        <v>285</v>
      </c>
    </row>
    <row r="56" spans="1:10" x14ac:dyDescent="0.2">
      <c r="A56" t="s">
        <v>286</v>
      </c>
      <c r="B56" t="s">
        <v>287</v>
      </c>
      <c r="C56" t="s">
        <v>60</v>
      </c>
      <c r="D56" t="s">
        <v>288</v>
      </c>
      <c r="E56" t="s">
        <v>289</v>
      </c>
      <c r="F56" t="str">
        <f>HYPERLINK("https://doi.org/10.1109/TIFS.2024.3420233","doi.org")</f>
        <v>doi.org</v>
      </c>
      <c r="G56" t="str">
        <f>HYPERLINK("/pdf/2024_10.1109_tifs.2024.3420233_SGD3QN__Joint_Stochastic_Games_and_Dueling_Double_Deep_Q-Networks_for_Defending_Malware_Propagation_in_Edge_In.pdf","open")</f>
        <v>open</v>
      </c>
      <c r="H56" t="s">
        <v>15</v>
      </c>
      <c r="I56" t="b">
        <v>0</v>
      </c>
      <c r="J56" t="s">
        <v>290</v>
      </c>
    </row>
    <row r="57" spans="1:10" x14ac:dyDescent="0.2">
      <c r="A57" t="s">
        <v>291</v>
      </c>
      <c r="B57" t="s">
        <v>292</v>
      </c>
      <c r="C57" t="s">
        <v>60</v>
      </c>
      <c r="D57" t="s">
        <v>293</v>
      </c>
      <c r="E57" t="s">
        <v>294</v>
      </c>
      <c r="F57" t="str">
        <f>HYPERLINK("https://doi.org/10.1007/s10115-024-02184-6","doi.org")</f>
        <v>doi.org</v>
      </c>
      <c r="G57" t="str">
        <f>HYPERLINK("/pdf/2024_10.1007_s10115-024-02184-6_An_online_ensemble_classification_algorithm_for_multi-class_imbalanced_data_stream.pdf","open")</f>
        <v>open</v>
      </c>
      <c r="H57" t="s">
        <v>15</v>
      </c>
      <c r="I57" t="b">
        <v>0</v>
      </c>
      <c r="J57" t="s">
        <v>295</v>
      </c>
    </row>
    <row r="58" spans="1:10" x14ac:dyDescent="0.2">
      <c r="A58" t="s">
        <v>296</v>
      </c>
      <c r="B58" t="s">
        <v>297</v>
      </c>
      <c r="C58" t="s">
        <v>19</v>
      </c>
      <c r="D58" t="s">
        <v>298</v>
      </c>
      <c r="E58" t="s">
        <v>296</v>
      </c>
      <c r="F58" t="str">
        <f>HYPERLINK("https://doi.org/10.1109/ICIMIA67127.2025.11200972","doi.org")</f>
        <v>doi.org</v>
      </c>
      <c r="G58" t="str">
        <f>HYPERLINK("/pdf/2025_10.1109_icimia67127.2025.11200972_An_Intelligent_Data_Leakage_Prevention_in_Cloud_Computing_using_Golden_Jackal_Optimization.pdf.pdf","open")</f>
        <v>open</v>
      </c>
      <c r="H58" t="s">
        <v>15</v>
      </c>
      <c r="I58" t="b">
        <v>0</v>
      </c>
      <c r="J58" t="s">
        <v>299</v>
      </c>
    </row>
    <row r="59" spans="1:10" x14ac:dyDescent="0.2">
      <c r="A59" t="s">
        <v>300</v>
      </c>
      <c r="B59" t="s">
        <v>301</v>
      </c>
      <c r="C59" t="s">
        <v>60</v>
      </c>
      <c r="D59" t="s">
        <v>302</v>
      </c>
      <c r="E59" t="s">
        <v>303</v>
      </c>
      <c r="F59" t="str">
        <f>HYPERLINK("https://doi.org/10.1109/HOST55342.2024.10545402","doi.org")</f>
        <v>doi.org</v>
      </c>
      <c r="G59" t="str">
        <f>HYPERLINK("/pdf/2024_10.1109_host55342.2024.10545402_NoiseHopper__Emission_Hopping_Air-Gap_Covert_Side_Channel_with_Lower_Probability_of_Detection.pdf","open")</f>
        <v>open</v>
      </c>
      <c r="H59" t="s">
        <v>15</v>
      </c>
      <c r="I59" t="b">
        <v>0</v>
      </c>
      <c r="J59" t="s">
        <v>304</v>
      </c>
    </row>
    <row r="60" spans="1:10" x14ac:dyDescent="0.2">
      <c r="A60" t="s">
        <v>305</v>
      </c>
      <c r="B60" t="s">
        <v>306</v>
      </c>
      <c r="C60" t="s">
        <v>100</v>
      </c>
      <c r="D60" t="s">
        <v>148</v>
      </c>
      <c r="E60" t="s">
        <v>148</v>
      </c>
      <c r="F60" t="str">
        <f>HYPERLINK("https://doi.org/Not Reported","doi.org")</f>
        <v>doi.org</v>
      </c>
      <c r="G60" t="str">
        <f>HYPERLINK("/pdf/2023_10_1109_mobilsoft59058_2023_00016_sensitive_and_personal_data_what_exactly_are_you_talking_about.pdf","open")</f>
        <v>open</v>
      </c>
      <c r="H60" t="s">
        <v>44</v>
      </c>
      <c r="I60" t="b">
        <v>1</v>
      </c>
      <c r="J60" t="s">
        <v>307</v>
      </c>
    </row>
    <row r="61" spans="1:10" x14ac:dyDescent="0.2">
      <c r="A61" t="s">
        <v>308</v>
      </c>
      <c r="B61" t="s">
        <v>309</v>
      </c>
      <c r="C61" t="s">
        <v>36</v>
      </c>
      <c r="D61" t="s">
        <v>310</v>
      </c>
      <c r="E61" t="s">
        <v>311</v>
      </c>
      <c r="F61" t="str">
        <f>HYPERLINK("https://doi.org/10.1016/j.neucom.2021.01.076","doi.org")</f>
        <v>doi.org</v>
      </c>
      <c r="G61" t="str">
        <f>HYPERLINK("/pdf/2022_10_1016_j_neucom_2021_01_144_a_real_time_dynamic_concept_adaptive_learning_algorithm_for_exploitability_prediction.pdf","open")</f>
        <v>open</v>
      </c>
      <c r="H61" t="s">
        <v>15</v>
      </c>
      <c r="I61" t="b">
        <v>0</v>
      </c>
      <c r="J61" t="s">
        <v>312</v>
      </c>
    </row>
    <row r="62" spans="1:10" x14ac:dyDescent="0.2">
      <c r="A62" t="s">
        <v>313</v>
      </c>
      <c r="B62" t="s">
        <v>314</v>
      </c>
      <c r="C62" t="s">
        <v>36</v>
      </c>
      <c r="D62" t="s">
        <v>315</v>
      </c>
      <c r="E62" t="s">
        <v>316</v>
      </c>
      <c r="F62" t="str">
        <f>HYPERLINK("https://doi.org/10.1080/0144929X.2021.1953597","doi.org")</f>
        <v>doi.org</v>
      </c>
      <c r="G62" t="str">
        <f>HYPERLINK("/pdf/2022_10_1080_0144929x_2021_1953597_the_relationship_between_online_political_participation_and_privacy_protection_evidence_f.pdf","open")</f>
        <v>open</v>
      </c>
      <c r="H62" t="s">
        <v>44</v>
      </c>
      <c r="I62" t="b">
        <v>1</v>
      </c>
      <c r="J62" t="s">
        <v>317</v>
      </c>
    </row>
    <row r="63" spans="1:10" x14ac:dyDescent="0.2">
      <c r="A63" t="s">
        <v>318</v>
      </c>
      <c r="B63" t="s">
        <v>319</v>
      </c>
      <c r="C63" t="s">
        <v>25</v>
      </c>
      <c r="D63" t="s">
        <v>320</v>
      </c>
      <c r="E63" t="s">
        <v>321</v>
      </c>
      <c r="F63" t="str">
        <f>HYPERLINK("https://doi.org/10.1007/s40747-021-00456-0","doi.org")</f>
        <v>doi.org</v>
      </c>
      <c r="G63" t="str">
        <f>HYPERLINK("/pdf/2023_10_1007_s40747_021_00456_0_deep_learning_framework_for_handling_concept_drift_and_class_imbalanced_complex_decision_m.pdf","open")</f>
        <v>open</v>
      </c>
      <c r="H63" t="s">
        <v>15</v>
      </c>
      <c r="I63" t="b">
        <v>0</v>
      </c>
      <c r="J63" t="s">
        <v>322</v>
      </c>
    </row>
    <row r="64" spans="1:10" x14ac:dyDescent="0.2">
      <c r="A64" t="s">
        <v>323</v>
      </c>
      <c r="B64" t="s">
        <v>323</v>
      </c>
      <c r="C64" t="s">
        <v>19</v>
      </c>
      <c r="D64" t="s">
        <v>76</v>
      </c>
      <c r="E64" t="s">
        <v>324</v>
      </c>
      <c r="F64" t="str">
        <f>HYPERLINK("https://doi.org/10.1109/ACCESS.2025.3569356","doi.org")</f>
        <v>doi.org</v>
      </c>
      <c r="G64" t="str">
        <f>HYPERLINK("/pdf/2025_10.1109_access.2025.3569356_FEXGBIDS__Federated_XGBoost-Based_Intrusion_Detection_System_for_In-Vehicle_Network.pdf","open")</f>
        <v>open</v>
      </c>
      <c r="H64" t="s">
        <v>15</v>
      </c>
      <c r="I64" t="b">
        <v>0</v>
      </c>
      <c r="J64" t="s">
        <v>325</v>
      </c>
    </row>
    <row r="65" spans="1:10" x14ac:dyDescent="0.2">
      <c r="A65" t="s">
        <v>326</v>
      </c>
      <c r="B65" t="s">
        <v>327</v>
      </c>
      <c r="C65" t="s">
        <v>190</v>
      </c>
      <c r="D65" t="s">
        <v>328</v>
      </c>
      <c r="E65" t="s">
        <v>329</v>
      </c>
      <c r="F65" t="str">
        <f>HYPERLINK("https://doi.org/10.1109/ICCSN.2017.8230353","doi.org")</f>
        <v>doi.org</v>
      </c>
      <c r="G65" t="str">
        <f>HYPERLINK("/pdf/2017_10.1109_iccsn.2017.8230197_EddLeak__Enhancing_precision_of_detecting_inter-app_data_leakage_in_Android_applications.pdf","open")</f>
        <v>open</v>
      </c>
      <c r="H65" t="s">
        <v>15</v>
      </c>
      <c r="I65" t="b">
        <v>0</v>
      </c>
      <c r="J65" t="s">
        <v>330</v>
      </c>
    </row>
    <row r="66" spans="1:10" x14ac:dyDescent="0.2">
      <c r="A66" t="s">
        <v>331</v>
      </c>
      <c r="B66" t="s">
        <v>332</v>
      </c>
      <c r="C66" t="s">
        <v>25</v>
      </c>
      <c r="D66" t="s">
        <v>333</v>
      </c>
      <c r="E66" t="s">
        <v>334</v>
      </c>
      <c r="F66" t="str">
        <f>HYPERLINK("https://doi.org/10.1109/3ICT60104.2023.10391475","doi.org")</f>
        <v>doi.org</v>
      </c>
      <c r="G66" t="str">
        <f>HYPERLINK("/pdf/2023_10.1109_3ict60104.2023.10391475_Enhancing_Mobile_Security__A_Systematic_Review_of_AI_and_Blockchain_Integration_Strategies_for_Effective_Analy.pdf","open")</f>
        <v>open</v>
      </c>
      <c r="H66" t="s">
        <v>15</v>
      </c>
      <c r="I66" t="b">
        <v>0</v>
      </c>
      <c r="J66" t="s">
        <v>335</v>
      </c>
    </row>
    <row r="67" spans="1:10" x14ac:dyDescent="0.2">
      <c r="A67" t="s">
        <v>336</v>
      </c>
      <c r="B67" t="s">
        <v>337</v>
      </c>
      <c r="C67" t="s">
        <v>19</v>
      </c>
      <c r="D67" t="s">
        <v>338</v>
      </c>
      <c r="E67" t="s">
        <v>339</v>
      </c>
      <c r="F67" t="str">
        <f>HYPERLINK("https://doi.org/10.1007/s13198-025-03013-x","doi.org")</f>
        <v>doi.org</v>
      </c>
      <c r="G67" t="str">
        <f>HYPERLINK("/pdf/2025_10.1007_s13198-025-03013-x_Mobile_network_intelligent_recommendation_based_on_data_mining_and_network_security_application_in_college_stu.pdf","open")</f>
        <v>open</v>
      </c>
      <c r="H67" t="s">
        <v>15</v>
      </c>
      <c r="I67" t="b">
        <v>0</v>
      </c>
      <c r="J67" t="s">
        <v>340</v>
      </c>
    </row>
    <row r="68" spans="1:10" x14ac:dyDescent="0.2">
      <c r="A68" t="s">
        <v>341</v>
      </c>
      <c r="B68" t="s">
        <v>342</v>
      </c>
      <c r="C68" t="s">
        <v>12</v>
      </c>
      <c r="D68" t="s">
        <v>343</v>
      </c>
      <c r="E68" t="s">
        <v>344</v>
      </c>
      <c r="F68" t="str">
        <f>HYPERLINK("https://doi.org/10.1109/ISVLSI.2018.00105","doi.org")</f>
        <v>doi.org</v>
      </c>
      <c r="G68" t="str">
        <f>HYPERLINK("/pdf/2018_10.1109_isvlsi.2018.00105_Security-driven_task_scheduling_for_multiprocessor_system-on-chips_with_performance_constraints.pdf","open")</f>
        <v>open</v>
      </c>
      <c r="H68" t="s">
        <v>15</v>
      </c>
      <c r="I68" t="b">
        <v>0</v>
      </c>
      <c r="J68" t="s">
        <v>345</v>
      </c>
    </row>
    <row r="69" spans="1:10" x14ac:dyDescent="0.2">
      <c r="A69" t="s">
        <v>346</v>
      </c>
      <c r="B69" t="s">
        <v>347</v>
      </c>
      <c r="C69" t="s">
        <v>54</v>
      </c>
      <c r="D69" t="s">
        <v>348</v>
      </c>
      <c r="E69" t="s">
        <v>349</v>
      </c>
      <c r="F69" t="str">
        <f>HYPERLINK("https://doi.org/10.1145/3407023.3409216","doi.org")</f>
        <v>doi.org</v>
      </c>
      <c r="G69" t="str">
        <f>HYPERLINK("/pdf/2020_10.1145_3407023.3409216_Exploring_data_leakage_in_encrypted_payload_using_supervised_machine_learning.pdf","open")</f>
        <v>open</v>
      </c>
      <c r="H69" t="s">
        <v>15</v>
      </c>
      <c r="I69" t="b">
        <v>0</v>
      </c>
      <c r="J69" t="s">
        <v>350</v>
      </c>
    </row>
    <row r="70" spans="1:10" x14ac:dyDescent="0.2">
      <c r="A70" t="s">
        <v>351</v>
      </c>
      <c r="B70" t="s">
        <v>352</v>
      </c>
      <c r="C70" t="s">
        <v>54</v>
      </c>
      <c r="D70" t="s">
        <v>353</v>
      </c>
      <c r="E70" t="s">
        <v>354</v>
      </c>
      <c r="F70" t="str">
        <f>HYPERLINK("https://doi.org/10.1109/TVLSI.2020.2982188","doi.org")</f>
        <v>doi.org</v>
      </c>
      <c r="G70" t="str">
        <f>HYPERLINK("/pdf/2020_10.1109_tvlsi.2020.2982188_Cache-Out__Leaking_Cache_Memory_Using_Hardware_Trojan.pdf","open")</f>
        <v>open</v>
      </c>
      <c r="H70" t="s">
        <v>15</v>
      </c>
      <c r="I70" t="b">
        <v>0</v>
      </c>
      <c r="J70" t="s">
        <v>355</v>
      </c>
    </row>
    <row r="71" spans="1:10" x14ac:dyDescent="0.2">
      <c r="A71" t="s">
        <v>356</v>
      </c>
      <c r="B71" t="s">
        <v>357</v>
      </c>
      <c r="C71" t="s">
        <v>25</v>
      </c>
      <c r="D71" t="s">
        <v>358</v>
      </c>
      <c r="E71" t="s">
        <v>359</v>
      </c>
      <c r="F71" t="str">
        <f>HYPERLINK("https://doi.org/10.1109/ISCTech60480.2023.00028","doi.org")</f>
        <v>doi.org</v>
      </c>
      <c r="G71" t="str">
        <f>HYPERLINK("/pdf/2023_10.1109_isctech60480.2023.00028_An_attack-aware_shipping_enterprise_cybersecurity_framework_based_on_deep_learning.pdf","open")</f>
        <v>open</v>
      </c>
      <c r="H71" t="s">
        <v>15</v>
      </c>
      <c r="I71" t="b">
        <v>0</v>
      </c>
      <c r="J71" t="s">
        <v>360</v>
      </c>
    </row>
    <row r="72" spans="1:10" x14ac:dyDescent="0.2">
      <c r="A72" t="s">
        <v>361</v>
      </c>
      <c r="B72" t="s">
        <v>362</v>
      </c>
      <c r="C72" t="s">
        <v>363</v>
      </c>
      <c r="D72" t="s">
        <v>364</v>
      </c>
      <c r="E72" t="s">
        <v>365</v>
      </c>
      <c r="F72" t="str">
        <f>HYPERLINK("https://doi.org/10.1016/j.jnca.2016.01.008","doi.org")</f>
        <v>doi.org</v>
      </c>
      <c r="G72" t="str">
        <f>HYPERLINK("/pdf/2016_10.1016_j.jnca.2016.01.008_A_survey_on_data_leakage_prevention_systems.pdf","open")</f>
        <v>open</v>
      </c>
      <c r="H72" t="s">
        <v>44</v>
      </c>
      <c r="I72" t="b">
        <v>1</v>
      </c>
      <c r="J72" t="s">
        <v>366</v>
      </c>
    </row>
    <row r="73" spans="1:10" x14ac:dyDescent="0.2">
      <c r="A73" t="s">
        <v>367</v>
      </c>
      <c r="B73" t="s">
        <v>368</v>
      </c>
      <c r="C73" t="s">
        <v>60</v>
      </c>
      <c r="D73" t="s">
        <v>369</v>
      </c>
      <c r="E73" t="s">
        <v>370</v>
      </c>
      <c r="F73" t="str">
        <f>HYPERLINK("https://doi.org/10.1002/9781394200801.ch32","doi.org")</f>
        <v>doi.org</v>
      </c>
      <c r="G73" t="str">
        <f>HYPERLINK("/pdf/2024_10.1002_9781394200801.ch32_Risks_for_conversational_AI_security.pdf","open")</f>
        <v>open</v>
      </c>
      <c r="H73" t="s">
        <v>15</v>
      </c>
      <c r="I73" t="b">
        <v>0</v>
      </c>
      <c r="J73" t="s">
        <v>371</v>
      </c>
    </row>
    <row r="74" spans="1:10" x14ac:dyDescent="0.2">
      <c r="A74" t="s">
        <v>372</v>
      </c>
      <c r="B74" t="s">
        <v>373</v>
      </c>
      <c r="C74" t="s">
        <v>363</v>
      </c>
      <c r="D74" t="s">
        <v>374</v>
      </c>
      <c r="E74" t="s">
        <v>375</v>
      </c>
      <c r="F74" t="str">
        <f>HYPERLINK("https://doi.org/10.1109/HICSS.2016.679","doi.org")</f>
        <v>doi.org</v>
      </c>
      <c r="G74" t="str">
        <f>HYPERLINK("/pdf/2016_10.1109_hicss.2016.679_Utilizing_the_cloud_to_store_hijacked_camera_images.pdf","open")</f>
        <v>open</v>
      </c>
      <c r="H74" t="s">
        <v>15</v>
      </c>
      <c r="I74" t="b">
        <v>0</v>
      </c>
      <c r="J74" t="s">
        <v>376</v>
      </c>
    </row>
    <row r="75" spans="1:10" x14ac:dyDescent="0.2">
      <c r="A75" t="s">
        <v>140</v>
      </c>
      <c r="B75" t="s">
        <v>141</v>
      </c>
      <c r="C75" t="s">
        <v>25</v>
      </c>
      <c r="D75" t="s">
        <v>142</v>
      </c>
      <c r="E75" t="s">
        <v>143</v>
      </c>
      <c r="F75" t="str">
        <f>HYPERLINK("https://doi.org/10.11591/ijece.v13i5.pp5560-5568","doi.org")</f>
        <v>doi.org</v>
      </c>
      <c r="G75" t="str">
        <f>HYPERLINK("/pdf/2023_10_11591_ijece_v13i5_pp5560_5568_concept_drift_and_machine_learning_model_for_detecting_fraudulent_transactions_i.pdf","open")</f>
        <v>open</v>
      </c>
      <c r="H75" t="s">
        <v>15</v>
      </c>
      <c r="I75" t="b">
        <v>0</v>
      </c>
      <c r="J75" t="s">
        <v>377</v>
      </c>
    </row>
    <row r="76" spans="1:10" x14ac:dyDescent="0.2">
      <c r="A76" t="s">
        <v>378</v>
      </c>
      <c r="B76" t="s">
        <v>379</v>
      </c>
      <c r="C76" t="s">
        <v>25</v>
      </c>
      <c r="D76" t="s">
        <v>380</v>
      </c>
      <c r="E76" t="s">
        <v>378</v>
      </c>
      <c r="F76" t="str">
        <f>HYPERLINK("https://doi.org/10.1587/transfun.2023EAP1049","doi.org")</f>
        <v>doi.org</v>
      </c>
      <c r="G76" t="str">
        <f>HYPERLINK("/pdf/2024_10_1587_transfun_2023eap1049_real_time_monitoring_systems_that_provide_m2m_communication_between_machines.pdf","open")</f>
        <v>open</v>
      </c>
      <c r="H76" t="s">
        <v>15</v>
      </c>
      <c r="I76" t="b">
        <v>0</v>
      </c>
      <c r="J76" t="s">
        <v>381</v>
      </c>
    </row>
    <row r="77" spans="1:10" x14ac:dyDescent="0.2">
      <c r="A77" t="s">
        <v>382</v>
      </c>
      <c r="B77" t="s">
        <v>383</v>
      </c>
      <c r="C77" t="s">
        <v>48</v>
      </c>
      <c r="D77" t="s">
        <v>384</v>
      </c>
      <c r="E77" t="s">
        <v>385</v>
      </c>
      <c r="F77" t="str">
        <f>HYPERLINK("https://doi.org/10.37394/23209.2026.23.6","doi.org")</f>
        <v>doi.org</v>
      </c>
      <c r="G77" t="str">
        <f>HYPERLINK("/pdf/2026_10_37394_23209_2026_23_6_intrusion_detection_system_iids.pdf","open")</f>
        <v>open</v>
      </c>
      <c r="H77" t="s">
        <v>15</v>
      </c>
      <c r="I77" t="b">
        <v>0</v>
      </c>
      <c r="J77" t="s">
        <v>386</v>
      </c>
    </row>
    <row r="78" spans="1:10" x14ac:dyDescent="0.2">
      <c r="A78" t="s">
        <v>387</v>
      </c>
      <c r="B78" t="s">
        <v>388</v>
      </c>
      <c r="C78" t="s">
        <v>25</v>
      </c>
      <c r="D78" t="s">
        <v>389</v>
      </c>
      <c r="E78" t="s">
        <v>390</v>
      </c>
      <c r="F78" t="str">
        <f>HYPERLINK("https://doi.org/10.3390/fi15090296","doi.org")</f>
        <v>doi.org</v>
      </c>
      <c r="G78" t="str">
        <f>HYPERLINK("/pdf/2023_10_3390_fi15090296_fredy_federated_resilience_enhanced_with_differential_privacy.pdf","open")</f>
        <v>open</v>
      </c>
      <c r="H78" t="s">
        <v>15</v>
      </c>
      <c r="I78" t="b">
        <v>0</v>
      </c>
      <c r="J78" t="s">
        <v>391</v>
      </c>
    </row>
    <row r="79" spans="1:10" x14ac:dyDescent="0.2">
      <c r="A79" t="s">
        <v>392</v>
      </c>
      <c r="B79" t="s">
        <v>393</v>
      </c>
      <c r="C79" t="s">
        <v>19</v>
      </c>
      <c r="D79" t="s">
        <v>394</v>
      </c>
      <c r="E79" t="s">
        <v>395</v>
      </c>
      <c r="F79" t="str">
        <f>HYPERLINK("https://doi.org/10.1109/ISCTT66403.2025.11137906","doi.org")</f>
        <v>doi.org</v>
      </c>
      <c r="G79" t="str">
        <f>HYPERLINK("/pdf/2025_10.1109_isctt66403.2025.11137906_Distributed_Network_Intrusion_Detection_Model_Based_on_Multi-Feature_Fusion_Generative_Adversarial_Network_and.pdf","open")</f>
        <v>open</v>
      </c>
      <c r="H79" t="s">
        <v>15</v>
      </c>
      <c r="I79" t="b">
        <v>0</v>
      </c>
      <c r="J79" t="s">
        <v>396</v>
      </c>
    </row>
    <row r="80" spans="1:10" x14ac:dyDescent="0.2">
      <c r="A80" t="s">
        <v>397</v>
      </c>
      <c r="B80" t="s">
        <v>398</v>
      </c>
      <c r="C80" t="s">
        <v>25</v>
      </c>
      <c r="D80" t="s">
        <v>399</v>
      </c>
      <c r="E80" t="s">
        <v>400</v>
      </c>
      <c r="F80" t="str">
        <f>HYPERLINK("https://doi.org/10.3390/en16134838","doi.org")</f>
        <v>doi.org</v>
      </c>
      <c r="G80" t="str">
        <f>HYPERLINK("/pdf/2023_10_3390_en16134838_a_review_of_cybersecurity_concerns_for_transactive_energy_markets.pdf","open")</f>
        <v>open</v>
      </c>
      <c r="H80" t="s">
        <v>15</v>
      </c>
      <c r="I80" t="b">
        <v>0</v>
      </c>
      <c r="J80" t="s">
        <v>401</v>
      </c>
    </row>
    <row r="81" spans="1:10" x14ac:dyDescent="0.2">
      <c r="A81" t="s">
        <v>402</v>
      </c>
      <c r="B81" t="s">
        <v>403</v>
      </c>
      <c r="C81" t="s">
        <v>136</v>
      </c>
      <c r="D81" t="s">
        <v>404</v>
      </c>
      <c r="E81" t="s">
        <v>405</v>
      </c>
      <c r="F81" t="str">
        <f>HYPERLINK("https://doi.org/arXiv:1907.05851v1","doi.org")</f>
        <v>doi.org</v>
      </c>
      <c r="G81" t="str">
        <f>HYPERLINK("/pdf/2019_10_1109_compsac_2019_00118_ctrl_alt_led_leaking_data_from_air_gapped_computers_via_keyboard_leds.pdf","open")</f>
        <v>open</v>
      </c>
      <c r="H81" t="s">
        <v>15</v>
      </c>
      <c r="I81" t="b">
        <v>1</v>
      </c>
      <c r="J81" t="s">
        <v>406</v>
      </c>
    </row>
    <row r="82" spans="1:10" x14ac:dyDescent="0.2">
      <c r="A82" t="s">
        <v>407</v>
      </c>
      <c r="B82" t="s">
        <v>408</v>
      </c>
      <c r="C82" t="s">
        <v>12</v>
      </c>
      <c r="D82" t="s">
        <v>409</v>
      </c>
      <c r="E82" t="s">
        <v>410</v>
      </c>
      <c r="F82" t="str">
        <f>HYPERLINK("https://doi.org/10.1109/ICCNC.2018.8390282","doi.org")</f>
        <v>doi.org</v>
      </c>
      <c r="G82" t="str">
        <f>HYPERLINK("/pdf/2018_10.1109_iccnc.2018.8390242_Don't_Be_Surprised__I_See_Your_Mobile_App_Stealing_Your_Data.pdf","open")</f>
        <v>open</v>
      </c>
      <c r="H82" t="s">
        <v>15</v>
      </c>
      <c r="I82" t="b">
        <v>0</v>
      </c>
      <c r="J82" t="s">
        <v>411</v>
      </c>
    </row>
    <row r="83" spans="1:10" x14ac:dyDescent="0.2">
      <c r="A83" t="s">
        <v>412</v>
      </c>
      <c r="B83" t="s">
        <v>11</v>
      </c>
      <c r="C83" t="s">
        <v>12</v>
      </c>
      <c r="D83" t="s">
        <v>413</v>
      </c>
      <c r="E83" t="s">
        <v>14</v>
      </c>
      <c r="F83" t="str">
        <f>HYPERLINK("https://doi.org/10.1007/978-1-4842-3700-7","doi.org")</f>
        <v>doi.org</v>
      </c>
      <c r="G83" t="str">
        <f>HYPERLINK("/pdf/2018_10_1007_978_1_4842_3700_7_defending_iot_infrastructures_with_the_raspberry_pi_monitoring_and_detecting_nefarious_be.pdf","open")</f>
        <v>open</v>
      </c>
      <c r="H83" t="s">
        <v>15</v>
      </c>
      <c r="I83" t="b">
        <v>0</v>
      </c>
      <c r="J83" t="s">
        <v>414</v>
      </c>
    </row>
    <row r="84" spans="1:10" x14ac:dyDescent="0.2">
      <c r="A84" t="s">
        <v>415</v>
      </c>
      <c r="B84" t="s">
        <v>416</v>
      </c>
      <c r="C84" t="s">
        <v>19</v>
      </c>
      <c r="D84" t="s">
        <v>417</v>
      </c>
      <c r="E84" t="s">
        <v>418</v>
      </c>
      <c r="F84" t="str">
        <f>HYPERLINK("https://doi.org/10.1007/s10586-025-05591-8","doi.org")</f>
        <v>doi.org</v>
      </c>
      <c r="G84" t="str">
        <f>HYPERLINK("/pdf/2025_10.1007_s10586-025-05591-8_RF-FedAvg__Federated_learning-based_random_forest_model_for_intrusion_detection_in_wireless_sensor_networks.pdf","open")</f>
        <v>open</v>
      </c>
      <c r="H84" t="s">
        <v>15</v>
      </c>
      <c r="I84" t="b">
        <v>0</v>
      </c>
      <c r="J84" t="s">
        <v>419</v>
      </c>
    </row>
    <row r="85" spans="1:10" x14ac:dyDescent="0.2">
      <c r="A85" t="s">
        <v>420</v>
      </c>
      <c r="B85" t="s">
        <v>421</v>
      </c>
      <c r="C85" t="s">
        <v>19</v>
      </c>
      <c r="D85" t="s">
        <v>422</v>
      </c>
      <c r="E85" t="s">
        <v>423</v>
      </c>
      <c r="F85" t="str">
        <f>HYPERLINK("https://doi.org/10.1109/TIFS.2025.3607271","doi.org")</f>
        <v>doi.org</v>
      </c>
      <c r="G85" t="str">
        <f>HYPERLINK("/pdf/2025_10.1109_tifs.2025.3607271_The_Gradient_Puppeteer__Adversarial_Domination_in_Gradient_Leakage_Attacks_Through_Model_Poisoning.pdf","open")</f>
        <v>open</v>
      </c>
      <c r="H85" t="s">
        <v>15</v>
      </c>
      <c r="I85" t="b">
        <v>0</v>
      </c>
      <c r="J85" t="s">
        <v>424</v>
      </c>
    </row>
    <row r="86" spans="1:10" x14ac:dyDescent="0.2">
      <c r="A86" t="s">
        <v>425</v>
      </c>
      <c r="B86" t="s">
        <v>426</v>
      </c>
      <c r="C86" t="s">
        <v>210</v>
      </c>
      <c r="D86" t="s">
        <v>427</v>
      </c>
      <c r="E86" t="s">
        <v>428</v>
      </c>
      <c r="F86" t="str">
        <f>HYPERLINK("https://doi.org/10.1109/ICTC.2015.7354763","doi.org")</f>
        <v>doi.org</v>
      </c>
      <c r="G86" t="str">
        <f>HYPERLINK("/pdf/2015_10.1109_ictc.2015.7354766_Mobile_security_technology_for_smart_devices.pdf","open")</f>
        <v>open</v>
      </c>
      <c r="H86" t="s">
        <v>15</v>
      </c>
      <c r="I86" t="b">
        <v>0</v>
      </c>
      <c r="J86" t="s">
        <v>429</v>
      </c>
    </row>
    <row r="87" spans="1:10" x14ac:dyDescent="0.2">
      <c r="A87" t="s">
        <v>430</v>
      </c>
      <c r="B87" t="s">
        <v>431</v>
      </c>
      <c r="C87" t="s">
        <v>60</v>
      </c>
      <c r="D87" t="s">
        <v>432</v>
      </c>
      <c r="E87" t="s">
        <v>433</v>
      </c>
      <c r="F87" t="str">
        <f>HYPERLINK("https://doi.org/10.1109/ICEES61253.2024.10776873","doi.org")</f>
        <v>doi.org</v>
      </c>
      <c r="G87" t="str">
        <f>HYPERLINK("/pdf/2024_10.1109_icees61253.2024.10776873_A_Comparative_Study_on_the_Impacts_of_Data_Leakage_During_Feature_Selection_using_the_CIC-IoT_2023_Intrusion_D.pdf","open")</f>
        <v>open</v>
      </c>
      <c r="H87" t="s">
        <v>15</v>
      </c>
      <c r="I87" t="b">
        <v>0</v>
      </c>
      <c r="J87" t="s">
        <v>434</v>
      </c>
    </row>
    <row r="88" spans="1:10" x14ac:dyDescent="0.2">
      <c r="A88" t="s">
        <v>435</v>
      </c>
      <c r="B88" t="s">
        <v>436</v>
      </c>
      <c r="C88" t="s">
        <v>25</v>
      </c>
      <c r="D88" t="s">
        <v>437</v>
      </c>
      <c r="E88" t="s">
        <v>438</v>
      </c>
      <c r="F88" t="str">
        <f>HYPERLINK("https://doi.org/10.1109/TNET.2022.3215549","doi.org")</f>
        <v>doi.org</v>
      </c>
      <c r="G88" t="str">
        <f>HYPERLINK("/pdf/2023_10.1109_tnet.2022.3215549_Packet_Chunking_for_File_Detection.pdf","open")</f>
        <v>open</v>
      </c>
      <c r="H88" t="s">
        <v>15</v>
      </c>
      <c r="I88" t="b">
        <v>0</v>
      </c>
      <c r="J88" t="s">
        <v>439</v>
      </c>
    </row>
    <row r="89" spans="1:10" x14ac:dyDescent="0.2">
      <c r="A89" t="s">
        <v>440</v>
      </c>
      <c r="B89" t="s">
        <v>441</v>
      </c>
      <c r="C89" t="s">
        <v>54</v>
      </c>
      <c r="D89" t="s">
        <v>442</v>
      </c>
      <c r="E89" t="s">
        <v>443</v>
      </c>
      <c r="F89" t="str">
        <f>HYPERLINK("https://doi.org/10.1109/TVLSI.2019.2961358","doi.org")</f>
        <v>doi.org</v>
      </c>
      <c r="G89" t="str">
        <f>HYPERLINK("/pdf/2020_10.1109_tvlsi.2019.2961358_HarTBleed__Using_Hardware_Trojans_for_Data_Leakage_Exploits.pdf","open")</f>
        <v>open</v>
      </c>
      <c r="H89" t="s">
        <v>15</v>
      </c>
      <c r="I89" t="b">
        <v>0</v>
      </c>
      <c r="J89" t="s">
        <v>444</v>
      </c>
    </row>
    <row r="90" spans="1:10" x14ac:dyDescent="0.2">
      <c r="A90" t="s">
        <v>445</v>
      </c>
      <c r="B90" t="s">
        <v>446</v>
      </c>
      <c r="C90" t="s">
        <v>19</v>
      </c>
      <c r="D90" t="s">
        <v>447</v>
      </c>
      <c r="E90" t="s">
        <v>448</v>
      </c>
      <c r="F90" t="str">
        <f>HYPERLINK("https://doi.org/10.3991/ijep.v15i4.53127","doi.org")</f>
        <v>doi.org</v>
      </c>
      <c r="G90" t="str">
        <f>HYPERLINK("/pdf/2025_10_3991_ijep_v15i4_53127_integration_of_cybersecurity_into_computer_science_teachers_training_a_systematic_review.pdf","open")</f>
        <v>open</v>
      </c>
      <c r="H90" t="s">
        <v>44</v>
      </c>
      <c r="I90" t="b">
        <v>1</v>
      </c>
      <c r="J90" t="s">
        <v>449</v>
      </c>
    </row>
    <row r="91" spans="1:10" x14ac:dyDescent="0.2">
      <c r="A91" t="s">
        <v>450</v>
      </c>
      <c r="B91" t="s">
        <v>451</v>
      </c>
      <c r="C91" t="s">
        <v>19</v>
      </c>
      <c r="D91" t="s">
        <v>452</v>
      </c>
      <c r="E91" t="s">
        <v>453</v>
      </c>
      <c r="F91" t="str">
        <f>HYPERLINK("https://doi.org/10.1109/ICCAD66269.2025.11240658","doi.org")</f>
        <v>doi.org</v>
      </c>
      <c r="G91" t="str">
        <f>HYPERLINK("/pdf/2025_10.1109_iccad66269.2025.11240658_Invited_Paper__2025_ICCAD_CAD_Contest_Problem_A__Hardware_Trojan_Detection_on_Gate-Level_Netlist.pdf","open")</f>
        <v>open</v>
      </c>
      <c r="H91" t="s">
        <v>15</v>
      </c>
      <c r="I91" t="b">
        <v>0</v>
      </c>
      <c r="J91" t="s">
        <v>454</v>
      </c>
    </row>
    <row r="92" spans="1:10" x14ac:dyDescent="0.2">
      <c r="A92" t="s">
        <v>455</v>
      </c>
      <c r="B92" t="s">
        <v>456</v>
      </c>
      <c r="C92" t="s">
        <v>136</v>
      </c>
      <c r="D92" t="s">
        <v>457</v>
      </c>
      <c r="E92" t="s">
        <v>148</v>
      </c>
      <c r="F92" t="str">
        <f>HYPERLINK("https://doi.org/Not Reported","doi.org")</f>
        <v>doi.org</v>
      </c>
      <c r="G92" t="str">
        <f>HYPERLINK("/pdf/2019_Testing_the_human_backdoor__organizational_response_to_a_phishing_campaign.pdf","open")</f>
        <v>open</v>
      </c>
      <c r="H92" t="s">
        <v>15</v>
      </c>
      <c r="I92" t="b">
        <v>0</v>
      </c>
      <c r="J92" t="s">
        <v>458</v>
      </c>
    </row>
    <row r="93" spans="1:10" x14ac:dyDescent="0.2">
      <c r="A93" t="s">
        <v>459</v>
      </c>
      <c r="B93" t="s">
        <v>460</v>
      </c>
      <c r="C93" t="s">
        <v>156</v>
      </c>
      <c r="D93" t="s">
        <v>461</v>
      </c>
      <c r="E93" t="s">
        <v>148</v>
      </c>
      <c r="F93" t="str">
        <f>HYPERLINK("https://doi.org/Not Reported","doi.org")</f>
        <v>doi.org</v>
      </c>
      <c r="G93" t="str">
        <f>HYPERLINK("/pdf/2013_10_15837_ijccc_2013_1_173_managing_information_technology_security_in_the_context_of_cyber_crime_trends.pdf","open")</f>
        <v>open</v>
      </c>
      <c r="H93" t="s">
        <v>15</v>
      </c>
      <c r="I93" t="b">
        <v>0</v>
      </c>
      <c r="J93" t="s">
        <v>462</v>
      </c>
    </row>
    <row r="94" spans="1:10" x14ac:dyDescent="0.2">
      <c r="A94" t="s">
        <v>463</v>
      </c>
      <c r="B94" t="s">
        <v>464</v>
      </c>
      <c r="C94" t="s">
        <v>25</v>
      </c>
      <c r="D94" t="s">
        <v>465</v>
      </c>
      <c r="E94" t="s">
        <v>466</v>
      </c>
      <c r="F94" t="str">
        <f>HYPERLINK("https://doi.org/10.1109/CyMaEn57228.2023.10050996","doi.org")</f>
        <v>doi.org</v>
      </c>
      <c r="G94" t="str">
        <f>HYPERLINK("/pdf/2023_10.1109_cymaen57228.2023.10050996_Robotic_Process_Automation_and_Intelligent_Automation_Security_Challenges__A_Review.pdf","open")</f>
        <v>open</v>
      </c>
      <c r="H94" t="s">
        <v>15</v>
      </c>
      <c r="I94" t="b">
        <v>1</v>
      </c>
      <c r="J94" t="s">
        <v>467</v>
      </c>
    </row>
    <row r="95" spans="1:10" x14ac:dyDescent="0.2">
      <c r="A95" t="s">
        <v>468</v>
      </c>
      <c r="B95" t="s">
        <v>469</v>
      </c>
      <c r="C95" t="s">
        <v>100</v>
      </c>
      <c r="D95" t="s">
        <v>470</v>
      </c>
      <c r="E95" t="s">
        <v>471</v>
      </c>
      <c r="F95" t="str">
        <f>HYPERLINK("https://doi.org/10.1109/GLOBECOM48099.2022.10001017","doi.org")</f>
        <v>doi.org</v>
      </c>
      <c r="G95" t="str">
        <f>HYPERLINK("/pdf/2022_10.1109_globecom48099.2022.10001017_Intelligent_Ensemble_based_System_for_Rare_Attacks_Dectection_in_IoT_Networks.pdf","open")</f>
        <v>open</v>
      </c>
      <c r="H95" t="s">
        <v>15</v>
      </c>
      <c r="I95" t="b">
        <v>0</v>
      </c>
      <c r="J95" t="s">
        <v>472</v>
      </c>
    </row>
    <row r="96" spans="1:10" x14ac:dyDescent="0.2">
      <c r="A96" t="s">
        <v>473</v>
      </c>
      <c r="B96" t="s">
        <v>474</v>
      </c>
      <c r="C96" t="s">
        <v>36</v>
      </c>
      <c r="D96" t="s">
        <v>475</v>
      </c>
      <c r="E96" t="s">
        <v>476</v>
      </c>
      <c r="F96" t="str">
        <f>HYPERLINK("https://doi.org/10.1109/HPCC-DSS-SMARTCITY-DEPENDSYS53884.2021.00090","doi.org")</f>
        <v>doi.org</v>
      </c>
      <c r="G96" t="str">
        <f>HYPERLINK("/pdf/2022_10.1109_hpcc-dss-smartcity-dependsys53884.2021.00090_Detecting_Data_Leakage_in_DNS_Traffic_based_on_Time_Series_Anomaly_Detection.pdf","open")</f>
        <v>open</v>
      </c>
      <c r="H96" t="s">
        <v>15</v>
      </c>
      <c r="I96" t="b">
        <v>0</v>
      </c>
      <c r="J96" t="s">
        <v>477</v>
      </c>
    </row>
    <row r="97" spans="1:10" x14ac:dyDescent="0.2">
      <c r="A97" t="s">
        <v>478</v>
      </c>
      <c r="B97" t="s">
        <v>479</v>
      </c>
      <c r="C97" t="s">
        <v>136</v>
      </c>
      <c r="D97" t="s">
        <v>364</v>
      </c>
      <c r="E97" t="s">
        <v>480</v>
      </c>
      <c r="F97" t="str">
        <f>HYPERLINK("https://doi.org/10.1016/j.jnca.2019.07.006","doi.org")</f>
        <v>doi.org</v>
      </c>
      <c r="G97" t="str">
        <f>HYPERLINK("/pdf/2019_10.1016_j.jnca.2019.07.006_Using_malware_for_the_greater_good__Mitigating_data_leakage.pdf","open")</f>
        <v>open</v>
      </c>
      <c r="H97" t="s">
        <v>44</v>
      </c>
      <c r="I97" t="b">
        <v>1</v>
      </c>
      <c r="J97" t="s">
        <v>481</v>
      </c>
    </row>
    <row r="98" spans="1:10" x14ac:dyDescent="0.2">
      <c r="A98" t="s">
        <v>482</v>
      </c>
      <c r="B98" t="s">
        <v>483</v>
      </c>
      <c r="C98" t="s">
        <v>363</v>
      </c>
      <c r="D98" t="s">
        <v>484</v>
      </c>
      <c r="E98" t="s">
        <v>482</v>
      </c>
      <c r="F98" t="str">
        <f>HYPERLINK("https://doi.org/10.1002/sec.1531","doi.org")</f>
        <v>doi.org</v>
      </c>
      <c r="G98" t="str">
        <f>HYPERLINK("/pdf/2016_10.1002_sec.1531_DAT_detectors__uncovering_TCP_IP_covert_channels_by_descriptive_analytics.pdf","open")</f>
        <v>open</v>
      </c>
      <c r="H98" t="s">
        <v>15</v>
      </c>
      <c r="I98" t="b">
        <v>0</v>
      </c>
      <c r="J98" t="s">
        <v>485</v>
      </c>
    </row>
    <row r="99" spans="1:10" x14ac:dyDescent="0.2">
      <c r="A99" t="s">
        <v>486</v>
      </c>
      <c r="B99" t="s">
        <v>487</v>
      </c>
      <c r="C99" t="s">
        <v>25</v>
      </c>
      <c r="D99" t="s">
        <v>488</v>
      </c>
      <c r="E99" t="s">
        <v>489</v>
      </c>
      <c r="F99" t="str">
        <f>HYPERLINK("https://doi.org/10.1007/s10207-022-00651-1","doi.org")</f>
        <v>doi.org</v>
      </c>
      <c r="G99" t="str">
        <f>HYPERLINK("/pdf/2023_10.1007_s10207-022-00651-1_Random_resampling_algorithms_for_addressing_the_imbalanced_dataset_classes_in_insider_threat_detection.pdf","open")</f>
        <v>open</v>
      </c>
      <c r="H99" t="s">
        <v>15</v>
      </c>
      <c r="I99" t="b">
        <v>0</v>
      </c>
      <c r="J99" t="s">
        <v>490</v>
      </c>
    </row>
    <row r="100" spans="1:10" x14ac:dyDescent="0.2">
      <c r="A100" t="s">
        <v>491</v>
      </c>
      <c r="B100" t="s">
        <v>492</v>
      </c>
      <c r="C100" t="s">
        <v>19</v>
      </c>
      <c r="D100" t="s">
        <v>493</v>
      </c>
      <c r="E100" t="s">
        <v>494</v>
      </c>
      <c r="F100" t="str">
        <f>HYPERLINK("https://doi.org/10.1038/s41598-025-88856-x","doi.org")</f>
        <v>doi.org</v>
      </c>
      <c r="G100" t="str">
        <f>HYPERLINK("/pdf/2025_10_1038_s41598_025_88856_x_security_verification_framework_for_ndn_access_control.pdf","open")</f>
        <v>open</v>
      </c>
      <c r="H100" t="s">
        <v>44</v>
      </c>
      <c r="I100" t="b">
        <v>1</v>
      </c>
      <c r="J100" t="s">
        <v>495</v>
      </c>
    </row>
    <row r="101" spans="1:10" x14ac:dyDescent="0.2">
      <c r="A101" t="s">
        <v>496</v>
      </c>
      <c r="B101" t="s">
        <v>497</v>
      </c>
      <c r="C101" t="s">
        <v>12</v>
      </c>
      <c r="D101" t="s">
        <v>498</v>
      </c>
      <c r="E101" t="s">
        <v>148</v>
      </c>
      <c r="F101" t="str">
        <f>HYPERLINK("https://doi.org/Not Reported","doi.org")</f>
        <v>doi.org</v>
      </c>
      <c r="G101" t="str">
        <f>HYPERLINK("/pdf/2018_10.1109_ntms.2018.8328709_On_the_detection_and_handling_of_security_incidents_and_perimeter_breaches_-_A_modular_and_flexible_honeytoken.pdf","open")</f>
        <v>open</v>
      </c>
      <c r="H101" t="s">
        <v>15</v>
      </c>
      <c r="I101" t="b">
        <v>0</v>
      </c>
      <c r="J101" t="s">
        <v>499</v>
      </c>
    </row>
    <row r="102" spans="1:10" x14ac:dyDescent="0.2">
      <c r="A102" t="s">
        <v>500</v>
      </c>
      <c r="B102" t="s">
        <v>501</v>
      </c>
      <c r="C102" t="s">
        <v>48</v>
      </c>
      <c r="D102" t="s">
        <v>502</v>
      </c>
      <c r="E102" t="s">
        <v>503</v>
      </c>
      <c r="F102" t="str">
        <f>HYPERLINK("https://doi.org/10.1007/s10922-026-10034-9","doi.org")</f>
        <v>doi.org</v>
      </c>
      <c r="G102" t="str">
        <f>HYPERLINK("/pdf/2026_10.1007_s10922-026-10034-9_Robust_CNN-Based_Threat_Detection_in_SDN-Enabled_IoT_Networks.pdf","open")</f>
        <v>open</v>
      </c>
      <c r="H102" t="s">
        <v>15</v>
      </c>
      <c r="I102" t="b">
        <v>0</v>
      </c>
      <c r="J102" t="s">
        <v>504</v>
      </c>
    </row>
    <row r="103" spans="1:10" x14ac:dyDescent="0.2">
      <c r="A103" t="s">
        <v>505</v>
      </c>
      <c r="B103" t="s">
        <v>506</v>
      </c>
      <c r="C103" t="s">
        <v>100</v>
      </c>
      <c r="D103" t="s">
        <v>507</v>
      </c>
      <c r="E103" t="s">
        <v>508</v>
      </c>
      <c r="F103" t="str">
        <f>HYPERLINK("https://doi.org/10.1109/AIE57029.2022.00096","doi.org")</f>
        <v>doi.org</v>
      </c>
      <c r="G103" t="str">
        <f>HYPERLINK("/pdf/2022_10.1109_aie57029.2022.00096_AI_in_Blockchain_Towards_Realizing_Cyber_Security.pdf","open")</f>
        <v>open</v>
      </c>
      <c r="H103" t="s">
        <v>15</v>
      </c>
      <c r="I103" t="b">
        <v>0</v>
      </c>
      <c r="J103" t="s">
        <v>509</v>
      </c>
    </row>
    <row r="104" spans="1:10" x14ac:dyDescent="0.2">
      <c r="A104" t="s">
        <v>510</v>
      </c>
      <c r="B104" t="s">
        <v>511</v>
      </c>
      <c r="C104" t="s">
        <v>210</v>
      </c>
      <c r="D104" t="s">
        <v>512</v>
      </c>
      <c r="E104" t="s">
        <v>513</v>
      </c>
      <c r="F104" t="str">
        <f>HYPERLINK("https://doi.org/10.1109/Trustcom.2015.464","doi.org")</f>
        <v>doi.org</v>
      </c>
      <c r="G104" t="str">
        <f>HYPERLINK("/pdf/2015_10.1109_trustcom.2015.464_Detecting_data_semantic__A_data_leakage_prevention_approach.pdf","open")</f>
        <v>open</v>
      </c>
      <c r="H104" t="s">
        <v>15</v>
      </c>
      <c r="I104" t="b">
        <v>0</v>
      </c>
      <c r="J104" t="s">
        <v>514</v>
      </c>
    </row>
    <row r="105" spans="1:10" x14ac:dyDescent="0.2">
      <c r="A105" t="s">
        <v>271</v>
      </c>
      <c r="B105" t="s">
        <v>272</v>
      </c>
      <c r="C105" t="s">
        <v>60</v>
      </c>
      <c r="D105" t="s">
        <v>273</v>
      </c>
      <c r="E105" t="s">
        <v>274</v>
      </c>
      <c r="F105" t="str">
        <f>HYPERLINK("https://doi.org/10.4108/eetsis.5028","doi.org")</f>
        <v>doi.org</v>
      </c>
      <c r="G105" t="str">
        <f>HYPERLINK("/pdf/2024_10_4108_eetsis_5028_determining_intrusion_attacks_against_online_applications_using_cloud_based_data.pdf","open")</f>
        <v>open</v>
      </c>
      <c r="H105" t="s">
        <v>15</v>
      </c>
      <c r="I105" t="b">
        <v>1</v>
      </c>
      <c r="J105" t="s">
        <v>515</v>
      </c>
    </row>
    <row r="106" spans="1:10" x14ac:dyDescent="0.2">
      <c r="A106" t="s">
        <v>516</v>
      </c>
      <c r="B106" t="s">
        <v>517</v>
      </c>
      <c r="C106" t="s">
        <v>518</v>
      </c>
      <c r="D106" t="s">
        <v>519</v>
      </c>
      <c r="E106" t="s">
        <v>148</v>
      </c>
      <c r="F106" t="str">
        <f>HYPERLINK("https://doi.org/Not Reported","doi.org")</f>
        <v>doi.org</v>
      </c>
      <c r="G106" t="str">
        <f>HYPERLINK("/pdf/2021_Exploring_the_information_security_practices_on_the_smartphone_by_the_postgraduate_students_of_University_of_C.pdf","open")</f>
        <v>open</v>
      </c>
      <c r="H106" t="s">
        <v>15</v>
      </c>
      <c r="I106" t="b">
        <v>0</v>
      </c>
      <c r="J106" t="s">
        <v>520</v>
      </c>
    </row>
    <row r="107" spans="1:10" x14ac:dyDescent="0.2">
      <c r="A107" t="s">
        <v>521</v>
      </c>
      <c r="B107" t="s">
        <v>522</v>
      </c>
      <c r="C107" t="s">
        <v>25</v>
      </c>
      <c r="D107" t="s">
        <v>523</v>
      </c>
      <c r="E107" t="s">
        <v>524</v>
      </c>
      <c r="F107" t="str">
        <f>HYPERLINK("https://doi.org/10.1109/PCEMS58491.2023.10136083","doi.org")</f>
        <v>doi.org</v>
      </c>
      <c r="G107" t="str">
        <f>HYPERLINK("/pdf/2023_10.1109_pcems58491.2023.10136083_Automated_Detection_of_Hardware_Trojans_using_Power_Side-Channel_Analysis_and_VGG-Net.pdf","open")</f>
        <v>open</v>
      </c>
      <c r="H107" t="s">
        <v>15</v>
      </c>
      <c r="I107" t="b">
        <v>0</v>
      </c>
      <c r="J107" t="s">
        <v>525</v>
      </c>
    </row>
    <row r="108" spans="1:10" x14ac:dyDescent="0.2">
      <c r="A108" t="s">
        <v>526</v>
      </c>
      <c r="B108" t="s">
        <v>527</v>
      </c>
      <c r="C108" t="s">
        <v>25</v>
      </c>
      <c r="D108" t="s">
        <v>528</v>
      </c>
      <c r="E108" t="s">
        <v>529</v>
      </c>
      <c r="F108" t="str">
        <f>HYPERLINK("https://doi.org/10.1109/SIN60469.2023.10474998","doi.org")</f>
        <v>doi.org</v>
      </c>
      <c r="G108" t="str">
        <f>HYPERLINK("/pdf/2023_10.1109_sin60469.2023.10474998_Exploring_the_Evolving_Landscape_of_API_Security_Challenges_in_the_Healthcare_Industry__A_Comprehensive_Review.pdf","open")</f>
        <v>open</v>
      </c>
      <c r="H108" t="s">
        <v>15</v>
      </c>
      <c r="I108" t="b">
        <v>0</v>
      </c>
      <c r="J108" t="s">
        <v>530</v>
      </c>
    </row>
    <row r="109" spans="1:10" x14ac:dyDescent="0.2">
      <c r="A109" t="s">
        <v>531</v>
      </c>
      <c r="B109" t="s">
        <v>532</v>
      </c>
      <c r="C109" t="s">
        <v>156</v>
      </c>
      <c r="D109" t="s">
        <v>533</v>
      </c>
      <c r="E109" t="s">
        <v>148</v>
      </c>
      <c r="F109" t="str">
        <f>HYPERLINK("https://doi.org/Not Reported","doi.org")</f>
        <v>doi.org</v>
      </c>
      <c r="G109" t="str">
        <f>HYPERLINK("/pdf/2013_10_1109_icmla_2013_104_streaming_malware_classification_in_the_presence_of_concept_drift_and_class_imbalance.pdf","open")</f>
        <v>open</v>
      </c>
      <c r="H109" t="s">
        <v>15</v>
      </c>
      <c r="I109" t="b">
        <v>0</v>
      </c>
      <c r="J109" t="s">
        <v>534</v>
      </c>
    </row>
    <row r="110" spans="1:10" x14ac:dyDescent="0.2">
      <c r="A110" t="s">
        <v>535</v>
      </c>
      <c r="B110" t="s">
        <v>536</v>
      </c>
      <c r="C110" t="s">
        <v>60</v>
      </c>
      <c r="D110" t="s">
        <v>537</v>
      </c>
      <c r="E110" t="s">
        <v>538</v>
      </c>
      <c r="F110" t="str">
        <f>HYPERLINK("https://doi.org/10.32604/cmes.2023.044169","doi.org")</f>
        <v>doi.org</v>
      </c>
      <c r="G110" t="str">
        <f>HYPERLINK("/pdf/2023_10_32604_cmes_2023_044169_enhancing_healthcare_data_security_and_disease_detection_using_crossover_based_m.pdf","open")</f>
        <v>open</v>
      </c>
      <c r="H110" t="s">
        <v>15</v>
      </c>
      <c r="I110" t="b">
        <v>0</v>
      </c>
      <c r="J110" t="s">
        <v>539</v>
      </c>
    </row>
    <row r="111" spans="1:10" x14ac:dyDescent="0.2">
      <c r="A111" t="s">
        <v>540</v>
      </c>
      <c r="B111" t="s">
        <v>541</v>
      </c>
      <c r="C111" t="s">
        <v>25</v>
      </c>
      <c r="D111" t="s">
        <v>542</v>
      </c>
      <c r="E111" t="s">
        <v>540</v>
      </c>
      <c r="F111" t="str">
        <f>HYPERLINK("https://doi.org/10.1109/TDSC.2023.3323713","doi.org")</f>
        <v>doi.org</v>
      </c>
      <c r="G111" t="str">
        <f>HYPERLINK("/pdf/2024_10_1109_tdsc_2023_3323713_leakage_of_authorization_data_in_iot_device_sharing_new_attacks_and_countermeas.pdf","open")</f>
        <v>open</v>
      </c>
      <c r="H111" t="s">
        <v>15</v>
      </c>
      <c r="I111" t="b">
        <v>0</v>
      </c>
      <c r="J111" t="s">
        <v>543</v>
      </c>
    </row>
    <row r="112" spans="1:10" x14ac:dyDescent="0.2">
      <c r="A112" t="s">
        <v>544</v>
      </c>
      <c r="B112" t="s">
        <v>545</v>
      </c>
      <c r="C112" t="s">
        <v>156</v>
      </c>
      <c r="D112" t="s">
        <v>546</v>
      </c>
      <c r="E112" t="s">
        <v>547</v>
      </c>
      <c r="F112" t="str">
        <f>HYPERLINK("https://doi.org/10.1109/TrustCom.2013.149","doi.org")</f>
        <v>doi.org</v>
      </c>
      <c r="G112" t="str">
        <f>HYPERLINK("/pdf/2013_10.1109_icspcs.2013.6723919_Adaptable_N-gram_classification_model_for_data_leakage_prevention.pdf","open")</f>
        <v>open</v>
      </c>
      <c r="H112" t="s">
        <v>15</v>
      </c>
      <c r="I112" t="b">
        <v>0</v>
      </c>
      <c r="J112" t="s">
        <v>548</v>
      </c>
    </row>
    <row r="113" spans="1:10" x14ac:dyDescent="0.2">
      <c r="A113" t="s">
        <v>549</v>
      </c>
      <c r="B113" t="s">
        <v>550</v>
      </c>
      <c r="C113" t="s">
        <v>25</v>
      </c>
      <c r="D113" t="s">
        <v>551</v>
      </c>
      <c r="E113" t="s">
        <v>552</v>
      </c>
      <c r="F113" t="str">
        <f>HYPERLINK("https://doi.org/https://doi.org/10.58496/MJCS/2023/016","doi.org")</f>
        <v>doi.org</v>
      </c>
      <c r="G113" t="str">
        <f>HYPERLINK("/pdf/2023_10.58496_mjcs_2023_016_A_Comprehensive_Review_of_Security_Measures_in_Database_Systems__Assessing_Authentication,_Access_Control,_and.pdf","open")</f>
        <v>open</v>
      </c>
      <c r="H113" t="s">
        <v>15</v>
      </c>
      <c r="I113" t="b">
        <v>0</v>
      </c>
      <c r="J113" t="s">
        <v>553</v>
      </c>
    </row>
    <row r="114" spans="1:10" x14ac:dyDescent="0.2">
      <c r="A114" t="s">
        <v>554</v>
      </c>
      <c r="B114" t="s">
        <v>555</v>
      </c>
      <c r="C114" t="s">
        <v>19</v>
      </c>
      <c r="D114" t="s">
        <v>556</v>
      </c>
      <c r="E114" t="s">
        <v>557</v>
      </c>
      <c r="F114" t="str">
        <f>HYPERLINK("https://doi.org/10.36128/PRIW.VI53.1201","doi.org")</f>
        <v>doi.org</v>
      </c>
      <c r="G114" t="str">
        <f>HYPERLINK("/pdf/2025_10_36128_priw_vi54_1201_artificial_intelligence_in_e_administration.pdf","open")</f>
        <v>open</v>
      </c>
      <c r="H114" t="s">
        <v>15</v>
      </c>
      <c r="I114" t="b">
        <v>0</v>
      </c>
      <c r="J114" t="s">
        <v>558</v>
      </c>
    </row>
    <row r="115" spans="1:10" x14ac:dyDescent="0.2">
      <c r="A115" t="s">
        <v>559</v>
      </c>
      <c r="B115" t="s">
        <v>560</v>
      </c>
      <c r="C115" t="s">
        <v>19</v>
      </c>
      <c r="D115" t="s">
        <v>561</v>
      </c>
      <c r="E115" t="s">
        <v>562</v>
      </c>
      <c r="F115" t="str">
        <f>HYPERLINK("https://doi.org/10.1109/EuroSPW67616.2025.00026","doi.org")</f>
        <v>doi.org</v>
      </c>
      <c r="G115" t="str">
        <f>HYPERLINK("/pdf/2025_10.1109_eurospw67616.2025.00026_PPT-GNN__A_Practical_Pretrained_Spatio-Temporal_Graph_Neural_Network_for_Network_Security.pdf","open")</f>
        <v>open</v>
      </c>
      <c r="H115" t="s">
        <v>15</v>
      </c>
      <c r="I115" t="b">
        <v>0</v>
      </c>
      <c r="J115" t="s">
        <v>563</v>
      </c>
    </row>
    <row r="116" spans="1:10" x14ac:dyDescent="0.2">
      <c r="A116" t="s">
        <v>564</v>
      </c>
      <c r="B116" t="s">
        <v>565</v>
      </c>
      <c r="C116" t="s">
        <v>19</v>
      </c>
      <c r="D116" t="s">
        <v>566</v>
      </c>
      <c r="E116" t="s">
        <v>567</v>
      </c>
      <c r="F116" t="str">
        <f>HYPERLINK("https://doi.org/10.1109/DISCOVER66922.2025.11259004","doi.org")</f>
        <v>doi.org</v>
      </c>
      <c r="G116" t="str">
        <f>HYPERLINK("/pdf/2025_10.1109_discover66922.2025.11259004_Adaptive_Graph_Attention_Network-Approach_for_Detecting_Hardware_Trojans.pdf","open")</f>
        <v>open</v>
      </c>
      <c r="H116" t="s">
        <v>15</v>
      </c>
      <c r="I116" t="b">
        <v>0</v>
      </c>
      <c r="J116" t="s">
        <v>568</v>
      </c>
    </row>
    <row r="117" spans="1:10" x14ac:dyDescent="0.2">
      <c r="A117" t="s">
        <v>569</v>
      </c>
      <c r="B117" t="s">
        <v>570</v>
      </c>
      <c r="C117" t="s">
        <v>60</v>
      </c>
      <c r="D117" t="s">
        <v>571</v>
      </c>
      <c r="E117" t="s">
        <v>572</v>
      </c>
      <c r="F117" t="str">
        <f>HYPERLINK("https://doi.org/10.1109/SCES61914.2024.10652305","doi.org")</f>
        <v>doi.org</v>
      </c>
      <c r="G117" t="str">
        <f>HYPERLINK("/pdf/2024_10.1109_sces61914.2024.10652305_IoT_Network_Anomaly_Detection_Using_Machine_Learning_and_Deep_Learning_Techniques_-_Research_Study.pdf","open")</f>
        <v>open</v>
      </c>
      <c r="H117" t="s">
        <v>15</v>
      </c>
      <c r="I117" t="b">
        <v>0</v>
      </c>
      <c r="J117" t="s">
        <v>573</v>
      </c>
    </row>
    <row r="118" spans="1:10" x14ac:dyDescent="0.2">
      <c r="A118" t="s">
        <v>574</v>
      </c>
      <c r="B118" t="s">
        <v>575</v>
      </c>
      <c r="C118" t="s">
        <v>60</v>
      </c>
      <c r="D118" t="s">
        <v>576</v>
      </c>
      <c r="E118" t="s">
        <v>577</v>
      </c>
      <c r="F118" t="str">
        <f>HYPERLINK("https://doi.org/10.12263/DZXB.20220611","doi.org")</f>
        <v>doi.org</v>
      </c>
      <c r="G118" t="str">
        <f>HYPERLINK("/pdf/2024_10.12263_dzxb.20220611_A_Whitelist_Network_Control_Based_on_Android_Kernel_Driver;_基于_Android_内核驱动的白名单网络控制.pdf","open")</f>
        <v>open</v>
      </c>
      <c r="H118" t="s">
        <v>15</v>
      </c>
      <c r="I118" t="b">
        <v>1</v>
      </c>
      <c r="J118" t="s">
        <v>578</v>
      </c>
    </row>
    <row r="119" spans="1:10" x14ac:dyDescent="0.2">
      <c r="A119" t="s">
        <v>579</v>
      </c>
      <c r="B119" t="s">
        <v>580</v>
      </c>
      <c r="C119" t="s">
        <v>100</v>
      </c>
      <c r="D119" t="s">
        <v>581</v>
      </c>
      <c r="E119" t="s">
        <v>582</v>
      </c>
      <c r="F119" t="str">
        <f>HYPERLINK("https://doi.org/10.1109/ICC45855.2022.9839001","doi.org")</f>
        <v>doi.org</v>
      </c>
      <c r="G119" t="str">
        <f>HYPERLINK("/pdf/2022_10.1109_icc45855.2022.9839001_Intelligent_Fingerprinting_to_Detect_Data_Leakage_Attacks_on_Spectrum_Sensors.pdf","open")</f>
        <v>open</v>
      </c>
      <c r="H119" t="s">
        <v>15</v>
      </c>
      <c r="I119" t="b">
        <v>0</v>
      </c>
      <c r="J119" t="s">
        <v>583</v>
      </c>
    </row>
    <row r="120" spans="1:10" x14ac:dyDescent="0.2">
      <c r="A120" t="s">
        <v>584</v>
      </c>
      <c r="B120" t="s">
        <v>585</v>
      </c>
      <c r="C120" t="s">
        <v>60</v>
      </c>
      <c r="D120" t="s">
        <v>586</v>
      </c>
      <c r="E120" t="s">
        <v>587</v>
      </c>
      <c r="F120" t="str">
        <f>HYPERLINK("https://doi.org/10.1145/3689236.3689867","doi.org")</f>
        <v>doi.org</v>
      </c>
      <c r="G120" t="str">
        <f>HYPERLINK("/pdf/2024_10.1145_3689236.3689867_Intelligent_Talent_Information_System_Guarantee_Based_on_Cyberspace_Security_Technology.pdf","open")</f>
        <v>open</v>
      </c>
      <c r="H120" t="s">
        <v>44</v>
      </c>
      <c r="I120" t="b">
        <v>1</v>
      </c>
      <c r="J120" t="s">
        <v>588</v>
      </c>
    </row>
    <row r="121" spans="1:10" x14ac:dyDescent="0.2">
      <c r="A121" t="s">
        <v>589</v>
      </c>
      <c r="B121" t="s">
        <v>110</v>
      </c>
      <c r="C121" t="s">
        <v>36</v>
      </c>
      <c r="D121" t="s">
        <v>111</v>
      </c>
      <c r="E121" t="s">
        <v>112</v>
      </c>
      <c r="F121" t="str">
        <f>HYPERLINK("https://doi.org/arXiv:2109.02379v2","doi.org")</f>
        <v>doi.org</v>
      </c>
      <c r="G121" t="str">
        <f>HYPERLINK("/pdf/2021_10_1109_iccd53106_2021_00097_qflow_quantitative_information_flow_for_security_aware_hardware_design_in_veril.pdf","open")</f>
        <v>open</v>
      </c>
      <c r="H121" t="s">
        <v>590</v>
      </c>
      <c r="I121" t="b">
        <v>1</v>
      </c>
      <c r="J121" t="s">
        <v>591</v>
      </c>
    </row>
    <row r="122" spans="1:10" x14ac:dyDescent="0.2">
      <c r="A122" t="s">
        <v>592</v>
      </c>
      <c r="B122" t="s">
        <v>593</v>
      </c>
      <c r="C122" t="s">
        <v>136</v>
      </c>
      <c r="D122" t="s">
        <v>182</v>
      </c>
      <c r="E122" t="s">
        <v>594</v>
      </c>
      <c r="F122" t="str">
        <f>HYPERLINK("https://doi.org/10.1109/JIOT.2018.2871719","doi.org")</f>
        <v>doi.org</v>
      </c>
      <c r="G122" t="str">
        <f>HYPERLINK("/pdf/2019_10.1109_jiot.2018.2871719_An_ensemble_intrusion_detection_technique_based_on_proposed_statistical_flow_features_for_protecting_network_t.pdf","open")</f>
        <v>open</v>
      </c>
      <c r="H122" t="s">
        <v>15</v>
      </c>
      <c r="I122" t="b">
        <v>0</v>
      </c>
      <c r="J122" t="s">
        <v>595</v>
      </c>
    </row>
    <row r="123" spans="1:10" x14ac:dyDescent="0.2">
      <c r="A123" t="s">
        <v>596</v>
      </c>
      <c r="B123" t="s">
        <v>597</v>
      </c>
      <c r="C123" t="s">
        <v>598</v>
      </c>
      <c r="D123" t="s">
        <v>599</v>
      </c>
      <c r="E123" t="s">
        <v>600</v>
      </c>
      <c r="F123" t="str">
        <f>HYPERLINK("https://doi.org/10.1109/HICSS.2012.491","doi.org")</f>
        <v>doi.org</v>
      </c>
      <c r="G123" t="str">
        <f>HYPERLINK("/pdf/2012_10.1109_hicss.2012.491_Pseudonymization_with_metadata_encryption_for_privacy-preserving_searchable_documents.pdf","open")</f>
        <v>open</v>
      </c>
      <c r="H123" t="s">
        <v>15</v>
      </c>
      <c r="I123" t="b">
        <v>0</v>
      </c>
      <c r="J123" t="s">
        <v>601</v>
      </c>
    </row>
    <row r="124" spans="1:10" x14ac:dyDescent="0.2">
      <c r="A124" t="s">
        <v>602</v>
      </c>
      <c r="B124" t="s">
        <v>603</v>
      </c>
      <c r="C124" t="s">
        <v>19</v>
      </c>
      <c r="D124" t="s">
        <v>604</v>
      </c>
      <c r="E124" t="s">
        <v>605</v>
      </c>
      <c r="F124" t="str">
        <f>HYPERLINK("https://doi.org/10.1007/s43926-025-00185-7","doi.org")</f>
        <v>doi.org</v>
      </c>
      <c r="G124" t="str">
        <f>HYPERLINK("/pdf/2025_10_1007_s43926_025_00185_7_a_feature_level_ensemble_machine_learning_approach_for_attack_detection_in_iot_networks.pdf","open")</f>
        <v>open</v>
      </c>
      <c r="H124" t="s">
        <v>15</v>
      </c>
      <c r="I124" t="b">
        <v>0</v>
      </c>
      <c r="J124" t="s">
        <v>606</v>
      </c>
    </row>
    <row r="125" spans="1:10" x14ac:dyDescent="0.2">
      <c r="A125" t="s">
        <v>607</v>
      </c>
      <c r="B125" t="s">
        <v>608</v>
      </c>
      <c r="C125" t="s">
        <v>60</v>
      </c>
      <c r="D125" t="s">
        <v>609</v>
      </c>
      <c r="E125" t="s">
        <v>610</v>
      </c>
      <c r="F125" t="str">
        <f>HYPERLINK("https://doi.org/10.1007/s42979-024-03152-1","doi.org")</f>
        <v>doi.org</v>
      </c>
      <c r="G125" t="str">
        <f>HYPERLINK("/pdf/2024_10.1007_s42979-024-03152-1_P3IDF-EC__PCA-Based_Privacy-Preserving_Intrusion_Detection_Framework_for_Edge_Computing.pdf","open")</f>
        <v>open</v>
      </c>
      <c r="H125" t="s">
        <v>15</v>
      </c>
      <c r="I125" t="b">
        <v>0</v>
      </c>
      <c r="J125" t="s">
        <v>611</v>
      </c>
    </row>
    <row r="126" spans="1:10" x14ac:dyDescent="0.2">
      <c r="A126" t="s">
        <v>612</v>
      </c>
      <c r="B126" t="s">
        <v>613</v>
      </c>
      <c r="C126" t="s">
        <v>19</v>
      </c>
      <c r="D126" t="s">
        <v>614</v>
      </c>
      <c r="E126" t="s">
        <v>615</v>
      </c>
      <c r="F126" t="str">
        <f>HYPERLINK("https://doi.org/10.1109/ISDFS65363.2025.11012123","doi.org")</f>
        <v>doi.org</v>
      </c>
      <c r="G126" t="str">
        <f>HYPERLINK("/pdf/2025_10.1109_isdfs65363.2025.11012123_Insider_Threat_Pattern_Detection_Using_Deep_Learning_to_Evaluate_Cyber_Value_at_Risk_(CVaR).pdf","open")</f>
        <v>open</v>
      </c>
      <c r="H126" t="s">
        <v>15</v>
      </c>
      <c r="I126" t="b">
        <v>0</v>
      </c>
      <c r="J126" t="s">
        <v>616</v>
      </c>
    </row>
    <row r="127" spans="1:10" x14ac:dyDescent="0.2">
      <c r="A127" t="s">
        <v>617</v>
      </c>
      <c r="B127" t="s">
        <v>618</v>
      </c>
      <c r="C127" t="s">
        <v>25</v>
      </c>
      <c r="D127" t="s">
        <v>55</v>
      </c>
      <c r="E127" t="s">
        <v>619</v>
      </c>
      <c r="F127" t="str">
        <f>HYPERLINK("https://doi.org/10.3390/app13095568","doi.org")</f>
        <v>doi.org</v>
      </c>
      <c r="G127" t="str">
        <f>HYPERLINK("/pdf/2023_10_3390_app13095568_security_ontology_ontosecrpa_for_robotic_process_automation_domain.pdf","open")</f>
        <v>open</v>
      </c>
      <c r="H127" t="s">
        <v>15</v>
      </c>
      <c r="I127" t="b">
        <v>0</v>
      </c>
      <c r="J127" t="s">
        <v>620</v>
      </c>
    </row>
    <row r="128" spans="1:10" x14ac:dyDescent="0.2">
      <c r="A128" t="s">
        <v>621</v>
      </c>
      <c r="B128" t="s">
        <v>622</v>
      </c>
      <c r="C128" t="s">
        <v>60</v>
      </c>
      <c r="D128" t="s">
        <v>623</v>
      </c>
      <c r="E128" t="s">
        <v>624</v>
      </c>
      <c r="F128" t="str">
        <f>HYPERLINK("https://doi.org/10.1109/ICCES63552.2024.10860119","doi.org")</f>
        <v>doi.org</v>
      </c>
      <c r="G128" t="str">
        <f>HYPERLINK("/pdf/2024_10.1109_icces63552.2024.10860119_Secure_Cloud-WSNs_with_Advanced_Intrusion_Detection_System_using_Kepler_Optimization_and_Bi-ConGRU_Network_App.pdf","open")</f>
        <v>open</v>
      </c>
      <c r="H128" t="s">
        <v>15</v>
      </c>
      <c r="I128" t="b">
        <v>0</v>
      </c>
      <c r="J128" t="s">
        <v>625</v>
      </c>
    </row>
    <row r="129" spans="1:10" x14ac:dyDescent="0.2">
      <c r="A129" t="s">
        <v>626</v>
      </c>
      <c r="B129" t="s">
        <v>627</v>
      </c>
      <c r="C129" t="s">
        <v>19</v>
      </c>
      <c r="D129" t="s">
        <v>55</v>
      </c>
      <c r="E129" t="s">
        <v>628</v>
      </c>
      <c r="F129" t="str">
        <f>HYPERLINK("https://doi.org/10.3390/app15116258","doi.org")</f>
        <v>doi.org</v>
      </c>
      <c r="G129" t="str">
        <f>HYPERLINK("/pdf/2025_10_3390_app15116258_anomaly_detection_in_network_traffic_via_cross_domain_federated_graph_representation_learn.pdf","open")</f>
        <v>open</v>
      </c>
      <c r="H129" t="s">
        <v>15</v>
      </c>
      <c r="I129" t="b">
        <v>0</v>
      </c>
      <c r="J129" t="s">
        <v>629</v>
      </c>
    </row>
    <row r="130" spans="1:10" x14ac:dyDescent="0.2">
      <c r="A130" t="s">
        <v>630</v>
      </c>
      <c r="B130" t="s">
        <v>631</v>
      </c>
      <c r="C130" t="s">
        <v>19</v>
      </c>
      <c r="D130" t="s">
        <v>632</v>
      </c>
      <c r="E130" t="s">
        <v>633</v>
      </c>
      <c r="F130" t="str">
        <f>HYPERLINK("https://doi.org/10.58346/JISIS.2025.I3.021","doi.org")</f>
        <v>doi.org</v>
      </c>
      <c r="G130" t="str">
        <f>HYPERLINK("/pdf/2025_10_58346_jisis_2025_i3_021_secure_wireless_connectivity_frameworks_for_financial_internet_services.pdf","open")</f>
        <v>open</v>
      </c>
      <c r="H130" t="s">
        <v>15</v>
      </c>
      <c r="I130" t="b">
        <v>0</v>
      </c>
      <c r="J130" t="s">
        <v>634</v>
      </c>
    </row>
    <row r="131" spans="1:10" x14ac:dyDescent="0.2">
      <c r="A131" t="s">
        <v>635</v>
      </c>
      <c r="B131" t="s">
        <v>636</v>
      </c>
      <c r="C131" t="s">
        <v>36</v>
      </c>
      <c r="D131" t="s">
        <v>637</v>
      </c>
      <c r="E131" t="s">
        <v>638</v>
      </c>
      <c r="F131" t="str">
        <f>HYPERLINK("https://doi.org/10.1145/3474124.3474195","doi.org")</f>
        <v>doi.org</v>
      </c>
      <c r="G131" t="str">
        <f>HYPERLINK("/pdf/2021_10.1145_3474124.3474195_Examining_security_for_different_data_models.pdf","open")</f>
        <v>open</v>
      </c>
      <c r="H131" t="s">
        <v>15</v>
      </c>
      <c r="I131" t="b">
        <v>0</v>
      </c>
      <c r="J131" t="s">
        <v>639</v>
      </c>
    </row>
    <row r="132" spans="1:10" x14ac:dyDescent="0.2">
      <c r="A132" t="s">
        <v>640</v>
      </c>
      <c r="B132" t="s">
        <v>641</v>
      </c>
      <c r="C132" t="s">
        <v>598</v>
      </c>
      <c r="D132" t="s">
        <v>642</v>
      </c>
      <c r="E132" t="s">
        <v>643</v>
      </c>
      <c r="F132" t="str">
        <f>HYPERLINK("https://doi.org/10.1109/CyberSec.2012.6246115","doi.org")</f>
        <v>doi.org</v>
      </c>
      <c r="G132" t="str">
        <f>HYPERLINK("/pdf/2012_10.1109_cybersec.2012.6246117_Hierarchical_secure_virtualization_model_for_cloud.pdf","open")</f>
        <v>open</v>
      </c>
      <c r="H132" t="s">
        <v>15</v>
      </c>
      <c r="I132" t="b">
        <v>0</v>
      </c>
      <c r="J132" t="s">
        <v>644</v>
      </c>
    </row>
    <row r="133" spans="1:10" x14ac:dyDescent="0.2">
      <c r="A133" t="s">
        <v>645</v>
      </c>
      <c r="B133" t="s">
        <v>646</v>
      </c>
      <c r="C133" t="s">
        <v>19</v>
      </c>
      <c r="D133" t="s">
        <v>647</v>
      </c>
      <c r="E133" t="s">
        <v>648</v>
      </c>
      <c r="F133" t="str">
        <f>HYPERLINK("https://doi.org/10.1007/s11042-023-16777-w","doi.org")</f>
        <v>doi.org</v>
      </c>
      <c r="G133" t="str">
        <f>HYPERLINK("/pdf/2025_10.1007_s11042-023-16777-w_Blockchain-based_color_medical_image_cryptosystem_for_industrial_Internet_of_Healthcare_Things_(IoHT).pdf","open")</f>
        <v>open</v>
      </c>
      <c r="H133" t="s">
        <v>15</v>
      </c>
      <c r="I133" t="b">
        <v>0</v>
      </c>
      <c r="J133" t="s">
        <v>649</v>
      </c>
    </row>
    <row r="134" spans="1:10" x14ac:dyDescent="0.2">
      <c r="A134" t="s">
        <v>650</v>
      </c>
      <c r="B134" t="s">
        <v>651</v>
      </c>
      <c r="C134" t="s">
        <v>156</v>
      </c>
      <c r="D134" t="s">
        <v>157</v>
      </c>
      <c r="E134" t="s">
        <v>652</v>
      </c>
      <c r="F134" t="str">
        <f>HYPERLINK("https://doi.org/10.1007/s10796-010-9266-9","doi.org")</f>
        <v>doi.org</v>
      </c>
      <c r="G134" t="str">
        <f>HYPERLINK("/pdf/2013_10.1007_s10796-010-9266-9_Application_of_density-based_outlier_detection_to_database_activity_monitoring.pdf","open")</f>
        <v>open</v>
      </c>
      <c r="H134" t="s">
        <v>15</v>
      </c>
      <c r="I134" t="b">
        <v>0</v>
      </c>
      <c r="J134" t="s">
        <v>653</v>
      </c>
    </row>
    <row r="135" spans="1:10" x14ac:dyDescent="0.2">
      <c r="A135" t="s">
        <v>654</v>
      </c>
      <c r="B135" t="s">
        <v>655</v>
      </c>
      <c r="C135" t="s">
        <v>363</v>
      </c>
      <c r="D135" t="s">
        <v>656</v>
      </c>
      <c r="E135" t="s">
        <v>148</v>
      </c>
      <c r="F135" t="str">
        <f>HYPERLINK("https://doi.org/Not Reported","doi.org")</f>
        <v>doi.org</v>
      </c>
      <c r="G135" t="str">
        <f>HYPERLINK("/pdf/2016_Dynamic_intrusion_detection_in_database_systems__A_machine-learning_approach.pdf","open")</f>
        <v>open</v>
      </c>
      <c r="H135" t="s">
        <v>15</v>
      </c>
      <c r="I135" t="b">
        <v>0</v>
      </c>
      <c r="J135" t="s">
        <v>657</v>
      </c>
    </row>
    <row r="136" spans="1:10" x14ac:dyDescent="0.2">
      <c r="A136" t="s">
        <v>658</v>
      </c>
      <c r="B136" t="s">
        <v>659</v>
      </c>
      <c r="C136" t="s">
        <v>19</v>
      </c>
      <c r="D136" t="s">
        <v>660</v>
      </c>
      <c r="E136" t="s">
        <v>661</v>
      </c>
      <c r="F136" t="str">
        <f>HYPERLINK("https://doi.org/10.3390/electronics14234590","doi.org")</f>
        <v>doi.org</v>
      </c>
      <c r="G136" t="str">
        <f>HYPERLINK("/pdf/2025_10_3390_electronics14234590_prifed_ids_a_privacy_preserving_federated_reinforcement_learning_framework_for_secure_and.pdf","open")</f>
        <v>open</v>
      </c>
      <c r="H136" t="s">
        <v>15</v>
      </c>
      <c r="I136" t="b">
        <v>0</v>
      </c>
      <c r="J136" t="s">
        <v>662</v>
      </c>
    </row>
    <row r="137" spans="1:10" x14ac:dyDescent="0.2">
      <c r="A137" t="s">
        <v>663</v>
      </c>
      <c r="B137" t="s">
        <v>664</v>
      </c>
      <c r="C137" t="s">
        <v>54</v>
      </c>
      <c r="D137" t="s">
        <v>665</v>
      </c>
      <c r="E137" t="s">
        <v>666</v>
      </c>
      <c r="F137" t="str">
        <f>HYPERLINK("https://doi.org/10.3390/electronics9111937","doi.org")</f>
        <v>doi.org</v>
      </c>
      <c r="G137" t="str">
        <f>HYPERLINK("/pdf/2020_10_3390_electronics9111937_fast_packet_inspection_for_end_to_end_encryption.pdf","open")</f>
        <v>open</v>
      </c>
      <c r="H137" t="s">
        <v>15</v>
      </c>
      <c r="I137" t="b">
        <v>0</v>
      </c>
      <c r="J137" t="s">
        <v>667</v>
      </c>
    </row>
    <row r="138" spans="1:10" x14ac:dyDescent="0.2">
      <c r="A138" t="s">
        <v>668</v>
      </c>
      <c r="B138" t="s">
        <v>669</v>
      </c>
      <c r="C138" t="s">
        <v>25</v>
      </c>
      <c r="D138" t="s">
        <v>488</v>
      </c>
      <c r="E138" t="s">
        <v>670</v>
      </c>
      <c r="F138" t="str">
        <f>HYPERLINK("https://doi.org/10.1007/s10207-023-00727-6","doi.org")</f>
        <v>doi.org</v>
      </c>
      <c r="G138" t="str">
        <f>HYPERLINK("/pdf/2023_10.1007_s10207-023-00727-6_Federated_learning-based_intrusion_detection_system_for_Internet_of_Things.pdf","open")</f>
        <v>open</v>
      </c>
      <c r="H138" t="s">
        <v>15</v>
      </c>
      <c r="I138" t="b">
        <v>0</v>
      </c>
      <c r="J138" t="s">
        <v>671</v>
      </c>
    </row>
    <row r="139" spans="1:10" x14ac:dyDescent="0.2">
      <c r="A139" t="s">
        <v>672</v>
      </c>
      <c r="B139" t="s">
        <v>673</v>
      </c>
      <c r="C139" t="s">
        <v>210</v>
      </c>
      <c r="D139" t="s">
        <v>211</v>
      </c>
      <c r="E139" t="s">
        <v>148</v>
      </c>
      <c r="F139" t="str">
        <f>HYPERLINK("https://doi.org/Not Reported","doi.org")</f>
        <v>doi.org</v>
      </c>
      <c r="G139" t="str">
        <f>HYPERLINK("/pdf/2015_Fujitsu's_security_technology_based_on_practical_knowledge.pdf","open")</f>
        <v>open</v>
      </c>
      <c r="H139" t="s">
        <v>15</v>
      </c>
      <c r="I139" t="b">
        <v>0</v>
      </c>
      <c r="J139" t="s">
        <v>674</v>
      </c>
    </row>
    <row r="140" spans="1:10" x14ac:dyDescent="0.2">
      <c r="A140" t="s">
        <v>675</v>
      </c>
      <c r="B140" t="s">
        <v>676</v>
      </c>
      <c r="C140" t="s">
        <v>60</v>
      </c>
      <c r="D140" t="s">
        <v>488</v>
      </c>
      <c r="E140" t="s">
        <v>677</v>
      </c>
      <c r="F140" t="str">
        <f>HYPERLINK("https://doi.org/10.1007/s10207-023-00805-9","doi.org")</f>
        <v>doi.org</v>
      </c>
      <c r="G140" t="str">
        <f>HYPERLINK("/pdf/2024_10.1007_s10207-023-00805-9_Federated_transfer_learning_for_attack_detection_for_Internet_of_Medical_Things.pdf","open")</f>
        <v>open</v>
      </c>
      <c r="H140" t="s">
        <v>15</v>
      </c>
      <c r="I140" t="b">
        <v>0</v>
      </c>
      <c r="J140" t="s">
        <v>678</v>
      </c>
    </row>
    <row r="141" spans="1:10" x14ac:dyDescent="0.2">
      <c r="A141" t="s">
        <v>679</v>
      </c>
      <c r="B141" t="s">
        <v>680</v>
      </c>
      <c r="C141" t="s">
        <v>19</v>
      </c>
      <c r="D141" t="s">
        <v>681</v>
      </c>
      <c r="E141" t="s">
        <v>682</v>
      </c>
      <c r="F141" t="str">
        <f>HYPERLINK("https://doi.org/10.37934/araset.51.2.153176","doi.org")</f>
        <v>doi.org</v>
      </c>
      <c r="G141" t="str">
        <f>HYPERLINK("/pdf/2025_10_37934_araset_51_2_153176_detecting_wormhole_attack_in_environmental_monitoring_system_for_agriculture_usi.pdf","open")</f>
        <v>open</v>
      </c>
      <c r="H141" t="s">
        <v>15</v>
      </c>
      <c r="I141" t="b">
        <v>0</v>
      </c>
      <c r="J141" t="s">
        <v>683</v>
      </c>
    </row>
    <row r="142" spans="1:10" x14ac:dyDescent="0.2">
      <c r="A142" t="s">
        <v>684</v>
      </c>
      <c r="B142" t="s">
        <v>685</v>
      </c>
      <c r="C142" t="s">
        <v>136</v>
      </c>
      <c r="D142" t="s">
        <v>686</v>
      </c>
      <c r="E142" t="s">
        <v>687</v>
      </c>
      <c r="F142" t="str">
        <f>HYPERLINK("https://doi.org/978-1-7281-4170-1/19/$31.00","doi.org")</f>
        <v>doi.org</v>
      </c>
      <c r="G142" t="str">
        <f>HYPERLINK("/pdf/2019_10.1109_icac49085.2019.9103339_Enhanced_Secure_Solution_for_PoS_Architecture.pdf","open")</f>
        <v>open</v>
      </c>
      <c r="H142" t="s">
        <v>15</v>
      </c>
      <c r="I142" t="b">
        <v>0</v>
      </c>
      <c r="J142" t="s">
        <v>688</v>
      </c>
    </row>
    <row r="143" spans="1:10" x14ac:dyDescent="0.2">
      <c r="A143" t="s">
        <v>689</v>
      </c>
      <c r="B143" t="s">
        <v>690</v>
      </c>
      <c r="C143" t="s">
        <v>36</v>
      </c>
      <c r="D143" t="s">
        <v>691</v>
      </c>
      <c r="E143" t="s">
        <v>692</v>
      </c>
      <c r="F143" t="str">
        <f>HYPERLINK("https://doi.org/10.3390/e23101258","doi.org")</f>
        <v>doi.org</v>
      </c>
      <c r="G143" t="str">
        <f>HYPERLINK("/pdf/2021_10_3390_e23101258_an_insider_data_leakage_detection_using_one_hot_encoding_synthetic_minority_oversampling.pdf","open")</f>
        <v>open</v>
      </c>
      <c r="H143" t="s">
        <v>15</v>
      </c>
      <c r="I143" t="b">
        <v>0</v>
      </c>
      <c r="J143" t="s">
        <v>693</v>
      </c>
    </row>
    <row r="144" spans="1:10" x14ac:dyDescent="0.2">
      <c r="A144" t="s">
        <v>694</v>
      </c>
      <c r="B144" t="s">
        <v>695</v>
      </c>
      <c r="C144" t="s">
        <v>363</v>
      </c>
      <c r="D144" t="s">
        <v>696</v>
      </c>
      <c r="E144" t="s">
        <v>697</v>
      </c>
      <c r="F144" t="str">
        <f>HYPERLINK("https://doi.org/10.1145/2976749.2978343","doi.org")</f>
        <v>doi.org</v>
      </c>
      <c r="G144" t="str">
        <f>HYPERLINK("/pdf/2016_10.1145_2976749.2978343_TaintART__A_practical_multi-level_information-flow_tracking_system_for_Android_RunTime.pdf","open")</f>
        <v>open</v>
      </c>
      <c r="H144" t="s">
        <v>15</v>
      </c>
      <c r="I144" t="b">
        <v>0</v>
      </c>
      <c r="J144" t="s">
        <v>698</v>
      </c>
    </row>
    <row r="145" spans="1:10" x14ac:dyDescent="0.2">
      <c r="A145" t="s">
        <v>699</v>
      </c>
      <c r="B145" t="s">
        <v>700</v>
      </c>
      <c r="C145" t="s">
        <v>100</v>
      </c>
      <c r="D145" t="s">
        <v>701</v>
      </c>
      <c r="E145" t="s">
        <v>702</v>
      </c>
      <c r="F145" t="str">
        <f>HYPERLINK("https://doi.org/10.1109/ICSSA54161.2022.9870973","doi.org")</f>
        <v>doi.org</v>
      </c>
      <c r="G145" t="str">
        <f>HYPERLINK("/pdf/2022_10.1109_icssa54161.2022.9870973_Machine_Learning_Techniques_for_Intrusion_Detection_in_Smart_Healthcare_Systems__A_Comparative_Analysis.pdf","open")</f>
        <v>open</v>
      </c>
      <c r="H145" t="s">
        <v>15</v>
      </c>
      <c r="I145" t="b">
        <v>0</v>
      </c>
      <c r="J145" t="s">
        <v>703</v>
      </c>
    </row>
    <row r="146" spans="1:10" x14ac:dyDescent="0.2">
      <c r="A146" t="s">
        <v>704</v>
      </c>
      <c r="B146" t="s">
        <v>705</v>
      </c>
      <c r="C146" t="s">
        <v>60</v>
      </c>
      <c r="D146" t="s">
        <v>706</v>
      </c>
      <c r="E146" t="s">
        <v>707</v>
      </c>
      <c r="F146" t="str">
        <f>HYPERLINK("https://doi.org/10.48084/etasr.7467","doi.org")</f>
        <v>doi.org</v>
      </c>
      <c r="G146" t="str">
        <f>HYPERLINK("/pdf/2024_10.48084_etasr.7467_An_Enhanced_Framework_to_Mitigate_Post-Installation_Cyber_Attacks_on_Android_Apps.pdf","open")</f>
        <v>open</v>
      </c>
      <c r="H146" t="s">
        <v>15</v>
      </c>
      <c r="I146" t="b">
        <v>0</v>
      </c>
      <c r="J146" t="s">
        <v>708</v>
      </c>
    </row>
    <row r="147" spans="1:10" x14ac:dyDescent="0.2">
      <c r="A147" t="s">
        <v>709</v>
      </c>
      <c r="B147" t="s">
        <v>710</v>
      </c>
      <c r="C147" t="s">
        <v>19</v>
      </c>
      <c r="D147" t="s">
        <v>493</v>
      </c>
      <c r="E147" t="s">
        <v>711</v>
      </c>
      <c r="F147" t="str">
        <f>HYPERLINK("https://doi.org/10.1038/s41598-025-17799-0","doi.org")</f>
        <v>doi.org</v>
      </c>
      <c r="G147" t="str">
        <f>HYPERLINK("/pdf/2025_10_1038_s41598_025_17799_0_multi_resolution_transfer_learning_for_tampered_image_classification_using_se_en.pdf","open")</f>
        <v>open</v>
      </c>
      <c r="H147" t="s">
        <v>15</v>
      </c>
      <c r="I147" t="b">
        <v>0</v>
      </c>
      <c r="J147" t="s">
        <v>712</v>
      </c>
    </row>
    <row r="148" spans="1:10" x14ac:dyDescent="0.2">
      <c r="A148" t="s">
        <v>713</v>
      </c>
      <c r="B148" t="s">
        <v>714</v>
      </c>
      <c r="C148" t="s">
        <v>215</v>
      </c>
      <c r="D148" t="s">
        <v>715</v>
      </c>
      <c r="E148" t="s">
        <v>716</v>
      </c>
      <c r="F148" t="str">
        <f>HYPERLINK("https://doi.org/10.1109/CIS.2014.133","doi.org")</f>
        <v>doi.org</v>
      </c>
      <c r="G148" t="str">
        <f>HYPERLINK("/pdf/2015_10.1109_cis.2014.133_Application_research_on_retrospective_analysis_system_in_network_intrusion_detection.pdf","open")</f>
        <v>open</v>
      </c>
      <c r="H148" t="s">
        <v>15</v>
      </c>
      <c r="I148" t="b">
        <v>0</v>
      </c>
      <c r="J148" t="s">
        <v>717</v>
      </c>
    </row>
    <row r="149" spans="1:10" x14ac:dyDescent="0.2">
      <c r="A149" t="s">
        <v>718</v>
      </c>
      <c r="B149" t="s">
        <v>719</v>
      </c>
      <c r="C149" t="s">
        <v>25</v>
      </c>
      <c r="D149" t="s">
        <v>720</v>
      </c>
      <c r="E149" t="s">
        <v>721</v>
      </c>
      <c r="F149" t="str">
        <f>HYPERLINK("https://doi.org/10.1109/ISPA-BDCloud-SocialCom-SustainCom59178.2023.00094","doi.org")</f>
        <v>doi.org</v>
      </c>
      <c r="G149" t="str">
        <f>HYPERLINK("/pdf/2023_10.1109_airosip58759.2023.10873912_Smart_Closed-Loop_Jamming_System.pdf","open")</f>
        <v>open</v>
      </c>
      <c r="H149" t="s">
        <v>15</v>
      </c>
      <c r="I149" t="b">
        <v>0</v>
      </c>
      <c r="J149" t="s">
        <v>722</v>
      </c>
    </row>
    <row r="150" spans="1:10" x14ac:dyDescent="0.2">
      <c r="A150" t="s">
        <v>723</v>
      </c>
      <c r="B150" t="s">
        <v>724</v>
      </c>
      <c r="C150" t="s">
        <v>60</v>
      </c>
      <c r="D150" t="s">
        <v>182</v>
      </c>
      <c r="E150" t="s">
        <v>725</v>
      </c>
      <c r="F150" t="str">
        <f>HYPERLINK("https://doi.org/10.1109/JIOT.2024.3385989","doi.org")</f>
        <v>doi.org</v>
      </c>
      <c r="G150" t="str">
        <f>HYPERLINK("/pdf/2024_10.1109_jiot.2024.3385989_An_Authentication_Mechanism_Based_on_Zero_Trust_With_Radio_Frequency_Fingerprint_for_Internet_of_Things_Networ.pdf","open")</f>
        <v>open</v>
      </c>
      <c r="H150" t="s">
        <v>15</v>
      </c>
      <c r="I150" t="b">
        <v>0</v>
      </c>
      <c r="J150" t="s">
        <v>726</v>
      </c>
    </row>
    <row r="151" spans="1:10" x14ac:dyDescent="0.2">
      <c r="A151" t="s">
        <v>727</v>
      </c>
      <c r="B151" t="s">
        <v>728</v>
      </c>
      <c r="C151" t="s">
        <v>190</v>
      </c>
      <c r="D151" t="s">
        <v>729</v>
      </c>
      <c r="E151" t="s">
        <v>730</v>
      </c>
      <c r="F151" t="str">
        <f>HYPERLINK("https://doi.org/10.1109/IAEAC.2017.8054452","doi.org")</f>
        <v>doi.org</v>
      </c>
      <c r="G151" t="str">
        <f>HYPERLINK("/pdf/2017_10.1109_wcsp.2017.8170908_Data_leakage_between_C_S_communication__A_case_study_on_Android_music_app.pdf","open")</f>
        <v>open</v>
      </c>
      <c r="H151" t="s">
        <v>15</v>
      </c>
      <c r="I151" t="b">
        <v>0</v>
      </c>
      <c r="J151" t="s">
        <v>731</v>
      </c>
    </row>
    <row r="152" spans="1:10" x14ac:dyDescent="0.2">
      <c r="A152" t="s">
        <v>732</v>
      </c>
      <c r="B152" t="s">
        <v>733</v>
      </c>
      <c r="C152" t="s">
        <v>19</v>
      </c>
      <c r="D152" t="s">
        <v>734</v>
      </c>
      <c r="E152" t="s">
        <v>735</v>
      </c>
      <c r="F152" t="str">
        <f>HYPERLINK("https://doi.org/10.1109/ICoICT66265.2025.11192987","doi.org")</f>
        <v>doi.org</v>
      </c>
      <c r="G152" t="str">
        <f>HYPERLINK("/pdf/2025_10.1109_icoict66265.2025.11192987_Federated_Learning_Approaches_for_IoT_Intrusion_Detection_Based_on_FedAvg_and_FedProx_on_IID_and_Non-IID_Data.pdf","open")</f>
        <v>open</v>
      </c>
      <c r="H152" t="s">
        <v>15</v>
      </c>
      <c r="I152" t="b">
        <v>0</v>
      </c>
      <c r="J152" t="s">
        <v>736</v>
      </c>
    </row>
    <row r="153" spans="1:10" x14ac:dyDescent="0.2">
      <c r="A153" t="s">
        <v>737</v>
      </c>
      <c r="B153" t="s">
        <v>738</v>
      </c>
      <c r="C153" t="s">
        <v>156</v>
      </c>
      <c r="D153" t="s">
        <v>739</v>
      </c>
      <c r="E153" t="s">
        <v>740</v>
      </c>
      <c r="F153" t="str">
        <f>HYPERLINK("https://doi.org/10.1109/ICON.2013.6781977","doi.org")</f>
        <v>doi.org</v>
      </c>
      <c r="G153" t="str">
        <f>HYPERLINK("/pdf/2013_10.1109_icon.2013.6781950_Security_testing_in_Android_networks_-_A_practical_case_study.pdf","open")</f>
        <v>open</v>
      </c>
      <c r="H153" t="s">
        <v>15</v>
      </c>
      <c r="I153" t="b">
        <v>1</v>
      </c>
      <c r="J153" t="s">
        <v>741</v>
      </c>
    </row>
    <row r="154" spans="1:10" x14ac:dyDescent="0.2">
      <c r="A154" t="s">
        <v>742</v>
      </c>
      <c r="B154" t="s">
        <v>743</v>
      </c>
      <c r="C154" t="s">
        <v>60</v>
      </c>
      <c r="D154" t="s">
        <v>744</v>
      </c>
      <c r="E154" t="s">
        <v>148</v>
      </c>
      <c r="F154" t="str">
        <f>HYPERLINK("https://doi.org/Not Reported","doi.org")</f>
        <v>doi.org</v>
      </c>
      <c r="G154" t="str">
        <f>HYPERLINK("/pdf/2024_10.23919_indiacom61295.2024.10499164_A_DNA-based_Authentication_System_for_Securing_Cloud_Data_Storage_and_Transactions.pdf","open")</f>
        <v>open</v>
      </c>
      <c r="H154" t="s">
        <v>15</v>
      </c>
      <c r="I154" t="b">
        <v>0</v>
      </c>
      <c r="J154" t="s">
        <v>745</v>
      </c>
    </row>
    <row r="155" spans="1:10" x14ac:dyDescent="0.2">
      <c r="A155" t="s">
        <v>746</v>
      </c>
      <c r="B155" t="s">
        <v>747</v>
      </c>
      <c r="C155" t="s">
        <v>136</v>
      </c>
      <c r="D155" t="s">
        <v>748</v>
      </c>
      <c r="E155" t="s">
        <v>148</v>
      </c>
      <c r="F155" t="str">
        <f>HYPERLINK("https://doi.org/Not Reported","doi.org")</f>
        <v>doi.org</v>
      </c>
      <c r="G155" t="str">
        <f>HYPERLINK("/pdf/2019_10.1109_iceei47359.2019.8988832_OTPAF__A_Security_Requirement_Conceptual_Model_of_SaaS_for_Malaysian_Government_based_on_Common_Criteria.pdf","open")</f>
        <v>open</v>
      </c>
      <c r="H155" t="s">
        <v>44</v>
      </c>
      <c r="I155" t="b">
        <v>1</v>
      </c>
      <c r="J155" t="s">
        <v>749</v>
      </c>
    </row>
    <row r="156" spans="1:10" x14ac:dyDescent="0.2">
      <c r="A156" t="s">
        <v>750</v>
      </c>
      <c r="B156" t="s">
        <v>751</v>
      </c>
      <c r="C156" t="s">
        <v>60</v>
      </c>
      <c r="D156" t="s">
        <v>752</v>
      </c>
      <c r="E156" t="s">
        <v>148</v>
      </c>
      <c r="F156" t="str">
        <f>HYPERLINK("https://doi.org/Not Reported","doi.org")</f>
        <v>doi.org</v>
      </c>
      <c r="G156" t="str">
        <f>HYPERLINK("/pdf/2024_In_Plain_Sight__A_Pragmatic_Exploration_of_the_Italian_Medical_Landscape_(In)security.pdf.pdf","open")</f>
        <v>open</v>
      </c>
      <c r="H156" t="s">
        <v>15</v>
      </c>
      <c r="I156" t="b">
        <v>0</v>
      </c>
      <c r="J156" t="s">
        <v>753</v>
      </c>
    </row>
    <row r="157" spans="1:10" x14ac:dyDescent="0.2">
      <c r="A157" t="s">
        <v>754</v>
      </c>
      <c r="B157" t="s">
        <v>755</v>
      </c>
      <c r="C157" t="s">
        <v>19</v>
      </c>
      <c r="D157" t="s">
        <v>756</v>
      </c>
      <c r="E157" t="s">
        <v>757</v>
      </c>
      <c r="F157" t="str">
        <f>HYPERLINK("https://doi.org/10.3390/info16110957","doi.org")</f>
        <v>doi.org</v>
      </c>
      <c r="G157" t="str">
        <f>HYPERLINK("/pdf/2025_10_3390_info16110957_llms_for_cybersecurity_in_the_big_data_era_a_comprehensive_review_of_applications_challe.pdf","open")</f>
        <v>open</v>
      </c>
      <c r="H157" t="s">
        <v>15</v>
      </c>
      <c r="I157" t="b">
        <v>0</v>
      </c>
      <c r="J157" t="s">
        <v>758</v>
      </c>
    </row>
    <row r="158" spans="1:10" x14ac:dyDescent="0.2">
      <c r="A158" t="s">
        <v>759</v>
      </c>
      <c r="B158" t="s">
        <v>760</v>
      </c>
      <c r="C158" t="s">
        <v>48</v>
      </c>
      <c r="D158" t="s">
        <v>493</v>
      </c>
      <c r="E158" t="s">
        <v>761</v>
      </c>
      <c r="F158" t="str">
        <f>HYPERLINK("https://doi.org/10.1038/s41598-026-36731-8","doi.org")</f>
        <v>doi.org</v>
      </c>
      <c r="G158" t="str">
        <f>HYPERLINK("/pdf/2010_CollSec_2010_-_2010_Workshop_on_Collaborative_Methods_for_Security_and_Privacy.pdf","open")</f>
        <v>open</v>
      </c>
      <c r="H158" t="s">
        <v>15</v>
      </c>
      <c r="I158" t="b">
        <v>0</v>
      </c>
      <c r="J158" t="s">
        <v>762</v>
      </c>
    </row>
    <row r="159" spans="1:10" x14ac:dyDescent="0.2">
      <c r="A159" t="s">
        <v>763</v>
      </c>
      <c r="B159" t="s">
        <v>764</v>
      </c>
      <c r="C159" t="s">
        <v>136</v>
      </c>
      <c r="D159" t="s">
        <v>76</v>
      </c>
      <c r="E159" t="s">
        <v>765</v>
      </c>
      <c r="F159" t="str">
        <f>HYPERLINK("https://doi.org/10.1109/ACCESS.2019.2951425","doi.org")</f>
        <v>doi.org</v>
      </c>
      <c r="G159" t="str">
        <f>HYPERLINK("/pdf/2019_10_1109_access_2019_2951425_covert_channels_in_the_mqtt_based_internet_of_things.pdf","open")</f>
        <v>open</v>
      </c>
      <c r="H159" t="s">
        <v>15</v>
      </c>
      <c r="I159" t="b">
        <v>0</v>
      </c>
      <c r="J159" t="s">
        <v>766</v>
      </c>
    </row>
    <row r="160" spans="1:10" x14ac:dyDescent="0.2">
      <c r="A160" t="s">
        <v>767</v>
      </c>
      <c r="B160" t="s">
        <v>768</v>
      </c>
      <c r="C160" t="s">
        <v>100</v>
      </c>
      <c r="D160" t="s">
        <v>769</v>
      </c>
      <c r="E160" t="s">
        <v>770</v>
      </c>
      <c r="F160" t="str">
        <f>HYPERLINK("https://doi.org/10.1109/ASIANCON55314.2022.9909471","doi.org")</f>
        <v>doi.org</v>
      </c>
      <c r="G160" t="str">
        <f>HYPERLINK("/pdf/2022_10.1109_asiancon55314.2022.9909471_Data_Leakage_in_Android_and_Anomaly_Based_Intrusion_Detection_and_Prevention_System.pdf","open")</f>
        <v>open</v>
      </c>
      <c r="H160" t="s">
        <v>15</v>
      </c>
      <c r="I160" t="b">
        <v>0</v>
      </c>
      <c r="J160" t="s">
        <v>771</v>
      </c>
    </row>
    <row r="161" spans="1:10" x14ac:dyDescent="0.2">
      <c r="A161" t="s">
        <v>772</v>
      </c>
      <c r="B161" t="s">
        <v>773</v>
      </c>
      <c r="C161" t="s">
        <v>19</v>
      </c>
      <c r="D161" t="s">
        <v>774</v>
      </c>
      <c r="E161" t="s">
        <v>775</v>
      </c>
      <c r="F161" t="str">
        <f>HYPERLINK("https://doi.org/10.1142/S2010324725400119","doi.org")</f>
        <v>doi.org</v>
      </c>
      <c r="G161" t="str">
        <f>HYPERLINK("/pdf/2025_10.1142_s2010324725400119_A_Hybrid_BiLSTM-Attention_and_Homomorphic_Encryption_Framework_for_Privacy-Preserving_Threat_Detection_in_Clou.pdf","open")</f>
        <v>open</v>
      </c>
      <c r="H161" t="s">
        <v>15</v>
      </c>
      <c r="I161" t="b">
        <v>0</v>
      </c>
      <c r="J161" t="s">
        <v>776</v>
      </c>
    </row>
    <row r="162" spans="1:10" x14ac:dyDescent="0.2">
      <c r="A162" t="s">
        <v>445</v>
      </c>
      <c r="B162" t="s">
        <v>446</v>
      </c>
      <c r="C162" t="s">
        <v>19</v>
      </c>
      <c r="D162" t="s">
        <v>447</v>
      </c>
      <c r="E162" t="s">
        <v>448</v>
      </c>
      <c r="F162" t="str">
        <f>HYPERLINK("https://doi.org/10.3991/ijep.v15i4.53127","doi.org")</f>
        <v>doi.org</v>
      </c>
      <c r="G162" t="str">
        <f>HYPERLINK("/pdf/2025_10_3991_ijep_v15i4_53127_integration_of_cybersecurity_into_computer_science_teachers_training_a_systema.pdf","open")</f>
        <v>open</v>
      </c>
      <c r="H162" t="s">
        <v>44</v>
      </c>
      <c r="I162" t="b">
        <v>1</v>
      </c>
      <c r="J162" t="s">
        <v>777</v>
      </c>
    </row>
    <row r="163" spans="1:10" x14ac:dyDescent="0.2">
      <c r="A163" t="s">
        <v>778</v>
      </c>
      <c r="B163" t="s">
        <v>779</v>
      </c>
      <c r="C163" t="s">
        <v>60</v>
      </c>
      <c r="D163" t="s">
        <v>780</v>
      </c>
      <c r="E163" t="s">
        <v>778</v>
      </c>
      <c r="F163" t="str">
        <f>HYPERLINK("https://doi.org/10.20473/mi.v7i3.55931","doi.org")</f>
        <v>doi.org</v>
      </c>
      <c r="G163" t="str">
        <f>HYPERLINK("/pdf/2024_10_20473_mi_v7i3_55931_data_leakage_of_the_indonesian_elections_commission_in_legal_aspects_of_personal.pdf","open")</f>
        <v>open</v>
      </c>
      <c r="H163" t="s">
        <v>44</v>
      </c>
      <c r="I163" t="b">
        <v>1</v>
      </c>
      <c r="J163" t="s">
        <v>781</v>
      </c>
    </row>
    <row r="164" spans="1:10" x14ac:dyDescent="0.2">
      <c r="A164" t="s">
        <v>782</v>
      </c>
      <c r="B164" t="s">
        <v>783</v>
      </c>
      <c r="C164" t="s">
        <v>148</v>
      </c>
      <c r="D164" t="s">
        <v>148</v>
      </c>
      <c r="E164" t="s">
        <v>148</v>
      </c>
      <c r="F164" t="str">
        <f>HYPERLINK("https://doi.org/Not Reported","doi.org")</f>
        <v>doi.org</v>
      </c>
      <c r="G164" t="str">
        <f>HYPERLINK("/pdf/2019_10_1109_gciot47977_2019_9058410_practical_application_of_machine_learning_based_online_intrusion_detection_to_internet_of.pdf","open")</f>
        <v>open</v>
      </c>
      <c r="H164" t="s">
        <v>15</v>
      </c>
      <c r="I164" t="b">
        <v>0</v>
      </c>
      <c r="J164" t="s">
        <v>784</v>
      </c>
    </row>
    <row r="165" spans="1:10" x14ac:dyDescent="0.2">
      <c r="A165" t="s">
        <v>785</v>
      </c>
      <c r="B165" t="s">
        <v>786</v>
      </c>
      <c r="C165" t="s">
        <v>60</v>
      </c>
      <c r="D165" t="s">
        <v>116</v>
      </c>
      <c r="E165" t="s">
        <v>787</v>
      </c>
      <c r="F165" t="str">
        <f>HYPERLINK("https://doi.org/10.1016/j.cose.2024.103864","doi.org")</f>
        <v>doi.org</v>
      </c>
      <c r="G165" t="str">
        <f>HYPERLINK("/pdf/2024_10.1016_j.cose.2024.103864_MeMalDet__A_memory_analysis-based_malware_detection_framework_using_deep_autoencoders_and_stacked_ensemble_und.pdf","open")</f>
        <v>open</v>
      </c>
      <c r="H165" t="s">
        <v>15</v>
      </c>
      <c r="I165" t="b">
        <v>0</v>
      </c>
      <c r="J165" t="s">
        <v>788</v>
      </c>
    </row>
    <row r="166" spans="1:10" x14ac:dyDescent="0.2">
      <c r="A166" t="s">
        <v>789</v>
      </c>
      <c r="B166" t="s">
        <v>790</v>
      </c>
      <c r="C166" t="s">
        <v>19</v>
      </c>
      <c r="D166" t="s">
        <v>76</v>
      </c>
      <c r="E166" t="s">
        <v>791</v>
      </c>
      <c r="F166" t="str">
        <f>HYPERLINK("https://doi.org/10.1109/ACCESS.2025.3602562","doi.org")</f>
        <v>doi.org</v>
      </c>
      <c r="G166" t="str">
        <f>HYPERLINK("/pdf/2025_10.1109_access.2025.3602562_Enhanced_Intrusion_Detection_via_Hybrid_Data_Resampling_and_Feature_Optimization.pdf","open")</f>
        <v>open</v>
      </c>
      <c r="H166" t="s">
        <v>15</v>
      </c>
      <c r="I166" t="b">
        <v>0</v>
      </c>
      <c r="J166" t="s">
        <v>792</v>
      </c>
    </row>
    <row r="167" spans="1:10" x14ac:dyDescent="0.2">
      <c r="A167" t="s">
        <v>793</v>
      </c>
      <c r="B167" t="s">
        <v>794</v>
      </c>
      <c r="C167" t="s">
        <v>100</v>
      </c>
      <c r="D167" t="s">
        <v>116</v>
      </c>
      <c r="E167" t="s">
        <v>795</v>
      </c>
      <c r="F167" t="str">
        <f>HYPERLINK("https://doi.org/10.1016/j.cose.2022.102783","doi.org")</f>
        <v>doi.org</v>
      </c>
      <c r="G167" t="str">
        <f>HYPERLINK("/pdf/2022_10.1016_j.cose.2022.102783_Adversarial_training_for_deep_learning-based_cyberattack_detection_in_IoT-based_smart_city_applications.pdf","open")</f>
        <v>open</v>
      </c>
      <c r="H167" t="s">
        <v>15</v>
      </c>
      <c r="I167" t="b">
        <v>0</v>
      </c>
      <c r="J167" t="s">
        <v>796</v>
      </c>
    </row>
    <row r="168" spans="1:10" x14ac:dyDescent="0.2">
      <c r="A168" t="s">
        <v>797</v>
      </c>
      <c r="B168" t="s">
        <v>798</v>
      </c>
      <c r="C168" t="s">
        <v>36</v>
      </c>
      <c r="D168" t="s">
        <v>799</v>
      </c>
      <c r="E168" t="s">
        <v>800</v>
      </c>
      <c r="F168" t="str">
        <f>HYPERLINK("https://doi.org/10.1109/JETCAS.2021.3075098","doi.org")</f>
        <v>doi.org</v>
      </c>
      <c r="G168" t="str">
        <f>HYPERLINK("/pdf/2021_10.1109_jetcas.2021.3075098_Proof-Carrying_Hardware-Based_Information_Flow_Tracking_in_Analog_Mixed-Signal_Designs.pdf","open")</f>
        <v>open</v>
      </c>
      <c r="H168" t="s">
        <v>15</v>
      </c>
      <c r="I168" t="b">
        <v>1</v>
      </c>
      <c r="J168" t="s">
        <v>801</v>
      </c>
    </row>
    <row r="169" spans="1:10" x14ac:dyDescent="0.2">
      <c r="A169" t="s">
        <v>802</v>
      </c>
      <c r="B169" t="s">
        <v>803</v>
      </c>
      <c r="C169" t="s">
        <v>100</v>
      </c>
      <c r="D169" t="s">
        <v>804</v>
      </c>
      <c r="E169" t="s">
        <v>805</v>
      </c>
      <c r="F169" t="str">
        <f>HYPERLINK("https://doi.org/10.1145/3564625.3567970","doi.org")</f>
        <v>doi.org</v>
      </c>
      <c r="G169" t="str">
        <f>HYPERLINK("/pdf/2022_10.1145_3564625.3567970_Randezvous__Making_Randomization_Effective_on_MCUs.pdf","open")</f>
        <v>open</v>
      </c>
      <c r="H169" t="s">
        <v>15</v>
      </c>
      <c r="I169" t="b">
        <v>1</v>
      </c>
      <c r="J169" t="s">
        <v>806</v>
      </c>
    </row>
    <row r="170" spans="1:10" x14ac:dyDescent="0.2">
      <c r="A170" t="s">
        <v>807</v>
      </c>
      <c r="B170" t="s">
        <v>146</v>
      </c>
      <c r="C170" t="s">
        <v>136</v>
      </c>
      <c r="D170" t="s">
        <v>148</v>
      </c>
      <c r="E170" t="s">
        <v>148</v>
      </c>
      <c r="F170" t="str">
        <f>HYPERLINK("https://doi.org/Not Reported","doi.org")</f>
        <v>doi.org</v>
      </c>
      <c r="G170" t="str">
        <f>HYPERLINK("/pdf/2020_10.1109_iceee49618.2020.9102516_The_Techniques_of_Securing_Imaging_Data_in_Medical_System.pdf","open")</f>
        <v>open</v>
      </c>
      <c r="H170" t="s">
        <v>15</v>
      </c>
      <c r="I170" t="b">
        <v>0</v>
      </c>
      <c r="J170" t="s">
        <v>808</v>
      </c>
    </row>
    <row r="171" spans="1:10" x14ac:dyDescent="0.2">
      <c r="A171" t="s">
        <v>809</v>
      </c>
      <c r="B171" t="s">
        <v>810</v>
      </c>
      <c r="C171" t="s">
        <v>363</v>
      </c>
      <c r="D171" t="s">
        <v>811</v>
      </c>
      <c r="E171" t="s">
        <v>812</v>
      </c>
      <c r="F171" t="str">
        <f>HYPERLINK("https://doi.org/10.1145/2976749.2978398","doi.org")</f>
        <v>doi.org</v>
      </c>
      <c r="G171" t="str">
        <f>HYPERLINK("/pdf/2016_10.1145_2976749.2978398_ProvUSB__Block-level_provenance-based_data_protection_for_USB_storage_devices.pdf","open")</f>
        <v>open</v>
      </c>
      <c r="H171" t="s">
        <v>15</v>
      </c>
      <c r="I171" t="b">
        <v>0</v>
      </c>
      <c r="J171" t="s">
        <v>813</v>
      </c>
    </row>
    <row r="172" spans="1:10" x14ac:dyDescent="0.2">
      <c r="A172" t="s">
        <v>814</v>
      </c>
      <c r="B172" t="s">
        <v>815</v>
      </c>
      <c r="C172" t="s">
        <v>210</v>
      </c>
      <c r="D172" t="s">
        <v>816</v>
      </c>
      <c r="E172" t="s">
        <v>817</v>
      </c>
      <c r="F172" t="str">
        <f>HYPERLINK("https://doi.org/10.1109/MSP.2015.71","doi.org")</f>
        <v>doi.org</v>
      </c>
      <c r="G172" t="str">
        <f>HYPERLINK("/pdf/2015_10.1109_msp.2015.88_Can_Content-Based_Data_Loss_Prevention_Solutions_Prevent_Data_Leakage_in_Web_Traffic_.pdf","open")</f>
        <v>open</v>
      </c>
      <c r="H172" t="s">
        <v>15</v>
      </c>
      <c r="I172" t="b">
        <v>0</v>
      </c>
      <c r="J172" t="s">
        <v>818</v>
      </c>
    </row>
    <row r="173" spans="1:10" x14ac:dyDescent="0.2">
      <c r="A173" t="s">
        <v>819</v>
      </c>
      <c r="B173" t="s">
        <v>820</v>
      </c>
      <c r="C173" t="s">
        <v>25</v>
      </c>
      <c r="D173" t="s">
        <v>821</v>
      </c>
      <c r="E173" t="s">
        <v>822</v>
      </c>
      <c r="F173" t="str">
        <f>HYPERLINK("https://doi.org/10.1109/GCAT59970.2023.10353244","doi.org")</f>
        <v>doi.org</v>
      </c>
      <c r="G173" t="str">
        <f>HYPERLINK("/pdf/2023_10.1109_gcat59970.2023.10353244_Exploring_Advanced_Model_Optimization_Strategies_for_Network_Intrusion_Detection_in_cloud_computing.pdf","open")</f>
        <v>open</v>
      </c>
      <c r="H173" t="s">
        <v>15</v>
      </c>
      <c r="I173" t="b">
        <v>0</v>
      </c>
      <c r="J173" t="s">
        <v>823</v>
      </c>
    </row>
    <row r="174" spans="1:10" x14ac:dyDescent="0.2">
      <c r="A174" t="s">
        <v>824</v>
      </c>
      <c r="B174" t="s">
        <v>825</v>
      </c>
      <c r="C174" t="s">
        <v>100</v>
      </c>
      <c r="D174" t="s">
        <v>55</v>
      </c>
      <c r="E174" t="s">
        <v>826</v>
      </c>
      <c r="F174" t="str">
        <f>HYPERLINK("https://doi.org/10.3390/app12042174","doi.org")</f>
        <v>doi.org</v>
      </c>
      <c r="G174" t="str">
        <f>HYPERLINK("/pdf/2022_10_3390_app12042174_assistive_multimodal_robotic_system_amrsys_security_and_privacy_issues_challenges_and.pdf","open")</f>
        <v>open</v>
      </c>
      <c r="H174" t="s">
        <v>15</v>
      </c>
      <c r="I174" t="b">
        <v>1</v>
      </c>
      <c r="J174" t="s">
        <v>827</v>
      </c>
    </row>
    <row r="175" spans="1:10" x14ac:dyDescent="0.2">
      <c r="A175" t="s">
        <v>828</v>
      </c>
      <c r="B175" t="s">
        <v>829</v>
      </c>
      <c r="C175" t="s">
        <v>60</v>
      </c>
      <c r="D175" t="s">
        <v>830</v>
      </c>
      <c r="E175" t="s">
        <v>831</v>
      </c>
      <c r="F175" t="str">
        <f>HYPERLINK("https://doi.org/10.1080/23311916.2024.2411859","doi.org")</f>
        <v>doi.org</v>
      </c>
      <c r="G175" t="str">
        <f>HYPERLINK("/pdf/2024_10.1080_23311916.2024.2411859_Investigation_of_cyber_attacks_using_post-installation_app_detection_method.pdf","open")</f>
        <v>open</v>
      </c>
      <c r="H175" t="s">
        <v>15</v>
      </c>
      <c r="I175" t="b">
        <v>0</v>
      </c>
      <c r="J175" t="s">
        <v>832</v>
      </c>
    </row>
    <row r="176" spans="1:10" x14ac:dyDescent="0.2">
      <c r="A176" t="s">
        <v>833</v>
      </c>
      <c r="B176" t="s">
        <v>834</v>
      </c>
      <c r="C176" t="s">
        <v>100</v>
      </c>
      <c r="D176" t="s">
        <v>148</v>
      </c>
      <c r="E176" t="s">
        <v>148</v>
      </c>
      <c r="F176" t="str">
        <f>HYPERLINK("https://doi.org/Not Reported","doi.org")</f>
        <v>doi.org</v>
      </c>
      <c r="G176" t="str">
        <f>HYPERLINK("/pdf/2023_10_1109_compsac57700_2023_00106_feature_engineering_based_detection_of_buffer_overflow_vulnerability_in_source_code_using.pdf","open")</f>
        <v>open</v>
      </c>
      <c r="H176" t="s">
        <v>15</v>
      </c>
      <c r="I176" t="b">
        <v>0</v>
      </c>
      <c r="J176" t="s">
        <v>835</v>
      </c>
    </row>
    <row r="177" spans="1:10" x14ac:dyDescent="0.2">
      <c r="A177" t="s">
        <v>836</v>
      </c>
      <c r="B177" t="s">
        <v>837</v>
      </c>
      <c r="C177" t="s">
        <v>36</v>
      </c>
      <c r="D177" t="s">
        <v>838</v>
      </c>
      <c r="E177" t="s">
        <v>839</v>
      </c>
      <c r="F177" t="str">
        <f>HYPERLINK("https://doi.org/10.4316/AECE.2021.03005","doi.org")</f>
        <v>doi.org</v>
      </c>
      <c r="G177" t="str">
        <f>HYPERLINK("/pdf/2021_10.4316_aece.2021.03005_Deep_Learning_Based_DNS_Tunneling_Detection_and_Blocking_System.pdf","open")</f>
        <v>open</v>
      </c>
      <c r="H177" t="s">
        <v>15</v>
      </c>
      <c r="I177" t="b">
        <v>0</v>
      </c>
      <c r="J177" t="s">
        <v>840</v>
      </c>
    </row>
    <row r="178" spans="1:10" x14ac:dyDescent="0.2">
      <c r="A178" t="s">
        <v>841</v>
      </c>
      <c r="B178" t="s">
        <v>842</v>
      </c>
      <c r="C178" t="s">
        <v>100</v>
      </c>
      <c r="D178" t="s">
        <v>843</v>
      </c>
      <c r="E178" t="s">
        <v>844</v>
      </c>
      <c r="F178" t="str">
        <f>HYPERLINK("https://doi.org/10.1016/j.ins.2022.07.104","doi.org")</f>
        <v>doi.org</v>
      </c>
      <c r="G178" t="str">
        <f>HYPERLINK("/pdf/2022_10.1016_j.ins.2022.07.104_Privacy-preserving_knowledge_transfer_for_intrusion_detection_with_federated_deep_autoencoding_gaussian_mixtur.pdf","open")</f>
        <v>open</v>
      </c>
      <c r="H178" t="s">
        <v>15</v>
      </c>
      <c r="I178" t="b">
        <v>0</v>
      </c>
      <c r="J178" t="s">
        <v>845</v>
      </c>
    </row>
    <row r="179" spans="1:10" x14ac:dyDescent="0.2">
      <c r="A179" t="s">
        <v>846</v>
      </c>
      <c r="B179" t="s">
        <v>847</v>
      </c>
      <c r="C179" t="s">
        <v>19</v>
      </c>
      <c r="D179" t="s">
        <v>660</v>
      </c>
      <c r="E179" t="s">
        <v>848</v>
      </c>
      <c r="F179" t="str">
        <f>HYPERLINK("https://doi.org/10.3390/electronics14101982","doi.org")</f>
        <v>doi.org</v>
      </c>
      <c r="G179" t="str">
        <f>HYPERLINK("/pdf/2025_10_3390_electronics14101982_ficconvnet_a_privacy_preserving_framework_for_malware_detection_using_ckks_homomorphic_en.pdf","open")</f>
        <v>open</v>
      </c>
      <c r="H179" t="s">
        <v>15</v>
      </c>
      <c r="I179" t="b">
        <v>0</v>
      </c>
      <c r="J179" t="s">
        <v>849</v>
      </c>
    </row>
    <row r="180" spans="1:10" x14ac:dyDescent="0.2">
      <c r="A180" t="s">
        <v>850</v>
      </c>
      <c r="B180" t="s">
        <v>850</v>
      </c>
      <c r="C180" t="s">
        <v>100</v>
      </c>
      <c r="D180" t="s">
        <v>116</v>
      </c>
      <c r="E180" t="s">
        <v>851</v>
      </c>
      <c r="F180" t="str">
        <f>HYPERLINK("https://doi.org/10.1016/j.cose.2022.102644","doi.org")</f>
        <v>doi.org</v>
      </c>
      <c r="G180" t="str">
        <f>HYPERLINK("/pdf/2022_10.1016_j.cose.2022.102644_Preventive_portfolio_against_data-selling_ransomware—A_game_theory_of_encryption_and_deception.pdf","open")</f>
        <v>open</v>
      </c>
      <c r="H180" t="s">
        <v>15</v>
      </c>
      <c r="I180" t="b">
        <v>0</v>
      </c>
      <c r="J180" t="s">
        <v>852</v>
      </c>
    </row>
    <row r="181" spans="1:10" x14ac:dyDescent="0.2">
      <c r="A181" t="s">
        <v>853</v>
      </c>
      <c r="B181" t="s">
        <v>854</v>
      </c>
      <c r="C181" t="s">
        <v>19</v>
      </c>
      <c r="D181" t="s">
        <v>855</v>
      </c>
      <c r="E181" t="s">
        <v>856</v>
      </c>
      <c r="F181" t="str">
        <f>HYPERLINK("https://doi.org/10.1109/SENNET64220.2025.11135967","doi.org")</f>
        <v>doi.org</v>
      </c>
      <c r="G181" t="str">
        <f>HYPERLINK("/pdf/2025_10.1109_sennet64220.2025.11135967_Secure_IoMT_Networks__A_Federated_Learning_Approach_to_Intrusion_Detection_with_Ensemble_Voting_Classifier.pdf","open")</f>
        <v>open</v>
      </c>
      <c r="H181" t="s">
        <v>15</v>
      </c>
      <c r="I181" t="b">
        <v>1</v>
      </c>
      <c r="J181" t="s">
        <v>857</v>
      </c>
    </row>
    <row r="182" spans="1:10" x14ac:dyDescent="0.2">
      <c r="A182" t="s">
        <v>858</v>
      </c>
      <c r="B182" t="s">
        <v>859</v>
      </c>
      <c r="C182" t="s">
        <v>25</v>
      </c>
      <c r="D182" t="s">
        <v>860</v>
      </c>
      <c r="E182" t="s">
        <v>861</v>
      </c>
      <c r="F182" t="str">
        <f>HYPERLINK("https://doi.org/10.1016/j.micpro.2023.104845","doi.org")</f>
        <v>doi.org</v>
      </c>
      <c r="G182" t="str">
        <f>HYPERLINK("/pdf/2023_10.1016_j.micpro.2023.104845_Empirical_study_on_security_verification_and_assessment_of_neural_network_accelerator.pdf","open")</f>
        <v>open</v>
      </c>
      <c r="H182" t="s">
        <v>15</v>
      </c>
      <c r="I182" t="b">
        <v>0</v>
      </c>
      <c r="J182" t="s">
        <v>862</v>
      </c>
    </row>
    <row r="183" spans="1:10" x14ac:dyDescent="0.2">
      <c r="A183" t="s">
        <v>863</v>
      </c>
      <c r="B183" t="s">
        <v>864</v>
      </c>
      <c r="C183" t="s">
        <v>48</v>
      </c>
      <c r="D183" t="s">
        <v>389</v>
      </c>
      <c r="E183" t="s">
        <v>865</v>
      </c>
      <c r="F183" t="str">
        <f>HYPERLINK("https://doi.org/10.3390/fi18010042","doi.org")</f>
        <v>doi.org</v>
      </c>
      <c r="G183" t="str">
        <f>HYPERLINK("/pdf/2026_10_3390_fi18010042_intrusion_detection_for_internet_of_vehicles_can_bus_communications_using_machine_learning.pdf","open")</f>
        <v>open</v>
      </c>
      <c r="H183" t="s">
        <v>15</v>
      </c>
      <c r="I183" t="b">
        <v>0</v>
      </c>
      <c r="J183" t="s">
        <v>866</v>
      </c>
    </row>
    <row r="184" spans="1:10" x14ac:dyDescent="0.2">
      <c r="A184" t="s">
        <v>867</v>
      </c>
      <c r="B184" t="s">
        <v>868</v>
      </c>
      <c r="C184" t="s">
        <v>54</v>
      </c>
      <c r="D184" t="s">
        <v>869</v>
      </c>
      <c r="E184" t="s">
        <v>867</v>
      </c>
      <c r="F184" t="str">
        <f>HYPERLINK("https://doi.org/10.34190/EWS.20.004","doi.org")</f>
        <v>doi.org</v>
      </c>
      <c r="G184" t="str">
        <f>HYPERLINK("/pdf/2020_10.34190_ews.20.004_Mitigating_insider_threats__A_case_study_of_data_leak_prevention.pdf","open")</f>
        <v>open</v>
      </c>
      <c r="H184" t="s">
        <v>15</v>
      </c>
      <c r="I184" t="b">
        <v>1</v>
      </c>
      <c r="J184" t="s">
        <v>870</v>
      </c>
    </row>
    <row r="185" spans="1:10" x14ac:dyDescent="0.2">
      <c r="A185" t="s">
        <v>871</v>
      </c>
      <c r="B185" t="s">
        <v>872</v>
      </c>
      <c r="C185" t="s">
        <v>363</v>
      </c>
      <c r="D185" t="s">
        <v>729</v>
      </c>
      <c r="E185" t="s">
        <v>873</v>
      </c>
      <c r="F185" t="str">
        <f>HYPERLINK("https://doi.org/978-1-5090-5701-6/16/$31.00","doi.org")</f>
        <v>doi.org</v>
      </c>
      <c r="G185" t="str">
        <f>HYPERLINK("/pdf/2017_10.1109_asianhost.2016.7835566_RECORD__Temporarily_randomized_encoding_of_combinational_logic_for_resistance_to_data_leakage_from_hardware_Tr.pdf","open")</f>
        <v>open</v>
      </c>
      <c r="H185" t="s">
        <v>15</v>
      </c>
      <c r="I185" t="b">
        <v>1</v>
      </c>
      <c r="J185" t="s">
        <v>874</v>
      </c>
    </row>
    <row r="186" spans="1:10" x14ac:dyDescent="0.2">
      <c r="A186" t="s">
        <v>875</v>
      </c>
      <c r="B186" t="s">
        <v>876</v>
      </c>
      <c r="C186" t="s">
        <v>48</v>
      </c>
      <c r="D186" t="s">
        <v>389</v>
      </c>
      <c r="E186" t="s">
        <v>877</v>
      </c>
      <c r="F186" t="str">
        <f>HYPERLINK("https://doi.org/10.3390/fi18010011","doi.org")</f>
        <v>doi.org</v>
      </c>
      <c r="G186" t="str">
        <f>HYPERLINK("/pdf/2026_10.3390_fi18010011_Adaptive_Privacy-Preserving_Insider_Threat_Detection_Using_Generative_Sequence_Models.pdf","open")</f>
        <v>open</v>
      </c>
      <c r="H186" t="s">
        <v>15</v>
      </c>
      <c r="I186" t="b">
        <v>0</v>
      </c>
      <c r="J186" t="s">
        <v>878</v>
      </c>
    </row>
    <row r="187" spans="1:10" x14ac:dyDescent="0.2">
      <c r="A187" t="s">
        <v>879</v>
      </c>
      <c r="B187" t="s">
        <v>880</v>
      </c>
      <c r="C187" t="s">
        <v>215</v>
      </c>
      <c r="D187" t="s">
        <v>881</v>
      </c>
      <c r="E187" t="s">
        <v>882</v>
      </c>
      <c r="F187" t="str">
        <f>HYPERLINK("https://doi.org/10.1109/CSE.2014.136","doi.org")</f>
        <v>doi.org</v>
      </c>
      <c r="G187" t="str">
        <f>HYPERLINK("/pdf/2015_10.1109_cse.2014.136_Fvisor__Towards_thwarting_unauthorized_file_accesses_with_a_light-weght_hypervisor.pdf","open")</f>
        <v>open</v>
      </c>
      <c r="H187" t="s">
        <v>15</v>
      </c>
      <c r="I187" t="b">
        <v>0</v>
      </c>
      <c r="J187" t="s">
        <v>883</v>
      </c>
    </row>
    <row r="188" spans="1:10" x14ac:dyDescent="0.2">
      <c r="A188" t="s">
        <v>884</v>
      </c>
      <c r="B188" t="s">
        <v>885</v>
      </c>
      <c r="C188" t="s">
        <v>25</v>
      </c>
      <c r="D188" t="s">
        <v>886</v>
      </c>
      <c r="E188" t="s">
        <v>887</v>
      </c>
      <c r="F188" t="str">
        <f>HYPERLINK("https://doi.org/10.1109/IJCNN54540.2023.10191926","doi.org")</f>
        <v>doi.org</v>
      </c>
      <c r="G188" t="str">
        <f>HYPERLINK("/pdf/2023_10_1109_ijcnn54540_2023_10191926_online_automated_machine_learning_for_class_imbalanced_data_streams.pdf","open")</f>
        <v>open</v>
      </c>
      <c r="H188" t="s">
        <v>15</v>
      </c>
      <c r="I188" t="b">
        <v>0</v>
      </c>
      <c r="J188" t="s">
        <v>888</v>
      </c>
    </row>
    <row r="189" spans="1:10" x14ac:dyDescent="0.2">
      <c r="A189" t="s">
        <v>889</v>
      </c>
      <c r="B189" t="s">
        <v>890</v>
      </c>
      <c r="C189" t="s">
        <v>19</v>
      </c>
      <c r="D189" t="s">
        <v>647</v>
      </c>
      <c r="E189" t="s">
        <v>891</v>
      </c>
      <c r="F189" t="str">
        <f>HYPERLINK("https://doi.org/10.1007/s11042-024-18349-y","doi.org")</f>
        <v>doi.org</v>
      </c>
      <c r="G189" t="str">
        <f>HYPERLINK("/pdf/2025_10.1007_s11042-024-18349-y_Ensemble_framework_for_concept_drift_detection_and_class_imbalance_in_data_streams.pdf","open")</f>
        <v>open</v>
      </c>
      <c r="H189" t="s">
        <v>15</v>
      </c>
      <c r="I189" t="b">
        <v>0</v>
      </c>
      <c r="J189" t="s">
        <v>892</v>
      </c>
    </row>
    <row r="190" spans="1:10" x14ac:dyDescent="0.2">
      <c r="A190" t="s">
        <v>893</v>
      </c>
      <c r="B190" t="s">
        <v>894</v>
      </c>
      <c r="C190" t="s">
        <v>60</v>
      </c>
      <c r="D190" t="s">
        <v>895</v>
      </c>
      <c r="E190" t="s">
        <v>896</v>
      </c>
      <c r="F190" t="str">
        <f>HYPERLINK("https://doi.org/10.3390/fi16110410","doi.org")</f>
        <v>doi.org</v>
      </c>
      <c r="G190" t="str">
        <f>HYPERLINK("/pdf/2024_10_3390_fi16110410_design_and_evaluation_of_steganographic_channels_in_fifth_generation_new_radio.pdf","open")</f>
        <v>open</v>
      </c>
      <c r="H190" t="s">
        <v>15</v>
      </c>
      <c r="I190" t="b">
        <v>0</v>
      </c>
      <c r="J190" t="s">
        <v>897</v>
      </c>
    </row>
    <row r="191" spans="1:10" x14ac:dyDescent="0.2">
      <c r="A191" t="s">
        <v>898</v>
      </c>
      <c r="B191" t="s">
        <v>898</v>
      </c>
      <c r="C191" t="s">
        <v>215</v>
      </c>
      <c r="D191" t="s">
        <v>899</v>
      </c>
      <c r="E191" t="s">
        <v>900</v>
      </c>
      <c r="F191" t="str">
        <f>HYPERLINK("https://doi.org/10.1145/2671491.2671499","doi.org")</f>
        <v>doi.org</v>
      </c>
      <c r="G191" t="str">
        <f>HYPERLINK("/pdf/2014_10.1145_2671491.2671499_DAVAST__Data-centric_system_level_activity_visualization.pdf","open")</f>
        <v>open</v>
      </c>
      <c r="H191" t="s">
        <v>15</v>
      </c>
      <c r="I191" t="b">
        <v>0</v>
      </c>
      <c r="J191" t="s">
        <v>901</v>
      </c>
    </row>
    <row r="192" spans="1:10" x14ac:dyDescent="0.2">
      <c r="A192" t="s">
        <v>902</v>
      </c>
      <c r="B192" t="s">
        <v>903</v>
      </c>
      <c r="C192" t="s">
        <v>25</v>
      </c>
      <c r="D192" t="s">
        <v>904</v>
      </c>
      <c r="E192" t="s">
        <v>905</v>
      </c>
      <c r="F192" t="str">
        <f>HYPERLINK("https://doi.org/10.1109/CSCloud-EdgeCom58631.2023.00043","doi.org")</f>
        <v>doi.org</v>
      </c>
      <c r="G192" t="str">
        <f>HYPERLINK("/pdf/2023_10.1109_cscloud-edgecom58631.2023.00043_Federated_Learning-Based_Intrusion_Detection_System_for_IoT_Environments_with_Locally_Adapted_Model.pdf","open")</f>
        <v>open</v>
      </c>
      <c r="H192" t="s">
        <v>590</v>
      </c>
      <c r="I192" t="b">
        <v>1</v>
      </c>
      <c r="J192" t="s">
        <v>906</v>
      </c>
    </row>
    <row r="193" spans="1:10" x14ac:dyDescent="0.2">
      <c r="A193" t="s">
        <v>907</v>
      </c>
      <c r="B193" t="s">
        <v>908</v>
      </c>
      <c r="C193" t="s">
        <v>60</v>
      </c>
      <c r="D193" t="s">
        <v>909</v>
      </c>
      <c r="E193" t="s">
        <v>910</v>
      </c>
      <c r="F193" t="str">
        <f>HYPERLINK("https://doi.org/10.1109/ICT4DA62874.2024.10777078","doi.org")</f>
        <v>doi.org</v>
      </c>
      <c r="G193" t="str">
        <f>HYPERLINK("/pdf/2024_10.1109_ict4da62874.2024.10777078_Long_Short-Term_Memory_and_Synthetic_Minority_Over_Sampling_Technique-Based_Network_Traffic_Classification.pdf","open")</f>
        <v>open</v>
      </c>
      <c r="H193" t="s">
        <v>15</v>
      </c>
      <c r="I193" t="b">
        <v>0</v>
      </c>
      <c r="J193" t="s">
        <v>911</v>
      </c>
    </row>
    <row r="194" spans="1:10" x14ac:dyDescent="0.2">
      <c r="A194" t="s">
        <v>912</v>
      </c>
      <c r="B194" t="s">
        <v>913</v>
      </c>
      <c r="C194" t="s">
        <v>25</v>
      </c>
      <c r="D194" t="s">
        <v>914</v>
      </c>
      <c r="E194" t="s">
        <v>912</v>
      </c>
      <c r="F194" t="str">
        <f>HYPERLINK("https://doi.org/10.1109/COSITE60233.2023.10249650","doi.org")</f>
        <v>doi.org</v>
      </c>
      <c r="G194" t="str">
        <f>HYPERLINK("/pdf/2023_10.1109_cosite60233.2023.10249650_Evaluation_of_CyPACH__A_Cyber_Privacy_Advisor_Chatbot.pdf","open")</f>
        <v>open</v>
      </c>
      <c r="H194" t="s">
        <v>44</v>
      </c>
      <c r="I194" t="b">
        <v>0</v>
      </c>
      <c r="J194" t="s">
        <v>915</v>
      </c>
    </row>
    <row r="195" spans="1:10" x14ac:dyDescent="0.2">
      <c r="B195" t="s">
        <v>916</v>
      </c>
      <c r="C195" t="s">
        <v>100</v>
      </c>
      <c r="D195" t="s">
        <v>917</v>
      </c>
      <c r="E195" t="s">
        <v>918</v>
      </c>
      <c r="F195" t="str">
        <f>HYPERLINK("https://doi.org/10.1109/IPSN54338.2022.00055","doi.org")</f>
        <v>doi.org</v>
      </c>
      <c r="G195" t="str">
        <f>HYPERLINK("/pdf/2022_10.1109_ipsn54338.2022.00055_Demo_Abstract__A_Distributed_Power_Side-channel_Auditing_System_for_Online_loT_Intrusion_Detection.pdf","open")</f>
        <v>open</v>
      </c>
      <c r="H195" t="s">
        <v>44</v>
      </c>
      <c r="I195" t="b">
        <v>1</v>
      </c>
      <c r="J195" t="s">
        <v>919</v>
      </c>
    </row>
    <row r="196" spans="1:10" x14ac:dyDescent="0.2">
      <c r="A196" t="s">
        <v>920</v>
      </c>
      <c r="B196" t="s">
        <v>921</v>
      </c>
      <c r="C196" t="s">
        <v>60</v>
      </c>
      <c r="D196" t="s">
        <v>922</v>
      </c>
      <c r="E196" t="s">
        <v>923</v>
      </c>
      <c r="F196" t="str">
        <f>HYPERLINK("https://doi.org/10.1016/j.prime.2024.100590","doi.org")</f>
        <v>doi.org</v>
      </c>
      <c r="G196" t="str">
        <f>HYPERLINK("/pdf/2024_10.1016_j.prime.2024.100590_An_empirical_assessment_of_ML_models_for_5G_network_intrusion_detection__A_data_leakage-free_approach.pdf","open")</f>
        <v>open</v>
      </c>
      <c r="H196" t="s">
        <v>15</v>
      </c>
      <c r="I196" t="b">
        <v>0</v>
      </c>
      <c r="J196" t="s">
        <v>924</v>
      </c>
    </row>
    <row r="197" spans="1:10" x14ac:dyDescent="0.2">
      <c r="A197" t="s">
        <v>925</v>
      </c>
      <c r="B197" t="s">
        <v>926</v>
      </c>
      <c r="C197" t="s">
        <v>268</v>
      </c>
      <c r="D197" t="s">
        <v>927</v>
      </c>
      <c r="E197" t="s">
        <v>148</v>
      </c>
      <c r="F197" t="str">
        <f>HYPERLINK("https://doi.org/Not Reported","doi.org")</f>
        <v>doi.org</v>
      </c>
      <c r="G197" t="str">
        <f>HYPERLINK("/pdf/2010_10_14778_1920841_1920849_building_disclosure_risk_aware_query_optimizers_for_relational_databases.pdf","open")</f>
        <v>open</v>
      </c>
      <c r="H197" t="s">
        <v>44</v>
      </c>
      <c r="I197" t="b">
        <v>1</v>
      </c>
      <c r="J197" t="s">
        <v>928</v>
      </c>
    </row>
    <row r="198" spans="1:10" x14ac:dyDescent="0.2">
      <c r="A198" t="s">
        <v>929</v>
      </c>
      <c r="B198" t="s">
        <v>930</v>
      </c>
      <c r="C198" t="s">
        <v>48</v>
      </c>
      <c r="D198" t="s">
        <v>931</v>
      </c>
      <c r="E198" t="s">
        <v>929</v>
      </c>
      <c r="F198" t="str">
        <f>HYPERLINK("https://doi.org/10.1109/TCSS.2025.3642006","doi.org")</f>
        <v>doi.org</v>
      </c>
      <c r="G198" t="str">
        <f>HYPERLINK("/pdf/2026_10.1109_tcss.2025.3642006_A_Verifiable_Federated_Learning_Mechanism_for_Digital_Museum_Collection_Based_on_Homomorphic_Proxy_Re-Authenti.pdf","open")</f>
        <v>open</v>
      </c>
      <c r="H198" t="s">
        <v>44</v>
      </c>
      <c r="I198" t="b">
        <v>1</v>
      </c>
      <c r="J198" t="s">
        <v>932</v>
      </c>
    </row>
    <row r="199" spans="1:10" x14ac:dyDescent="0.2">
      <c r="A199" t="s">
        <v>933</v>
      </c>
      <c r="B199" t="s">
        <v>934</v>
      </c>
      <c r="C199" t="s">
        <v>19</v>
      </c>
      <c r="D199" t="s">
        <v>935</v>
      </c>
      <c r="E199" t="s">
        <v>936</v>
      </c>
      <c r="F199" t="str">
        <f>HYPERLINK("https://doi.org/10.1007/s11227-025-07116-x","doi.org")</f>
        <v>doi.org</v>
      </c>
      <c r="G199" t="str">
        <f>HYPERLINK("/pdf/2025_10.1007_s11227-025-07116-x_GDT-IDS__graph-based_decision_tree_intrusion_detection_system_for_controller_area_network.pdf.pdf","open")</f>
        <v>open</v>
      </c>
      <c r="H199" t="s">
        <v>15</v>
      </c>
      <c r="I199" t="b">
        <v>0</v>
      </c>
      <c r="J199" t="s">
        <v>937</v>
      </c>
    </row>
    <row r="200" spans="1:10" x14ac:dyDescent="0.2">
      <c r="A200" t="s">
        <v>938</v>
      </c>
      <c r="B200" t="s">
        <v>939</v>
      </c>
      <c r="C200" t="s">
        <v>940</v>
      </c>
      <c r="D200" t="s">
        <v>941</v>
      </c>
      <c r="E200" t="s">
        <v>148</v>
      </c>
      <c r="F200" t="str">
        <f>HYPERLINK("https://doi.org/Not Reported","doi.org")</f>
        <v>doi.org</v>
      </c>
      <c r="G200" t="str">
        <f>HYPERLINK("/pdf/2011_Towards_next-generation_intrusion_detection.pdf","open")</f>
        <v>open</v>
      </c>
      <c r="H200" t="s">
        <v>44</v>
      </c>
      <c r="I200" t="b">
        <v>1</v>
      </c>
      <c r="J200" t="s">
        <v>942</v>
      </c>
    </row>
    <row r="201" spans="1:10" x14ac:dyDescent="0.2">
      <c r="A201" t="s">
        <v>943</v>
      </c>
      <c r="B201" t="s">
        <v>944</v>
      </c>
      <c r="C201" t="s">
        <v>100</v>
      </c>
      <c r="D201" t="s">
        <v>945</v>
      </c>
      <c r="E201" t="s">
        <v>946</v>
      </c>
      <c r="F201" t="str">
        <f>HYPERLINK("https://doi.org/10.1109/TCE.2021.3129155","doi.org")</f>
        <v>doi.org</v>
      </c>
      <c r="G201" t="str">
        <f>HYPERLINK("/pdf/2022_10.1109_tce.2021.3129155_Fortified-NoC__A_Robust_Approach_for_Trojan-Resilient_Network-on-Chips_to_Fortify_Multicore-Based_Consumer_Ele.pdf","open")</f>
        <v>open</v>
      </c>
      <c r="H201" t="s">
        <v>44</v>
      </c>
      <c r="I201" t="b">
        <v>1</v>
      </c>
      <c r="J201" t="s">
        <v>947</v>
      </c>
    </row>
    <row r="202" spans="1:10" x14ac:dyDescent="0.2">
      <c r="A202" t="s">
        <v>948</v>
      </c>
      <c r="B202" t="s">
        <v>949</v>
      </c>
      <c r="C202" t="s">
        <v>363</v>
      </c>
      <c r="D202" t="s">
        <v>950</v>
      </c>
      <c r="E202" t="s">
        <v>951</v>
      </c>
      <c r="F202" t="str">
        <f>HYPERLINK("https://doi.org/10.1145/2897073.2897077","doi.org")</f>
        <v>doi.org</v>
      </c>
      <c r="G202" t="str">
        <f>HYPERLINK("/pdf/2016_10.1145_2897073.2897077_Cognitive_mobile_security.pdf","open")</f>
        <v>open</v>
      </c>
      <c r="H202" t="s">
        <v>15</v>
      </c>
      <c r="I202" t="b">
        <v>0</v>
      </c>
      <c r="J202" t="s">
        <v>952</v>
      </c>
    </row>
    <row r="203" spans="1:10" x14ac:dyDescent="0.2">
      <c r="A203" t="s">
        <v>953</v>
      </c>
      <c r="B203" t="s">
        <v>954</v>
      </c>
      <c r="C203" t="s">
        <v>19</v>
      </c>
      <c r="D203" t="s">
        <v>955</v>
      </c>
      <c r="E203" t="s">
        <v>956</v>
      </c>
      <c r="F203" t="str">
        <f>HYPERLINK("https://doi.org/10.1109/ICOA66896.2025.11236897","doi.org")</f>
        <v>doi.org</v>
      </c>
      <c r="G203" t="str">
        <f>HYPERLINK("/pdf/2025_10.1109_icoa66896.2025.11236897_Federated_Learning_for_Privacy-Preserving_Intrusion_Detection_in_IoT_using_Edge_and_Cloud_Infrastructure.pdf","open")</f>
        <v>open</v>
      </c>
      <c r="H203" t="s">
        <v>957</v>
      </c>
      <c r="I203" t="b">
        <v>1</v>
      </c>
      <c r="J203" t="s">
        <v>958</v>
      </c>
    </row>
    <row r="204" spans="1:10" x14ac:dyDescent="0.2">
      <c r="A204" t="s">
        <v>959</v>
      </c>
      <c r="B204" t="s">
        <v>960</v>
      </c>
      <c r="C204" t="s">
        <v>12</v>
      </c>
      <c r="D204" t="s">
        <v>961</v>
      </c>
      <c r="E204" t="s">
        <v>962</v>
      </c>
      <c r="F204" t="str">
        <f>HYPERLINK("https://doi.org/10.1109/QRS.2018.00029","doi.org")</f>
        <v>doi.org</v>
      </c>
      <c r="G204" t="str">
        <f>HYPERLINK("/pdf/2018_10.1109_qrs.2018.00029_Hypervisor-based_sensitive_data_leakage_detector.pdf","open")</f>
        <v>open</v>
      </c>
      <c r="H204" t="s">
        <v>44</v>
      </c>
      <c r="I204" t="b">
        <v>1</v>
      </c>
      <c r="J204" t="s">
        <v>963</v>
      </c>
    </row>
    <row r="205" spans="1:10" x14ac:dyDescent="0.2">
      <c r="A205" t="s">
        <v>964</v>
      </c>
      <c r="B205" t="s">
        <v>965</v>
      </c>
      <c r="C205" t="s">
        <v>100</v>
      </c>
      <c r="D205" t="s">
        <v>966</v>
      </c>
      <c r="E205" t="s">
        <v>148</v>
      </c>
      <c r="F205" t="str">
        <f>HYPERLINK("https://doi.org/Not Reported","doi.org")</f>
        <v>doi.org</v>
      </c>
      <c r="G205" t="str">
        <f>HYPERLINK("/pdf/2022_Data_Leakage_Detection_in_Cloud_Computing_Environment_Using_Classification_Based_on_Deep_Learning_Architecture.pdf","open")</f>
        <v>open</v>
      </c>
      <c r="H205" t="s">
        <v>44</v>
      </c>
      <c r="I205" t="b">
        <v>1</v>
      </c>
      <c r="J205" t="s">
        <v>967</v>
      </c>
    </row>
    <row r="206" spans="1:10" x14ac:dyDescent="0.2">
      <c r="A206" t="s">
        <v>968</v>
      </c>
      <c r="B206" t="s">
        <v>969</v>
      </c>
      <c r="C206" t="s">
        <v>25</v>
      </c>
      <c r="D206" t="s">
        <v>970</v>
      </c>
      <c r="E206" t="s">
        <v>971</v>
      </c>
      <c r="F206" t="str">
        <f>HYPERLINK("https://doi.org/10.1109/SMC53992.2023.10393972","doi.org")</f>
        <v>doi.org</v>
      </c>
      <c r="G206" t="str">
        <f>HYPERLINK("/pdf/2023_10.1109_smc53992.2023.10393972_A_New_Federated_Learning_Model_for_Host_Intrusion_Detection_System_Under_Non-IID_Data.pdf","open")</f>
        <v>open</v>
      </c>
      <c r="H206" t="s">
        <v>15</v>
      </c>
      <c r="I206" t="b">
        <v>0</v>
      </c>
      <c r="J206" t="s">
        <v>972</v>
      </c>
    </row>
    <row r="207" spans="1:10" x14ac:dyDescent="0.2">
      <c r="A207" t="s">
        <v>973</v>
      </c>
      <c r="B207" t="s">
        <v>974</v>
      </c>
      <c r="C207" t="s">
        <v>598</v>
      </c>
      <c r="D207" t="s">
        <v>975</v>
      </c>
      <c r="E207" t="s">
        <v>976</v>
      </c>
      <c r="F207" t="str">
        <f>HYPERLINK("https://doi.org/10.1109/EIDWT.2012.43","doi.org")</f>
        <v>doi.org</v>
      </c>
      <c r="G207" t="str">
        <f>HYPERLINK("/pdf/2012_10.1109_eidwt.2012.43_A_proposed_framework_for_the_active_detection_of_security_vulnerabilities_in_multi-tenancy_cloud_systems.pdf","open")</f>
        <v>open</v>
      </c>
      <c r="H207" t="s">
        <v>44</v>
      </c>
      <c r="I207" t="b">
        <v>1</v>
      </c>
      <c r="J207" t="s">
        <v>977</v>
      </c>
    </row>
    <row r="208" spans="1:10" x14ac:dyDescent="0.2">
      <c r="A208" t="s">
        <v>978</v>
      </c>
      <c r="B208" t="s">
        <v>979</v>
      </c>
      <c r="C208" t="s">
        <v>12</v>
      </c>
      <c r="D208" t="s">
        <v>404</v>
      </c>
      <c r="E208" t="s">
        <v>148</v>
      </c>
      <c r="F208" t="str">
        <f>HYPERLINK("https://doi.org/Not Reported","doi.org")</f>
        <v>doi.org</v>
      </c>
      <c r="G208" t="str">
        <f>HYPERLINK("/pdf/2021_10_1109_tcc_2019_2905605_a_game_theoretic_framework_for_the_virtual_machines_migration_timing_problem.pdf","open")</f>
        <v>open</v>
      </c>
      <c r="H208" t="s">
        <v>44</v>
      </c>
      <c r="I208" t="b">
        <v>1</v>
      </c>
      <c r="J208" t="s">
        <v>980</v>
      </c>
    </row>
    <row r="209" spans="1:10" x14ac:dyDescent="0.2">
      <c r="A209" t="s">
        <v>981</v>
      </c>
      <c r="B209" t="s">
        <v>982</v>
      </c>
      <c r="C209" t="s">
        <v>19</v>
      </c>
      <c r="D209" t="s">
        <v>983</v>
      </c>
      <c r="E209" t="s">
        <v>984</v>
      </c>
      <c r="F209" t="str">
        <f>HYPERLINK("https://doi.org/10.3390/jcp5040092","doi.org")</f>
        <v>doi.org</v>
      </c>
      <c r="G209" t="str">
        <f>HYPERLINK("/pdf/2025_10_3390_jcp5040092_hashing_in_the_fight_against_csam_technology_at_the_crossroads_of_law_and_ethics.pdf","open")</f>
        <v>open</v>
      </c>
      <c r="H209" t="s">
        <v>44</v>
      </c>
      <c r="I209" t="b">
        <v>1</v>
      </c>
      <c r="J209" t="s">
        <v>985</v>
      </c>
    </row>
    <row r="210" spans="1:10" x14ac:dyDescent="0.2">
      <c r="A210" t="s">
        <v>986</v>
      </c>
      <c r="B210" t="s">
        <v>319</v>
      </c>
      <c r="C210" t="s">
        <v>25</v>
      </c>
      <c r="D210" t="s">
        <v>320</v>
      </c>
      <c r="E210" t="s">
        <v>321</v>
      </c>
      <c r="F210" t="str">
        <f>HYPERLINK("https://doi.org/10.1007/s40747-021-00456-0","doi.org")</f>
        <v>doi.org</v>
      </c>
      <c r="G210" t="str">
        <f>HYPERLINK("/pdf/2023_10_1007_s40747_021_00456_0_deep_learning_framework_for_handling_concept_drift_and_class_imbalanced_complex.pdf","open")</f>
        <v>open</v>
      </c>
      <c r="H210" t="s">
        <v>15</v>
      </c>
      <c r="I210" t="b">
        <v>0</v>
      </c>
      <c r="J210" t="s">
        <v>987</v>
      </c>
    </row>
    <row r="211" spans="1:10" x14ac:dyDescent="0.2">
      <c r="A211" t="s">
        <v>988</v>
      </c>
      <c r="B211" t="s">
        <v>989</v>
      </c>
      <c r="C211" t="s">
        <v>60</v>
      </c>
      <c r="D211" t="s">
        <v>571</v>
      </c>
      <c r="E211" t="s">
        <v>990</v>
      </c>
      <c r="F211" t="str">
        <f>HYPERLINK("https://doi.org/10.1109/SCES61914.2024.10652285","doi.org")</f>
        <v>doi.org</v>
      </c>
      <c r="G211" t="str">
        <f>HYPERLINK("/pdf/2024_10.1109_sces61914.2024.10652285_Detecting_Deceptive_URLs__Exploring_Logistic_Regression_and_Decision_Tree_Models.pdf","open")</f>
        <v>open</v>
      </c>
      <c r="H211" t="s">
        <v>15</v>
      </c>
      <c r="I211" t="b">
        <v>1</v>
      </c>
      <c r="J211" t="s">
        <v>991</v>
      </c>
    </row>
    <row r="212" spans="1:10" x14ac:dyDescent="0.2">
      <c r="A212" t="s">
        <v>992</v>
      </c>
      <c r="B212" t="s">
        <v>993</v>
      </c>
      <c r="C212" t="s">
        <v>60</v>
      </c>
      <c r="D212" t="s">
        <v>647</v>
      </c>
      <c r="E212" t="s">
        <v>994</v>
      </c>
      <c r="F212" t="str">
        <f>HYPERLINK("https://doi.org/https://doi.org/10.1007/s11042-024-19916-z","doi.org")</f>
        <v>doi.org</v>
      </c>
      <c r="G212" t="str">
        <f>HYPERLINK("/pdf/2025_10.1007_s11042-024-19916-z_Towards_robust_and_efficient_intrusion_detection_in_IoMT__a_deep_learning_approach_addressing_data_leakage_and.pdf","open")</f>
        <v>open</v>
      </c>
      <c r="H212" t="s">
        <v>15</v>
      </c>
      <c r="I212" t="b">
        <v>0</v>
      </c>
      <c r="J212" t="s">
        <v>995</v>
      </c>
    </row>
    <row r="213" spans="1:10" x14ac:dyDescent="0.2">
      <c r="A213" t="s">
        <v>996</v>
      </c>
      <c r="B213" t="s">
        <v>603</v>
      </c>
      <c r="C213" t="s">
        <v>19</v>
      </c>
      <c r="D213" t="s">
        <v>604</v>
      </c>
      <c r="E213" t="s">
        <v>605</v>
      </c>
      <c r="F213" t="str">
        <f>HYPERLINK("https://doi.org/10.1007/s43926-025-00185-7","doi.org")</f>
        <v>doi.org</v>
      </c>
      <c r="G213" t="str">
        <f>HYPERLINK("/pdf/2025_10_1007_s43926_025_00185_7_a_feature_level_ensemble_machine_learning_approach_for_attack_detection_in_iot_n.pdf","open")</f>
        <v>open</v>
      </c>
      <c r="H213" t="s">
        <v>15</v>
      </c>
      <c r="I213" t="b">
        <v>0</v>
      </c>
      <c r="J213" t="s">
        <v>997</v>
      </c>
    </row>
    <row r="214" spans="1:10" x14ac:dyDescent="0.2">
      <c r="A214" t="s">
        <v>998</v>
      </c>
      <c r="B214" t="s">
        <v>999</v>
      </c>
      <c r="C214" t="s">
        <v>19</v>
      </c>
      <c r="D214" t="s">
        <v>493</v>
      </c>
      <c r="E214" t="s">
        <v>1000</v>
      </c>
      <c r="F214" t="str">
        <f>HYPERLINK("https://doi.org/https://doi.org/10.1038/s41598-025-89794-4","doi.org")</f>
        <v>doi.org</v>
      </c>
      <c r="G214" t="str">
        <f>HYPERLINK("/pdf/2025_10_1038_s41598_025_89794_4_revolutionary_hybrid_ensembled_deep_learning_model_for_accurate_and_robust_side.pdf","open")</f>
        <v>open</v>
      </c>
      <c r="H214" t="s">
        <v>44</v>
      </c>
      <c r="I214" t="b">
        <v>1</v>
      </c>
      <c r="J214" t="s">
        <v>1001</v>
      </c>
    </row>
    <row r="215" spans="1:10" x14ac:dyDescent="0.2">
      <c r="A215" t="s">
        <v>1002</v>
      </c>
      <c r="B215" t="s">
        <v>1003</v>
      </c>
      <c r="C215" t="s">
        <v>25</v>
      </c>
      <c r="D215" t="s">
        <v>1004</v>
      </c>
      <c r="E215" t="s">
        <v>1005</v>
      </c>
      <c r="F215" t="str">
        <f>HYPERLINK("https://doi.org/10.1109/TAES.2023.3306336","doi.org")</f>
        <v>doi.org</v>
      </c>
      <c r="G215" t="str">
        <f>HYPERLINK("/pdf/2023_10.1109_taes.2023.3306336_ADS-Bchain__A_Blockchain-Based_Trusted_Service_Scheme_for_Automatic_Dependent_Surveillance_Broadcast.pdf","open")</f>
        <v>open</v>
      </c>
      <c r="H215" t="s">
        <v>44</v>
      </c>
      <c r="I215" t="b">
        <v>1</v>
      </c>
      <c r="J215" t="s">
        <v>1006</v>
      </c>
    </row>
    <row r="216" spans="1:10" x14ac:dyDescent="0.2">
      <c r="A216" t="s">
        <v>1007</v>
      </c>
      <c r="B216" t="s">
        <v>1008</v>
      </c>
      <c r="C216" t="s">
        <v>19</v>
      </c>
      <c r="D216" t="s">
        <v>1009</v>
      </c>
      <c r="E216" t="s">
        <v>1007</v>
      </c>
      <c r="F216" t="str">
        <f>HYPERLINK("https://doi.org/10.1109/ICICCS65191.2025.10984995","doi.org")</f>
        <v>doi.org</v>
      </c>
      <c r="G216" t="str">
        <f>HYPERLINK("/pdf/2025_10.1109_iciccs65191.2025.10984995_SDN_based_Firewall_with_Real_Time_Policy_Updates.pdf","open")</f>
        <v>open</v>
      </c>
      <c r="H216" t="s">
        <v>590</v>
      </c>
      <c r="I216" t="b">
        <v>1</v>
      </c>
      <c r="J216" t="s">
        <v>1010</v>
      </c>
    </row>
    <row r="217" spans="1:10" x14ac:dyDescent="0.2">
      <c r="A217" t="s">
        <v>1011</v>
      </c>
      <c r="B217" t="s">
        <v>1012</v>
      </c>
      <c r="C217" t="s">
        <v>25</v>
      </c>
      <c r="D217" t="s">
        <v>1013</v>
      </c>
      <c r="E217" t="s">
        <v>1014</v>
      </c>
      <c r="F217" t="str">
        <f>HYPERLINK("https://doi.org/10.3390/app13031977","doi.org")</f>
        <v>doi.org</v>
      </c>
      <c r="G217" t="str">
        <f>HYPERLINK("/pdf/2023_10_3390_app13031977_ai_assisted_security_alert_data_analysis_with_imbalanced_learning_methods.pdf","open")</f>
        <v>open</v>
      </c>
      <c r="H217" t="s">
        <v>15</v>
      </c>
      <c r="I217" t="b">
        <v>0</v>
      </c>
      <c r="J217" t="s">
        <v>1015</v>
      </c>
    </row>
    <row r="218" spans="1:10" x14ac:dyDescent="0.2">
      <c r="A218" t="s">
        <v>1016</v>
      </c>
      <c r="B218" t="s">
        <v>1017</v>
      </c>
      <c r="C218" t="s">
        <v>215</v>
      </c>
      <c r="D218" t="s">
        <v>1018</v>
      </c>
      <c r="E218" t="s">
        <v>1019</v>
      </c>
      <c r="F218" t="str">
        <f>HYPERLINK("https://doi.org/10.1145/2656434.2656448","doi.org")</f>
        <v>doi.org</v>
      </c>
      <c r="G218" t="str">
        <f>HYPERLINK("/pdf/2014_10.1145_2656434.2656448_Analysis_of_mobile_malware_based_on_user_awareness.pdf","open")</f>
        <v>open</v>
      </c>
      <c r="H218" t="s">
        <v>44</v>
      </c>
      <c r="I218" t="b">
        <v>1</v>
      </c>
      <c r="J218" t="s">
        <v>1020</v>
      </c>
    </row>
    <row r="219" spans="1:10" x14ac:dyDescent="0.2">
      <c r="A219" t="s">
        <v>1021</v>
      </c>
      <c r="B219" t="s">
        <v>1022</v>
      </c>
      <c r="C219" t="s">
        <v>12</v>
      </c>
      <c r="D219" t="s">
        <v>1023</v>
      </c>
      <c r="E219" t="s">
        <v>1024</v>
      </c>
      <c r="F219" t="str">
        <f>HYPERLINK("https://doi.org/10.1109/NOMS.2018.8406122","doi.org")</f>
        <v>doi.org</v>
      </c>
      <c r="G219" t="str">
        <f>HYPERLINK("/pdf/2018_10_1109_noms_2018_8406122_synaptic_a_formal_checker_for_sdn_based_security_policies.pdf","open")</f>
        <v>open</v>
      </c>
      <c r="H219" t="s">
        <v>44</v>
      </c>
      <c r="I219" t="b">
        <v>1</v>
      </c>
      <c r="J219" t="s">
        <v>1025</v>
      </c>
    </row>
    <row r="220" spans="1:10" x14ac:dyDescent="0.2">
      <c r="A220" t="s">
        <v>1026</v>
      </c>
      <c r="B220" t="s">
        <v>1027</v>
      </c>
      <c r="C220" t="s">
        <v>136</v>
      </c>
      <c r="D220" t="s">
        <v>1028</v>
      </c>
      <c r="E220" t="s">
        <v>148</v>
      </c>
      <c r="F220" t="str">
        <f>HYPERLINK("https://doi.org/Not Reported","doi.org")</f>
        <v>doi.org</v>
      </c>
      <c r="G220" t="str">
        <f>HYPERLINK("/pdf/2019_Automated_factorization_of_security_chains_in_software-defined_networks.pdf","open")</f>
        <v>open</v>
      </c>
      <c r="H220" t="s">
        <v>44</v>
      </c>
      <c r="I220" t="b">
        <v>1</v>
      </c>
      <c r="J220" t="s">
        <v>1029</v>
      </c>
    </row>
    <row r="221" spans="1:10" x14ac:dyDescent="0.2">
      <c r="A221" t="s">
        <v>1030</v>
      </c>
      <c r="B221" t="s">
        <v>1031</v>
      </c>
      <c r="C221" t="s">
        <v>100</v>
      </c>
      <c r="D221" t="s">
        <v>404</v>
      </c>
      <c r="E221" t="s">
        <v>148</v>
      </c>
      <c r="F221" t="str">
        <f>HYPERLINK("https://doi.org/Not Reported","doi.org")</f>
        <v>doi.org</v>
      </c>
      <c r="G221" t="str">
        <f>HYPERLINK("/pdf/2023_10_1109_icc45041_2023_10278951_a_lightweight_moving_target_defense_framework_for_multi_purpose_malware_affecting_iot_devi.pdf","open")</f>
        <v>open</v>
      </c>
      <c r="H221" t="s">
        <v>15</v>
      </c>
      <c r="I221" t="b">
        <v>0</v>
      </c>
      <c r="J221" t="s">
        <v>1032</v>
      </c>
    </row>
    <row r="222" spans="1:10" x14ac:dyDescent="0.2">
      <c r="A222" t="s">
        <v>1033</v>
      </c>
      <c r="B222" t="s">
        <v>1034</v>
      </c>
      <c r="C222" t="s">
        <v>100</v>
      </c>
      <c r="D222" t="s">
        <v>1035</v>
      </c>
      <c r="E222" t="s">
        <v>1036</v>
      </c>
      <c r="F222" t="str">
        <f>HYPERLINK("https://doi.org/10.1016/j.knosys.2022.109557","doi.org")</f>
        <v>doi.org</v>
      </c>
      <c r="G222" t="str">
        <f>HYPERLINK("/pdf/2022_10.1016_j.knosys.2022.109557_A_FKPCA-GWO_WDBiLSTM_classifier_for_intrusion_detection_system_in_cloud_environments.pdf","open")</f>
        <v>open</v>
      </c>
      <c r="H222" t="s">
        <v>15</v>
      </c>
      <c r="I222" t="b">
        <v>0</v>
      </c>
      <c r="J222" t="s">
        <v>1037</v>
      </c>
    </row>
    <row r="223" spans="1:10" x14ac:dyDescent="0.2">
      <c r="A223" t="s">
        <v>1038</v>
      </c>
      <c r="B223" t="s">
        <v>1039</v>
      </c>
      <c r="C223" t="s">
        <v>268</v>
      </c>
      <c r="D223" t="s">
        <v>1040</v>
      </c>
      <c r="E223" t="s">
        <v>148</v>
      </c>
      <c r="F223" t="str">
        <f>HYPERLINK("https://doi.org/Not Reported","doi.org")</f>
        <v>doi.org</v>
      </c>
      <c r="G223" t="str">
        <f>HYPERLINK("/pdf/2010_10.1109_glocom.2010.5683165_Skip_finite_automaton__A_content_scanning_engine_to_secure_enterprise_networks.pdf","open")</f>
        <v>open</v>
      </c>
      <c r="H223" t="s">
        <v>44</v>
      </c>
      <c r="I223" t="b">
        <v>1</v>
      </c>
      <c r="J223" t="s">
        <v>1041</v>
      </c>
    </row>
    <row r="224" spans="1:10" x14ac:dyDescent="0.2">
      <c r="A224" t="s">
        <v>1042</v>
      </c>
      <c r="B224" t="s">
        <v>1043</v>
      </c>
      <c r="C224" t="s">
        <v>210</v>
      </c>
      <c r="D224" t="s">
        <v>1044</v>
      </c>
      <c r="E224" t="s">
        <v>148</v>
      </c>
      <c r="F224" t="str">
        <f>HYPERLINK("https://doi.org/Not Reported","doi.org")</f>
        <v>doi.org</v>
      </c>
      <c r="G224" t="str">
        <f>HYPERLINK("/pdf/2016_10.1007_978-981-10-0557-2_68_Android_security_analysis_based_on_inter-application_relationships.pdf","open")</f>
        <v>open</v>
      </c>
      <c r="H224" t="s">
        <v>44</v>
      </c>
      <c r="I224" t="b">
        <v>1</v>
      </c>
      <c r="J224" t="s">
        <v>1045</v>
      </c>
    </row>
    <row r="225" spans="1:10" x14ac:dyDescent="0.2">
      <c r="A225" t="s">
        <v>1046</v>
      </c>
      <c r="B225" t="s">
        <v>1047</v>
      </c>
      <c r="C225" t="s">
        <v>25</v>
      </c>
      <c r="D225" t="s">
        <v>1048</v>
      </c>
      <c r="E225" t="s">
        <v>148</v>
      </c>
      <c r="F225" t="str">
        <f>HYPERLINK("https://doi.org/Not Reported","doi.org")</f>
        <v>doi.org</v>
      </c>
      <c r="G225" t="str">
        <f>HYPERLINK("/pdf/2023_10_1109_lanman58293_2023_10189424_federated_learning_based_vehicle_trajectory_prediction_against_cyberattacks.pdf","open")</f>
        <v>open</v>
      </c>
      <c r="H225" t="s">
        <v>44</v>
      </c>
      <c r="I225" t="b">
        <v>1</v>
      </c>
      <c r="J225" t="s">
        <v>1049</v>
      </c>
    </row>
    <row r="226" spans="1:10" x14ac:dyDescent="0.2">
      <c r="B226" t="s">
        <v>1050</v>
      </c>
      <c r="C226" t="s">
        <v>100</v>
      </c>
      <c r="D226" t="s">
        <v>1051</v>
      </c>
      <c r="E226" t="s">
        <v>1052</v>
      </c>
      <c r="F226" t="str">
        <f>HYPERLINK("https://doi.org/10.1109/ICCCI55554.2022.9850265","doi.org")</f>
        <v>doi.org</v>
      </c>
      <c r="G226" t="str">
        <f>HYPERLINK("/pdf/2022_10.1109_iccci55554.2022.9850265_Analyzing_SocialArks_Data_Leak_-_A_Brute_Force_Web_Login_Attack.pdf","open")</f>
        <v>open</v>
      </c>
      <c r="H226" t="s">
        <v>15</v>
      </c>
      <c r="I226" t="b">
        <v>0</v>
      </c>
      <c r="J226" t="s">
        <v>1053</v>
      </c>
    </row>
    <row r="227" spans="1:10" x14ac:dyDescent="0.2">
      <c r="A227" t="s">
        <v>1054</v>
      </c>
      <c r="B227" t="s">
        <v>1055</v>
      </c>
      <c r="C227" t="s">
        <v>148</v>
      </c>
      <c r="D227" t="s">
        <v>148</v>
      </c>
      <c r="E227" t="s">
        <v>148</v>
      </c>
      <c r="F227" t="str">
        <f>HYPERLINK("https://doi.org/Not Reported","doi.org")</f>
        <v>doi.org</v>
      </c>
      <c r="G227" t="str">
        <f>HYPERLINK("/pdf/2021_10.1049_icp.2021.2407_Management_Challenges_in_the_Implementation_of_an_Email_Boundary_Control_for_Data_Leakage_Prevention.pdf","open")</f>
        <v>open</v>
      </c>
      <c r="H227" t="s">
        <v>44</v>
      </c>
      <c r="I227" t="b">
        <v>1</v>
      </c>
      <c r="J227" t="s">
        <v>1056</v>
      </c>
    </row>
    <row r="228" spans="1:10" x14ac:dyDescent="0.2">
      <c r="A228" t="s">
        <v>1057</v>
      </c>
      <c r="B228" t="s">
        <v>1058</v>
      </c>
      <c r="C228" t="s">
        <v>19</v>
      </c>
      <c r="D228" t="s">
        <v>1059</v>
      </c>
      <c r="E228" t="s">
        <v>1060</v>
      </c>
      <c r="F228" t="str">
        <f>HYPERLINK("https://doi.org/10.1016/j.eij.2025.100684","doi.org")</f>
        <v>doi.org</v>
      </c>
      <c r="G228" t="str">
        <f>HYPERLINK("/pdf/2025_10.1016_j.eij.2025.100684_Towards_lightweight_model_using_non-local-based_graph_convolution_neural_network_for_SQL_injection_detection.pdf","open")</f>
        <v>open</v>
      </c>
      <c r="H228" t="s">
        <v>15</v>
      </c>
      <c r="I228" t="b">
        <v>0</v>
      </c>
      <c r="J228" t="s">
        <v>1061</v>
      </c>
    </row>
    <row r="229" spans="1:10" x14ac:dyDescent="0.2">
      <c r="A229" t="s">
        <v>1062</v>
      </c>
      <c r="B229" t="s">
        <v>1063</v>
      </c>
      <c r="C229" t="s">
        <v>54</v>
      </c>
      <c r="D229" t="s">
        <v>1064</v>
      </c>
      <c r="E229" t="s">
        <v>1065</v>
      </c>
      <c r="F229" t="str">
        <f>HYPERLINK("https://doi.org/10.1109/BigDIA51454.2020.00035","doi.org")</f>
        <v>doi.org</v>
      </c>
      <c r="G229" t="str">
        <f>HYPERLINK("/pdf/2020_10.1109_bigdia51454.2020.00035_Analyzing_network_traffic_for_protocol_identification__An_ensemble_online_active_learning_method.pdf","open")</f>
        <v>open</v>
      </c>
      <c r="H229" t="s">
        <v>44</v>
      </c>
      <c r="I229" t="b">
        <v>1</v>
      </c>
      <c r="J229" t="s">
        <v>1066</v>
      </c>
    </row>
    <row r="230" spans="1:10" x14ac:dyDescent="0.2">
      <c r="A230" t="s">
        <v>1067</v>
      </c>
      <c r="B230" t="s">
        <v>1068</v>
      </c>
      <c r="C230" t="s">
        <v>363</v>
      </c>
      <c r="D230" t="s">
        <v>1069</v>
      </c>
      <c r="E230" t="s">
        <v>1070</v>
      </c>
      <c r="F230" t="str">
        <f>HYPERLINK("https://doi.org/10.1145/2995959.2995967","doi.org")</f>
        <v>doi.org</v>
      </c>
      <c r="G230" t="str">
        <f>HYPERLINK("/pdf/2016_10.1145_2995959.2995967_Pragmatic_security__Modelling_it_security_management_responsibilities_for_SME_archetypes.pdf","open")</f>
        <v>open</v>
      </c>
      <c r="H230" t="s">
        <v>15</v>
      </c>
      <c r="I230" t="b">
        <v>1</v>
      </c>
      <c r="J230" t="s">
        <v>1071</v>
      </c>
    </row>
    <row r="231" spans="1:10" x14ac:dyDescent="0.2">
      <c r="A231" t="s">
        <v>538</v>
      </c>
      <c r="B231" t="s">
        <v>536</v>
      </c>
      <c r="C231" t="s">
        <v>25</v>
      </c>
      <c r="D231" t="s">
        <v>537</v>
      </c>
      <c r="E231" t="s">
        <v>538</v>
      </c>
      <c r="F231" t="str">
        <f>HYPERLINK("https://doi.org/10.32604/cmes.2023.044169","doi.org")</f>
        <v>doi.org</v>
      </c>
      <c r="G231" t="str">
        <f>HYPERLINK("/pdf/2023_10_32604_cmes_2023_044169_enhancing_healthcare_data_security_and_disease_detection_using_crossover_based_multilayer.pdf","open")</f>
        <v>open</v>
      </c>
      <c r="H231" t="s">
        <v>15</v>
      </c>
      <c r="I231" t="b">
        <v>0</v>
      </c>
      <c r="J231" t="s">
        <v>1072</v>
      </c>
    </row>
    <row r="232" spans="1:10" x14ac:dyDescent="0.2">
      <c r="A232" t="s">
        <v>1073</v>
      </c>
      <c r="B232" t="s">
        <v>1074</v>
      </c>
      <c r="C232" t="s">
        <v>210</v>
      </c>
      <c r="D232" t="s">
        <v>1075</v>
      </c>
      <c r="E232" t="s">
        <v>148</v>
      </c>
      <c r="F232" t="str">
        <f>HYPERLINK("https://doi.org/Not Reported","doi.org")</f>
        <v>doi.org</v>
      </c>
      <c r="G232" t="str">
        <f>HYPERLINK("/pdf/2015_10.1109_icscn.2015.7219827_Complex_Event_Processing_based_Hybrid_Intrusion_Detection_System.pdf","open")</f>
        <v>open</v>
      </c>
      <c r="H232" t="s">
        <v>15</v>
      </c>
      <c r="I232" t="b">
        <v>0</v>
      </c>
      <c r="J232" t="s">
        <v>1076</v>
      </c>
    </row>
    <row r="233" spans="1:10" x14ac:dyDescent="0.2">
      <c r="A233" t="s">
        <v>1077</v>
      </c>
      <c r="B233" t="s">
        <v>1078</v>
      </c>
      <c r="C233" t="s">
        <v>190</v>
      </c>
      <c r="D233" t="s">
        <v>1079</v>
      </c>
      <c r="E233" t="s">
        <v>1080</v>
      </c>
      <c r="F233" t="str">
        <f>HYPERLINK("https://doi.org/10.1007/s11277-017-4229-9","doi.org")</f>
        <v>doi.org</v>
      </c>
      <c r="G233" t="str">
        <f>HYPERLINK("/pdf/2017_10.1007_s11277-017-4229-9_The_Vulnerability_Exploitation_Conveying_Digital_Data_Over_Mobile_Voice_Call_Channels.pdf","open")</f>
        <v>open</v>
      </c>
      <c r="H233" t="s">
        <v>44</v>
      </c>
      <c r="I233" t="b">
        <v>1</v>
      </c>
      <c r="J233" t="s">
        <v>1081</v>
      </c>
    </row>
    <row r="234" spans="1:10" x14ac:dyDescent="0.2">
      <c r="A234" t="s">
        <v>1082</v>
      </c>
      <c r="B234" t="s">
        <v>1083</v>
      </c>
      <c r="C234" t="s">
        <v>25</v>
      </c>
      <c r="D234" t="s">
        <v>1084</v>
      </c>
      <c r="E234" t="s">
        <v>1085</v>
      </c>
      <c r="F234" t="str">
        <f>HYPERLINK("https://doi.org/10.1109/COMSCI59259.2023.10315901","doi.org")</f>
        <v>doi.org</v>
      </c>
      <c r="G234" t="str">
        <f>HYPERLINK("/pdf/2023_10.1109_comsci59259.2023.10315901_Zero-Trust_in_Instant_Messaging.pdf","open")</f>
        <v>open</v>
      </c>
      <c r="H234" t="s">
        <v>15</v>
      </c>
      <c r="I234" t="b">
        <v>0</v>
      </c>
      <c r="J234" t="s">
        <v>1086</v>
      </c>
    </row>
    <row r="235" spans="1:10" x14ac:dyDescent="0.2">
      <c r="A235" t="s">
        <v>1087</v>
      </c>
      <c r="B235" t="s">
        <v>1088</v>
      </c>
      <c r="C235" t="s">
        <v>19</v>
      </c>
      <c r="D235" t="s">
        <v>1089</v>
      </c>
      <c r="E235" t="s">
        <v>1087</v>
      </c>
      <c r="F235" t="str">
        <f>HYPERLINK("https://doi.org/10.11591/ijai.v14.i6.pp4913-4922","doi.org")</f>
        <v>doi.org</v>
      </c>
      <c r="G235" t="str">
        <f>HYPERLINK("/pdf/2025_10_11591_ijai_v14_i6_pp4913_4922_comparative_evaluation_of_machine_learning_models_for_intrusion_detection_in_wsns_using_th.pdf","open")</f>
        <v>open</v>
      </c>
      <c r="H235" t="s">
        <v>15</v>
      </c>
      <c r="I235" t="b">
        <v>0</v>
      </c>
      <c r="J235" t="s">
        <v>1090</v>
      </c>
    </row>
    <row r="236" spans="1:10" x14ac:dyDescent="0.2">
      <c r="A236" t="s">
        <v>1091</v>
      </c>
      <c r="B236" t="s">
        <v>1092</v>
      </c>
      <c r="C236" t="s">
        <v>60</v>
      </c>
      <c r="D236" t="s">
        <v>1093</v>
      </c>
      <c r="E236" t="s">
        <v>1094</v>
      </c>
      <c r="F236" t="str">
        <f>HYPERLINK("https://doi.org/10.1108/ICS-03-2024-0059","doi.org")</f>
        <v>doi.org</v>
      </c>
      <c r="G236" t="str">
        <f>HYPERLINK("/pdf/2025_10.1108_ics-03-2024-0059_Data_breach_announcements__evaluating_the_content_and_timing_of_breach_announcements_and_their_effect_on_firm_.pdf","open")</f>
        <v>open</v>
      </c>
      <c r="H236" t="s">
        <v>44</v>
      </c>
      <c r="I236" t="b">
        <v>1</v>
      </c>
      <c r="J236" t="s">
        <v>1095</v>
      </c>
    </row>
    <row r="237" spans="1:10" x14ac:dyDescent="0.2">
      <c r="A237" t="s">
        <v>1096</v>
      </c>
      <c r="B237" t="s">
        <v>1097</v>
      </c>
      <c r="C237" t="s">
        <v>48</v>
      </c>
      <c r="D237" t="s">
        <v>1098</v>
      </c>
      <c r="E237" t="s">
        <v>1099</v>
      </c>
      <c r="F237" t="str">
        <f>HYPERLINK("https://doi.org/10.1007/s12243-026-01154-z","doi.org")</f>
        <v>doi.org</v>
      </c>
      <c r="G237" t="str">
        <f>HYPERLINK("/pdf/2026_10.1007_s12243-026-01154-z_Intrusion_detection_in_CAN_protocol_using_novel_spatial-temporal_deep_learning_model_for_secure_autonomous_veh.pdf","open")</f>
        <v>open</v>
      </c>
      <c r="H237" t="s">
        <v>15</v>
      </c>
      <c r="I237" t="b">
        <v>0</v>
      </c>
      <c r="J237" t="s">
        <v>1100</v>
      </c>
    </row>
    <row r="238" spans="1:10" x14ac:dyDescent="0.2">
      <c r="A238" t="s">
        <v>1101</v>
      </c>
      <c r="B238" t="s">
        <v>1102</v>
      </c>
      <c r="C238" t="s">
        <v>12</v>
      </c>
      <c r="D238" t="s">
        <v>1103</v>
      </c>
      <c r="E238" t="s">
        <v>148</v>
      </c>
      <c r="F238" t="str">
        <f>HYPERLINK("https://doi.org/Not Reported","doi.org")</f>
        <v>doi.org</v>
      </c>
      <c r="G238" t="str">
        <f>HYPERLINK("/pdf/2018_Propagation_misclassified_instances_to_handle_nonstationary_imbalanced_data_stream.pdf","open")</f>
        <v>open</v>
      </c>
      <c r="H238" t="s">
        <v>15</v>
      </c>
      <c r="I238" t="b">
        <v>0</v>
      </c>
      <c r="J238" t="s">
        <v>1104</v>
      </c>
    </row>
    <row r="239" spans="1:10" x14ac:dyDescent="0.2">
      <c r="A239" t="s">
        <v>1105</v>
      </c>
      <c r="B239" t="s">
        <v>1106</v>
      </c>
      <c r="C239" t="s">
        <v>363</v>
      </c>
      <c r="D239" t="s">
        <v>729</v>
      </c>
      <c r="E239" t="s">
        <v>148</v>
      </c>
      <c r="F239" t="str">
        <f>HYPERLINK("https://doi.org/Not Reported","doi.org")</f>
        <v>doi.org</v>
      </c>
      <c r="G239" t="str">
        <f>HYPERLINK("/pdf/2016_10.1109_uemcon.2016.7777821_A_hybrid_analysis_for_mobile_security_threat_detection.pdf","open")</f>
        <v>open</v>
      </c>
      <c r="H239" t="s">
        <v>44</v>
      </c>
      <c r="I239" t="b">
        <v>1</v>
      </c>
      <c r="J239" t="s">
        <v>1107</v>
      </c>
    </row>
    <row r="240" spans="1:10" x14ac:dyDescent="0.2">
      <c r="A240" t="s">
        <v>1108</v>
      </c>
      <c r="B240" t="s">
        <v>1109</v>
      </c>
      <c r="C240" t="s">
        <v>190</v>
      </c>
      <c r="D240" t="s">
        <v>1110</v>
      </c>
      <c r="E240" t="s">
        <v>1108</v>
      </c>
      <c r="F240" t="str">
        <f>HYPERLINK("https://doi.org/10.1155/2017/7397812","doi.org")</f>
        <v>doi.org</v>
      </c>
      <c r="G240" t="str">
        <f>HYPERLINK("/pdf/2017_10.1155_2017_7397812_Selecting_Critical_Data_Flows_in_Android_Applications_for_Abnormal_Behavior_Detection.pdf","open")</f>
        <v>open</v>
      </c>
      <c r="H240" t="s">
        <v>15</v>
      </c>
      <c r="I240" t="b">
        <v>0</v>
      </c>
      <c r="J240" t="s">
        <v>1111</v>
      </c>
    </row>
    <row r="241" spans="1:10" x14ac:dyDescent="0.2">
      <c r="A241" t="s">
        <v>1112</v>
      </c>
      <c r="B241" t="s">
        <v>1113</v>
      </c>
      <c r="C241" t="s">
        <v>100</v>
      </c>
      <c r="D241" t="s">
        <v>1114</v>
      </c>
      <c r="E241" t="s">
        <v>1115</v>
      </c>
      <c r="F241" t="str">
        <f>HYPERLINK("https://doi.org/10.1109/ICCWAMTIP56608.2022.10016605","doi.org")</f>
        <v>doi.org</v>
      </c>
      <c r="G241" t="str">
        <f>HYPERLINK("/pdf/2022_10.1109_iccwamtip56608.2022.10016605_A_Novel_and_Efficient_Sequential_Learning-Based_Malware_Classification_Model.pdf","open")</f>
        <v>open</v>
      </c>
      <c r="H241" t="s">
        <v>15</v>
      </c>
      <c r="I241" t="b">
        <v>0</v>
      </c>
      <c r="J241" t="s">
        <v>1116</v>
      </c>
    </row>
    <row r="242" spans="1:10" x14ac:dyDescent="0.2">
      <c r="A242" t="s">
        <v>1117</v>
      </c>
      <c r="B242" t="s">
        <v>1118</v>
      </c>
      <c r="C242" t="s">
        <v>48</v>
      </c>
      <c r="D242" t="s">
        <v>1119</v>
      </c>
      <c r="E242" t="s">
        <v>1120</v>
      </c>
      <c r="F242" t="str">
        <f>HYPERLINK("https://doi.org/https://doi.org/10.30598/barekengvol20iss2pp1675-1692","doi.org")</f>
        <v>doi.org</v>
      </c>
      <c r="G242" t="str">
        <f>HYPERLINK("/pdf/2026_10_30598_barekengvol20iss2pp1675_1692_a_comparative_study_of_pipeline_validated_machine_learning_classifiers_for_permission_base.pdf","open")</f>
        <v>open</v>
      </c>
      <c r="H242" t="s">
        <v>15</v>
      </c>
      <c r="I242" t="b">
        <v>0</v>
      </c>
      <c r="J242" t="s">
        <v>1121</v>
      </c>
    </row>
    <row r="243" spans="1:10" x14ac:dyDescent="0.2">
      <c r="A243" t="s">
        <v>1122</v>
      </c>
      <c r="B243" t="s">
        <v>1123</v>
      </c>
      <c r="C243" t="s">
        <v>19</v>
      </c>
      <c r="D243" t="s">
        <v>1124</v>
      </c>
      <c r="E243" t="s">
        <v>148</v>
      </c>
      <c r="F243" t="str">
        <f>HYPERLINK("https://doi.org/Not Reported","doi.org")</f>
        <v>doi.org</v>
      </c>
      <c r="G243" t="str">
        <f>HYPERLINK("/pdf/2025_10_34190_eccws_24_1_3542_cybersecurity_challenges_and_mitigations_for_llms_in_dod_applications.pdf","open")</f>
        <v>open</v>
      </c>
      <c r="H243" t="s">
        <v>44</v>
      </c>
      <c r="I243" t="b">
        <v>1</v>
      </c>
      <c r="J243" t="s">
        <v>1125</v>
      </c>
    </row>
    <row r="244" spans="1:10" x14ac:dyDescent="0.2">
      <c r="A244" t="s">
        <v>1126</v>
      </c>
      <c r="B244" t="s">
        <v>1127</v>
      </c>
      <c r="C244" t="s">
        <v>25</v>
      </c>
      <c r="D244" t="s">
        <v>404</v>
      </c>
      <c r="E244" t="s">
        <v>1128</v>
      </c>
      <c r="F244" t="str">
        <f>HYPERLINK("https://doi.org/10.48550/arXiv.2310.05956","doi.org")</f>
        <v>doi.org</v>
      </c>
      <c r="G244" t="str">
        <f>HYPERLINK("/pdf/2023_10_1007_978_3_031_33488_7_20_efficient_network_representation_for_gnn_based_intrusion_detection.pdf","open")</f>
        <v>open</v>
      </c>
      <c r="H244" t="s">
        <v>15</v>
      </c>
      <c r="I244" t="b">
        <v>0</v>
      </c>
      <c r="J244" t="s">
        <v>1129</v>
      </c>
    </row>
    <row r="245" spans="1:10" x14ac:dyDescent="0.2">
      <c r="A245" t="s">
        <v>1130</v>
      </c>
      <c r="B245" t="s">
        <v>710</v>
      </c>
      <c r="C245" t="s">
        <v>19</v>
      </c>
      <c r="D245" t="s">
        <v>493</v>
      </c>
      <c r="E245" t="s">
        <v>711</v>
      </c>
      <c r="F245" t="str">
        <f>HYPERLINK("https://doi.org/10.1038/s41598-025-17799-0","doi.org")</f>
        <v>doi.org</v>
      </c>
      <c r="G245" t="str">
        <f>HYPERLINK("/pdf/2025_10_1038_s41598_025_17799_0_multi_resolution_transfer_learning_for_tampered_image_classification_using_se_enhanced_fus.pdf","open")</f>
        <v>open</v>
      </c>
      <c r="H245" t="s">
        <v>15</v>
      </c>
      <c r="I245" t="b">
        <v>0</v>
      </c>
      <c r="J245" t="s">
        <v>1131</v>
      </c>
    </row>
    <row r="246" spans="1:10" x14ac:dyDescent="0.2">
      <c r="A246" t="s">
        <v>1132</v>
      </c>
      <c r="B246" t="s">
        <v>1133</v>
      </c>
      <c r="C246" t="s">
        <v>363</v>
      </c>
      <c r="D246" t="s">
        <v>1134</v>
      </c>
      <c r="E246" t="s">
        <v>1135</v>
      </c>
      <c r="F246" t="str">
        <f>HYPERLINK("https://doi.org/10.1016/j.infsof.2016.03.004","doi.org")</f>
        <v>doi.org</v>
      </c>
      <c r="G246" t="str">
        <f>HYPERLINK("/pdf/2016_10.1016_j.infsof.2016.03.004_Effective_detection_of_android_malware_based_on_the_usage_of_data_flow_APIs_and_machine_learning.pdf","open")</f>
        <v>open</v>
      </c>
      <c r="H246" t="s">
        <v>15</v>
      </c>
      <c r="I246" t="b">
        <v>0</v>
      </c>
      <c r="J246" t="s">
        <v>1136</v>
      </c>
    </row>
    <row r="247" spans="1:10" x14ac:dyDescent="0.2">
      <c r="A247" t="s">
        <v>1137</v>
      </c>
      <c r="B247" t="s">
        <v>1138</v>
      </c>
      <c r="C247" t="s">
        <v>25</v>
      </c>
      <c r="D247" t="s">
        <v>1139</v>
      </c>
      <c r="E247" t="s">
        <v>1140</v>
      </c>
      <c r="F247" t="str">
        <f>HYPERLINK("https://doi.org/10.1109/ICEEI59426.2023.10346644","doi.org")</f>
        <v>doi.org</v>
      </c>
      <c r="G247" t="str">
        <f>HYPERLINK("/pdf/2023_10.1109_iceei59426.2023.10346644_Managing_Security_Hazards_in_BYOD__A_Comparative_Analysis_of_Artificial_Intelligent_Techniques.pdf","open")</f>
        <v>open</v>
      </c>
      <c r="H247" t="s">
        <v>15</v>
      </c>
      <c r="I247" t="b">
        <v>0</v>
      </c>
      <c r="J247" t="s">
        <v>1141</v>
      </c>
    </row>
    <row r="248" spans="1:10" x14ac:dyDescent="0.2">
      <c r="A248" t="s">
        <v>1142</v>
      </c>
      <c r="B248" t="s">
        <v>1143</v>
      </c>
      <c r="C248" t="s">
        <v>25</v>
      </c>
      <c r="D248" t="s">
        <v>1144</v>
      </c>
      <c r="E248" t="s">
        <v>1142</v>
      </c>
      <c r="F248" t="str">
        <f>HYPERLINK("https://doi.org/10.1145/3577923.3583650","doi.org")</f>
        <v>doi.org</v>
      </c>
      <c r="G248" t="str">
        <f>HYPERLINK("/pdf/2023_10.1145_3577923.3583650_Infotainment_System_Matters__Understanding_the_Impact_and_Implications_of_In-Vehicle_Infotainment_System_Hacki.pdf","open")</f>
        <v>open</v>
      </c>
      <c r="H248" t="s">
        <v>15</v>
      </c>
      <c r="I248" t="b">
        <v>0</v>
      </c>
      <c r="J248" t="s">
        <v>1145</v>
      </c>
    </row>
    <row r="249" spans="1:10" x14ac:dyDescent="0.2">
      <c r="A249" t="s">
        <v>1146</v>
      </c>
      <c r="B249" t="s">
        <v>1147</v>
      </c>
      <c r="C249" t="s">
        <v>60</v>
      </c>
      <c r="D249" t="s">
        <v>1148</v>
      </c>
      <c r="E249" t="s">
        <v>1149</v>
      </c>
      <c r="F249" t="str">
        <f>HYPERLINK("https://doi.org/10.3390/virtualworlds4010001","doi.org")</f>
        <v>doi.org</v>
      </c>
      <c r="G249" t="str">
        <f>HYPERLINK("/pdf/2025_10_3390_virtualworlds4010001_cybersecurity_and_privacy_challenges_in_extended_reality_threats_solutions_and_risk_mit.pdf","open")</f>
        <v>open</v>
      </c>
      <c r="H249" t="s">
        <v>44</v>
      </c>
      <c r="I249" t="b">
        <v>1</v>
      </c>
      <c r="J249" t="s">
        <v>1150</v>
      </c>
    </row>
    <row r="250" spans="1:10" x14ac:dyDescent="0.2">
      <c r="A250" t="s">
        <v>1151</v>
      </c>
      <c r="B250" t="s">
        <v>1152</v>
      </c>
      <c r="C250" t="s">
        <v>60</v>
      </c>
      <c r="D250" t="s">
        <v>1153</v>
      </c>
      <c r="E250" t="s">
        <v>1154</v>
      </c>
      <c r="F250" t="str">
        <f>HYPERLINK("https://doi.org/10.1109/DICCT61038.2024.10532908","doi.org")</f>
        <v>doi.org</v>
      </c>
      <c r="G250" t="str">
        <f>HYPERLINK("/pdf/2024_10.1109_dicct61038.2024.10532908_Malware_Detection_Using_Control_Flow_Graphs.pdf","open")</f>
        <v>open</v>
      </c>
      <c r="H250" t="s">
        <v>15</v>
      </c>
      <c r="I250" t="b">
        <v>1</v>
      </c>
      <c r="J250" t="s">
        <v>1155</v>
      </c>
    </row>
    <row r="251" spans="1:10" x14ac:dyDescent="0.2">
      <c r="A251" t="s">
        <v>1156</v>
      </c>
      <c r="B251" t="s">
        <v>1157</v>
      </c>
      <c r="C251" t="s">
        <v>54</v>
      </c>
      <c r="D251" t="s">
        <v>1158</v>
      </c>
      <c r="E251" t="s">
        <v>1159</v>
      </c>
      <c r="F251" t="str">
        <f>HYPERLINK("https://doi.org/978-1-7281-5127-4/20","doi.org")</f>
        <v>doi.org</v>
      </c>
      <c r="G251" t="str">
        <f>HYPERLINK("/pdf/2020_10.1109_icin48450.2020.9059472_Cache-Property-Aware_Features_for_DNS_Tunneling_Detection.pdf","open")</f>
        <v>open</v>
      </c>
      <c r="H251" t="s">
        <v>44</v>
      </c>
      <c r="I251" t="b">
        <v>1</v>
      </c>
      <c r="J251" t="s">
        <v>1160</v>
      </c>
    </row>
    <row r="252" spans="1:10" x14ac:dyDescent="0.2">
      <c r="A252" t="s">
        <v>1161</v>
      </c>
      <c r="B252" t="s">
        <v>1162</v>
      </c>
      <c r="C252" t="s">
        <v>60</v>
      </c>
      <c r="D252" t="s">
        <v>1163</v>
      </c>
      <c r="E252" t="s">
        <v>1164</v>
      </c>
      <c r="F252" t="str">
        <f>HYPERLINK("https://doi.org/10.1145/3649403.3656483","doi.org")</f>
        <v>doi.org</v>
      </c>
      <c r="G252" t="str">
        <f>HYPERLINK("/pdf/2024_10.1145_3649403.3656483_A_Privacy_Preserving_Context_Sensitive_Kernel.pdf","open")</f>
        <v>open</v>
      </c>
      <c r="H252" t="s">
        <v>15</v>
      </c>
      <c r="I252" t="b">
        <v>1</v>
      </c>
      <c r="J252" t="s">
        <v>1165</v>
      </c>
    </row>
    <row r="253" spans="1:10" x14ac:dyDescent="0.2">
      <c r="A253" t="s">
        <v>1166</v>
      </c>
      <c r="B253" t="s">
        <v>1167</v>
      </c>
      <c r="C253" t="s">
        <v>25</v>
      </c>
      <c r="D253" t="s">
        <v>1168</v>
      </c>
      <c r="E253" t="s">
        <v>1169</v>
      </c>
      <c r="F253" t="str">
        <f>HYPERLINK("https://doi.org/10.1016/j.procs.2023.03.102","doi.org")</f>
        <v>doi.org</v>
      </c>
      <c r="G253" t="str">
        <f>HYPERLINK("/pdf/2023_10.1016_j.procs.2023.03.102_Broadening_the_Solution_Space_of_Feature_Selection_in_Time-interval-based_Malware_Detection.pdf","open")</f>
        <v>open</v>
      </c>
      <c r="H253" t="s">
        <v>590</v>
      </c>
      <c r="I253" t="b">
        <v>1</v>
      </c>
      <c r="J253" t="s">
        <v>1170</v>
      </c>
    </row>
    <row r="254" spans="1:10" x14ac:dyDescent="0.2">
      <c r="A254" t="s">
        <v>1171</v>
      </c>
      <c r="B254" t="s">
        <v>1172</v>
      </c>
      <c r="C254" t="s">
        <v>25</v>
      </c>
      <c r="D254" t="s">
        <v>1173</v>
      </c>
      <c r="E254" t="s">
        <v>1174</v>
      </c>
      <c r="F254" t="str">
        <f>HYPERLINK("https://doi.org/10.1109/I-SMAC58438.2023.10290155","doi.org")</f>
        <v>doi.org</v>
      </c>
      <c r="G254" t="str">
        <f>HYPERLINK("/pdf/2023_10.1109_i-smac58438.2023.10290155_Efficient_Secured_Cloud_Storage_System_using_Dynamic_Multiple_Clouds_Cryptographic_Algorithm.pdf","open")</f>
        <v>open</v>
      </c>
      <c r="H254" t="s">
        <v>15</v>
      </c>
      <c r="I254" t="b">
        <v>0</v>
      </c>
      <c r="J254" t="s">
        <v>1175</v>
      </c>
    </row>
    <row r="255" spans="1:10" x14ac:dyDescent="0.2">
      <c r="A255" t="s">
        <v>1176</v>
      </c>
      <c r="B255" t="s">
        <v>1177</v>
      </c>
      <c r="C255" t="s">
        <v>136</v>
      </c>
      <c r="D255" t="s">
        <v>660</v>
      </c>
      <c r="E255" t="s">
        <v>1178</v>
      </c>
      <c r="F255" t="str">
        <f>HYPERLINK("https://doi.org/10.3390/electronics8090968","doi.org")</f>
        <v>doi.org</v>
      </c>
      <c r="G255" t="str">
        <f>HYPERLINK("/pdf/2019_10_3390_electronics8090968_dynamic_deep_forest_an_ensemble_classification_method_for_network_intrusion_detection.pdf","open")</f>
        <v>open</v>
      </c>
      <c r="H255" t="s">
        <v>15</v>
      </c>
      <c r="I255" t="b">
        <v>0</v>
      </c>
      <c r="J255" t="s">
        <v>1179</v>
      </c>
    </row>
    <row r="256" spans="1:10" x14ac:dyDescent="0.2">
      <c r="A256" t="s">
        <v>1180</v>
      </c>
      <c r="B256" t="s">
        <v>1181</v>
      </c>
      <c r="C256" t="s">
        <v>60</v>
      </c>
      <c r="D256" t="s">
        <v>1182</v>
      </c>
      <c r="E256" t="s">
        <v>148</v>
      </c>
      <c r="F256" t="str">
        <f>HYPERLINK("https://doi.org/Not Reported","doi.org")</f>
        <v>doi.org</v>
      </c>
      <c r="G256" t="str">
        <f>HYPERLINK("/pdf/2024_10.7492_qcqm1g12_AI-Powered_Cyber_Threat_Detection__Leveraging_Machine_Learning_for_RealTime_Anomaly_Identification_and_Threat_.pdf","open")</f>
        <v>open</v>
      </c>
      <c r="H256" t="s">
        <v>44</v>
      </c>
      <c r="I256" t="b">
        <v>1</v>
      </c>
      <c r="J256" t="s">
        <v>1183</v>
      </c>
    </row>
    <row r="257" spans="1:10" x14ac:dyDescent="0.2">
      <c r="A257" t="s">
        <v>1184</v>
      </c>
      <c r="B257" t="s">
        <v>1185</v>
      </c>
      <c r="C257" t="s">
        <v>54</v>
      </c>
      <c r="D257" t="s">
        <v>1186</v>
      </c>
      <c r="E257" t="s">
        <v>1187</v>
      </c>
      <c r="F257" t="str">
        <f>HYPERLINK("https://doi.org/10.1145/3365578","doi.org")</f>
        <v>doi.org</v>
      </c>
      <c r="G257" t="str">
        <f>HYPERLINK("/pdf/2020_10.1145_3365578_Hardware_Trojan_mitigation_in_pipelined_MPSoCs.pdf","open")</f>
        <v>open</v>
      </c>
      <c r="H257" t="s">
        <v>15</v>
      </c>
      <c r="I257" t="b">
        <v>1</v>
      </c>
      <c r="J257" t="s">
        <v>1188</v>
      </c>
    </row>
    <row r="258" spans="1:10" x14ac:dyDescent="0.2">
      <c r="A258" t="s">
        <v>1189</v>
      </c>
      <c r="B258" t="s">
        <v>1190</v>
      </c>
      <c r="C258" t="s">
        <v>19</v>
      </c>
      <c r="D258" t="s">
        <v>1191</v>
      </c>
      <c r="E258" t="s">
        <v>1192</v>
      </c>
      <c r="F258" t="str">
        <f>HYPERLINK("https://doi.org/10.1109/ICOIN63865.2025.10993160","doi.org")</f>
        <v>doi.org</v>
      </c>
      <c r="G258" t="str">
        <f>HYPERLINK("/pdf/2025_10.1109_icoin63865.2025.10993160_Privacy-Preserving_Generative_Adversarial_Network-Based_Data_Synthesis_for_Intelligent_Intrusion_Detection_Sys.pdf","open")</f>
        <v>open</v>
      </c>
      <c r="H258" t="s">
        <v>590</v>
      </c>
      <c r="I258" t="b">
        <v>1</v>
      </c>
      <c r="J258" t="s">
        <v>1193</v>
      </c>
    </row>
    <row r="259" spans="1:10" x14ac:dyDescent="0.2">
      <c r="A259" t="s">
        <v>1194</v>
      </c>
      <c r="B259" t="s">
        <v>1195</v>
      </c>
      <c r="C259" t="s">
        <v>25</v>
      </c>
      <c r="D259" t="s">
        <v>1196</v>
      </c>
      <c r="E259" t="s">
        <v>1197</v>
      </c>
      <c r="F259" t="str">
        <f>HYPERLINK("https://doi.org/10.1145/3603781.3603906","doi.org")</f>
        <v>doi.org</v>
      </c>
      <c r="G259" t="str">
        <f>HYPERLINK("/pdf/2023_10.1145_3603781.3603906_Detection_of_Network_Time_Covert_Channels_Based_on_Image_Processing.pdf","open")</f>
        <v>open</v>
      </c>
      <c r="H259" t="s">
        <v>15</v>
      </c>
      <c r="I259" t="b">
        <v>0</v>
      </c>
      <c r="J259" t="s">
        <v>1198</v>
      </c>
    </row>
    <row r="260" spans="1:10" x14ac:dyDescent="0.2">
      <c r="A260" t="s">
        <v>1199</v>
      </c>
      <c r="B260" t="s">
        <v>1200</v>
      </c>
      <c r="C260" t="s">
        <v>36</v>
      </c>
      <c r="D260" t="s">
        <v>1201</v>
      </c>
      <c r="E260" t="s">
        <v>148</v>
      </c>
      <c r="F260" t="str">
        <f>HYPERLINK("https://doi.org/Not Reported","doi.org")</f>
        <v>doi.org</v>
      </c>
      <c r="G260" t="str">
        <f>HYPERLINK("/pdf/2022_SECURE_ASPECTS_OF_DIGITALIZATION_IN_MANAGEMENT_ACCOUNTING_AND_FINANCES_OF_THE_SUBJECT_OF_THE_NATIONAL_ECONOMY_.pdf","open")</f>
        <v>open</v>
      </c>
      <c r="H260" t="s">
        <v>44</v>
      </c>
      <c r="I260" t="b">
        <v>1</v>
      </c>
      <c r="J260" t="s">
        <v>1202</v>
      </c>
    </row>
    <row r="261" spans="1:10" x14ac:dyDescent="0.2">
      <c r="B261" t="s">
        <v>1203</v>
      </c>
      <c r="C261" t="s">
        <v>148</v>
      </c>
      <c r="D261" t="s">
        <v>148</v>
      </c>
      <c r="E261" t="s">
        <v>148</v>
      </c>
      <c r="F261" t="str">
        <f>HYPERLINK("https://doi.org/Not Reported","doi.org")</f>
        <v>doi.org</v>
      </c>
      <c r="G261" t="str">
        <f>HYPERLINK("/pdf/2014_10.1049_cp.2014.1340_Android's_sensitive_data_leakage_detection_based_on_API_monitoring.pdf","open")</f>
        <v>open</v>
      </c>
      <c r="H261" t="s">
        <v>44</v>
      </c>
      <c r="I261" t="b">
        <v>1</v>
      </c>
      <c r="J261" t="s">
        <v>1204</v>
      </c>
    </row>
    <row r="262" spans="1:10" x14ac:dyDescent="0.2">
      <c r="A262" t="s">
        <v>1205</v>
      </c>
      <c r="B262" t="s">
        <v>1206</v>
      </c>
      <c r="C262" t="s">
        <v>36</v>
      </c>
      <c r="D262" t="s">
        <v>1207</v>
      </c>
      <c r="E262" t="s">
        <v>1208</v>
      </c>
      <c r="F262" t="str">
        <f>HYPERLINK("https://doi.org/10.1109/TNSM.2021.3078428","doi.org")</f>
        <v>doi.org</v>
      </c>
      <c r="G262" t="str">
        <f>HYPERLINK("/pdf/2021_10_1109_tnsm_2021_3078428_dns_tunneling_detection_by_cache_property_aware_features.pdf","open")</f>
        <v>open</v>
      </c>
      <c r="H262" t="s">
        <v>957</v>
      </c>
      <c r="I262" t="b">
        <v>1</v>
      </c>
      <c r="J262" t="s">
        <v>1209</v>
      </c>
    </row>
    <row r="263" spans="1:10" x14ac:dyDescent="0.2">
      <c r="A263" t="s">
        <v>1210</v>
      </c>
      <c r="B263" t="s">
        <v>760</v>
      </c>
      <c r="C263" t="s">
        <v>48</v>
      </c>
      <c r="D263" t="s">
        <v>493</v>
      </c>
      <c r="E263" t="s">
        <v>761</v>
      </c>
      <c r="F263" t="str">
        <f>HYPERLINK("https://doi.org/10.1038/s41598-026-36731-8","doi.org")</f>
        <v>doi.org</v>
      </c>
      <c r="G263" t="str">
        <f>HYPERLINK("/pdf/2026_10.1038_s41598-026-36731-8_ASTRID-Net__SE-enhanced_triple_attention_deep_learning_framework_for_IoT_and_IIoT_security.pdf","open")</f>
        <v>open</v>
      </c>
      <c r="H263" t="s">
        <v>15</v>
      </c>
      <c r="I263" t="b">
        <v>1</v>
      </c>
      <c r="J263" t="s">
        <v>1211</v>
      </c>
    </row>
    <row r="264" spans="1:10" x14ac:dyDescent="0.2">
      <c r="A264" t="s">
        <v>1212</v>
      </c>
      <c r="B264" t="s">
        <v>1213</v>
      </c>
      <c r="C264" t="s">
        <v>19</v>
      </c>
      <c r="D264" t="s">
        <v>1214</v>
      </c>
      <c r="E264" t="s">
        <v>1215</v>
      </c>
      <c r="F264" t="str">
        <f>HYPERLINK("https://doi.org/10.70389/PJS.100115","doi.org")</f>
        <v>doi.org</v>
      </c>
      <c r="G264" t="str">
        <f>HYPERLINK("/pdf/2025_10.70389_pjs.100115_Psyche_Components_in_the_Organization_of_Safety_Systems__The_Role_of_a_Person_in_the_Protection_of_Facilities_.pdf","open")</f>
        <v>open</v>
      </c>
      <c r="H264" t="s">
        <v>44</v>
      </c>
      <c r="I264" t="b">
        <v>1</v>
      </c>
      <c r="J264" t="s">
        <v>1216</v>
      </c>
    </row>
    <row r="265" spans="1:10" x14ac:dyDescent="0.2">
      <c r="A265" t="s">
        <v>148</v>
      </c>
      <c r="B265" t="s">
        <v>1217</v>
      </c>
      <c r="C265" t="s">
        <v>25</v>
      </c>
      <c r="D265" t="s">
        <v>1218</v>
      </c>
      <c r="E265" t="s">
        <v>1219</v>
      </c>
      <c r="F265" t="str">
        <f>HYPERLINK("https://doi.org/10.1109/ICCASIT58768.2023.10351717","doi.org")</f>
        <v>doi.org</v>
      </c>
      <c r="G265" t="str">
        <f>HYPERLINK("/pdf/2023_10.1109_iccasit58768.2023.10351717_Research_and_Application_of_Cybersecurity_Situation_Awareness_for_Smart_Grid_Power_Control_System.pdf","open")</f>
        <v>open</v>
      </c>
      <c r="H265" t="s">
        <v>44</v>
      </c>
      <c r="I265" t="b">
        <v>1</v>
      </c>
      <c r="J265" t="s">
        <v>1220</v>
      </c>
    </row>
    <row r="266" spans="1:10" x14ac:dyDescent="0.2">
      <c r="A266" t="s">
        <v>1221</v>
      </c>
      <c r="B266" t="s">
        <v>1222</v>
      </c>
      <c r="C266" t="s">
        <v>25</v>
      </c>
      <c r="D266" t="s">
        <v>1223</v>
      </c>
      <c r="E266" t="s">
        <v>1224</v>
      </c>
      <c r="F266" t="str">
        <f>HYPERLINK("https://doi.org/10.1109/FMEC59375.2023.10305886","doi.org")</f>
        <v>doi.org</v>
      </c>
      <c r="G266" t="str">
        <f>HYPERLINK("/pdf/2023_10_1109_fmec59375_2023_10305886_an_overview_of_using_of_artificial_intelligence_in_enhancing_security_and_privac.pdf","open")</f>
        <v>open</v>
      </c>
      <c r="H266" t="s">
        <v>15</v>
      </c>
      <c r="I266" t="b">
        <v>0</v>
      </c>
      <c r="J266" t="s">
        <v>1225</v>
      </c>
    </row>
    <row r="267" spans="1:10" x14ac:dyDescent="0.2">
      <c r="A267" t="s">
        <v>1226</v>
      </c>
      <c r="B267" t="s">
        <v>1227</v>
      </c>
      <c r="C267" t="s">
        <v>363</v>
      </c>
      <c r="D267" t="s">
        <v>1228</v>
      </c>
      <c r="E267" t="s">
        <v>1229</v>
      </c>
      <c r="F267" t="str">
        <f>HYPERLINK("https://doi.org/10.13052/jcsm2245-1439.521","doi.org")</f>
        <v>doi.org</v>
      </c>
      <c r="G267" t="str">
        <f>HYPERLINK("/pdf/2016_10_13052_jcsm2245_1439_521_lazarus_data_leakage_with_pgp_and_resurrection_of_the_revoked_user.pdf","open")</f>
        <v>open</v>
      </c>
      <c r="H267" t="s">
        <v>44</v>
      </c>
      <c r="I267" t="b">
        <v>1</v>
      </c>
      <c r="J267" t="s">
        <v>1230</v>
      </c>
    </row>
    <row r="268" spans="1:10" x14ac:dyDescent="0.2">
      <c r="A268" t="s">
        <v>1231</v>
      </c>
      <c r="B268" t="s">
        <v>1232</v>
      </c>
      <c r="C268" t="s">
        <v>190</v>
      </c>
      <c r="D268" t="s">
        <v>1233</v>
      </c>
      <c r="E268" t="s">
        <v>1234</v>
      </c>
      <c r="F268" t="str">
        <f>HYPERLINK("https://doi.org/10.1145/3171592.3171597","doi.org")</f>
        <v>doi.org</v>
      </c>
      <c r="G268" t="str">
        <f>HYPERLINK("/pdf/2017_10.1145_3171592.3171597_Network_behavioral_features_for_detecting_remote_access_trojans_in_the_early_stage.pdf","open")</f>
        <v>open</v>
      </c>
      <c r="H268" t="s">
        <v>15</v>
      </c>
      <c r="I268" t="b">
        <v>0</v>
      </c>
      <c r="J268" t="s">
        <v>1235</v>
      </c>
    </row>
    <row r="269" spans="1:10" x14ac:dyDescent="0.2">
      <c r="A269" t="s">
        <v>1236</v>
      </c>
      <c r="B269" t="s">
        <v>1237</v>
      </c>
      <c r="C269" t="s">
        <v>36</v>
      </c>
      <c r="D269" t="s">
        <v>1238</v>
      </c>
      <c r="E269" t="s">
        <v>1239</v>
      </c>
      <c r="F269" t="str">
        <f>HYPERLINK("https://doi.org/10.1109/ENT50460.2021.9681727","doi.org")</f>
        <v>doi.org</v>
      </c>
      <c r="G269" t="str">
        <f>HYPERLINK("/pdf/2021_10.1109_ent50460.2021.9681727_Specifics_of_Communication_Organization_and_Attacks_on_Medical_Cyber-physical_Devices.pdf","open")</f>
        <v>open</v>
      </c>
      <c r="H269" t="s">
        <v>44</v>
      </c>
      <c r="I269" t="b">
        <v>1</v>
      </c>
      <c r="J269" t="s">
        <v>1240</v>
      </c>
    </row>
    <row r="270" spans="1:10" x14ac:dyDescent="0.2">
      <c r="A270" t="s">
        <v>1241</v>
      </c>
      <c r="B270" t="s">
        <v>1043</v>
      </c>
      <c r="C270" t="s">
        <v>210</v>
      </c>
      <c r="D270" t="s">
        <v>1044</v>
      </c>
      <c r="E270" t="s">
        <v>148</v>
      </c>
      <c r="F270" t="str">
        <f>HYPERLINK("https://doi.org/Not Reported","doi.org")</f>
        <v>doi.org</v>
      </c>
      <c r="G270" t="str">
        <f>HYPERLINK("/pdf/2016_10.1109_ccst.2015.7389685_A_Digital_Triage_Forensics_framework_of_Window_malware_forensic_toolkit__Based_on_ISO_IEC_27037_2012.pdf","open")</f>
        <v>open</v>
      </c>
      <c r="H270" t="s">
        <v>44</v>
      </c>
      <c r="I270" t="b">
        <v>1</v>
      </c>
      <c r="J270" t="s">
        <v>1242</v>
      </c>
    </row>
    <row r="271" spans="1:10" x14ac:dyDescent="0.2">
      <c r="A271" t="s">
        <v>1243</v>
      </c>
      <c r="B271" t="s">
        <v>1244</v>
      </c>
      <c r="C271" t="s">
        <v>100</v>
      </c>
      <c r="D271" t="s">
        <v>1245</v>
      </c>
      <c r="E271" t="s">
        <v>148</v>
      </c>
      <c r="F271" t="str">
        <f>HYPERLINK("https://doi.org/Not Reported","doi.org")</f>
        <v>doi.org</v>
      </c>
      <c r="G271" t="str">
        <f>HYPERLINK("/pdf/2022_10.23919_apsipaasc55919.2022.9979923_A_Comparison_of_Feature_Selection_and_Feature_Extraction_in_Network_Intrusion_Detection_Systems.pdf","open")</f>
        <v>open</v>
      </c>
      <c r="H271" t="s">
        <v>15</v>
      </c>
      <c r="I271" t="b">
        <v>1</v>
      </c>
      <c r="J271" t="s">
        <v>1246</v>
      </c>
    </row>
    <row r="272" spans="1:10" x14ac:dyDescent="0.2">
      <c r="A272" t="s">
        <v>1247</v>
      </c>
      <c r="B272" t="s">
        <v>1248</v>
      </c>
      <c r="C272" t="s">
        <v>54</v>
      </c>
      <c r="D272" t="s">
        <v>76</v>
      </c>
      <c r="E272" t="s">
        <v>1249</v>
      </c>
      <c r="F272" t="str">
        <f>HYPERLINK("https://doi.org/10.1109/ACCESS.2020.2996214","doi.org")</f>
        <v>doi.org</v>
      </c>
      <c r="G272" t="str">
        <f>HYPERLINK("/pdf/2020_10_1109_access_2020_2996214_a_machine_learning_security_framework_for_iot_systems.pdf","open")</f>
        <v>open</v>
      </c>
      <c r="H272" t="s">
        <v>44</v>
      </c>
      <c r="I272" t="b">
        <v>1</v>
      </c>
      <c r="J272" t="s">
        <v>1250</v>
      </c>
    </row>
    <row r="273" spans="1:10" x14ac:dyDescent="0.2">
      <c r="A273" t="s">
        <v>1251</v>
      </c>
      <c r="B273" t="s">
        <v>1252</v>
      </c>
      <c r="C273" t="s">
        <v>54</v>
      </c>
      <c r="D273" t="s">
        <v>1253</v>
      </c>
      <c r="E273" t="s">
        <v>1254</v>
      </c>
      <c r="F273" t="str">
        <f>HYPERLINK("https://doi.org/10.1109/MSN50589.2020.00060","doi.org")</f>
        <v>doi.org</v>
      </c>
      <c r="G273" t="str">
        <f>HYPERLINK("/pdf/2020_10.1109_msn50589.2020.00060_Optimal_defense_strategy_against_evasion_attacks.pdf","open")</f>
        <v>open</v>
      </c>
      <c r="H273" t="s">
        <v>15</v>
      </c>
      <c r="I273" t="b">
        <v>0</v>
      </c>
      <c r="J273" t="s">
        <v>1255</v>
      </c>
    </row>
    <row r="274" spans="1:10" x14ac:dyDescent="0.2">
      <c r="A274" t="s">
        <v>1256</v>
      </c>
      <c r="B274" t="s">
        <v>1257</v>
      </c>
      <c r="C274" t="s">
        <v>48</v>
      </c>
      <c r="D274" t="s">
        <v>200</v>
      </c>
      <c r="E274" t="s">
        <v>1258</v>
      </c>
      <c r="F274" t="str">
        <f>HYPERLINK("https://doi.org/10.1109/TCAD.2025.3580649","doi.org")</f>
        <v>doi.org</v>
      </c>
      <c r="G274" t="str">
        <f>HYPERLINK("/pdf/2026_10.1109_tcad.2025.3580649_Dynamic_Interposer_Obfuscation_Through_Distributed_Scramblers_in_Heterogeneously_Integrated_2.5D_ICs.pdf","open")</f>
        <v>open</v>
      </c>
      <c r="H274" t="s">
        <v>44</v>
      </c>
      <c r="I274" t="b">
        <v>0</v>
      </c>
      <c r="J274" t="s">
        <v>1259</v>
      </c>
    </row>
    <row r="275" spans="1:10" x14ac:dyDescent="0.2">
      <c r="A275" t="s">
        <v>1260</v>
      </c>
      <c r="B275" t="s">
        <v>1261</v>
      </c>
      <c r="C275" t="s">
        <v>25</v>
      </c>
      <c r="D275" t="s">
        <v>1262</v>
      </c>
      <c r="E275" t="s">
        <v>1263</v>
      </c>
      <c r="F275" t="str">
        <f>HYPERLINK("https://doi.org/10.1109/RMKMATE59243.2023.10369056","doi.org")</f>
        <v>doi.org</v>
      </c>
      <c r="G275" t="str">
        <f>HYPERLINK("/pdf/2023_10.1109_rmkmate59243.2023.10369056_A_Survey_on_Cyber_Attack_Detection__Techniques,_Datasets,_and_Challenge.pdf","open")</f>
        <v>open</v>
      </c>
      <c r="H275" t="s">
        <v>44</v>
      </c>
      <c r="I275" t="b">
        <v>1</v>
      </c>
      <c r="J275" t="s">
        <v>1264</v>
      </c>
    </row>
    <row r="276" spans="1:10" x14ac:dyDescent="0.2">
      <c r="A276" t="s">
        <v>1265</v>
      </c>
      <c r="B276" t="s">
        <v>1266</v>
      </c>
      <c r="C276" t="s">
        <v>60</v>
      </c>
      <c r="D276" t="s">
        <v>1267</v>
      </c>
      <c r="E276" t="s">
        <v>1268</v>
      </c>
      <c r="F276" t="str">
        <f>HYPERLINK("https://doi.org/10.1109/DCOSS-IoT61029.2024.00041","doi.org")</f>
        <v>doi.org</v>
      </c>
      <c r="G276" t="str">
        <f>HYPERLINK("/pdf/2024_10.1109_dcoss-iot61029.2024.00041_SAfER__Simplified_Auto-encoder_for_(Anomalous)_Event_Recognition.pdf","open")</f>
        <v>open</v>
      </c>
      <c r="H276" t="s">
        <v>590</v>
      </c>
      <c r="I276" t="b">
        <v>1</v>
      </c>
      <c r="J276" t="s">
        <v>1269</v>
      </c>
    </row>
    <row r="277" spans="1:10" x14ac:dyDescent="0.2">
      <c r="A277" t="s">
        <v>1270</v>
      </c>
      <c r="B277" t="s">
        <v>1271</v>
      </c>
      <c r="C277" t="s">
        <v>156</v>
      </c>
      <c r="D277" t="s">
        <v>1272</v>
      </c>
      <c r="E277" t="s">
        <v>1273</v>
      </c>
      <c r="F277" t="str">
        <f>HYPERLINK("https://doi.org/10.1145/2484313.2484378","doi.org")</f>
        <v>doi.org</v>
      </c>
      <c r="G277" t="str">
        <f>HYPERLINK("/pdf/2013_10.1145_2484313.2484378_Horizon_extender__Long-term_preservation_of_data_leakage_evidence_in_web_traffic.pdf","open")</f>
        <v>open</v>
      </c>
      <c r="H277" t="s">
        <v>44</v>
      </c>
      <c r="I277" t="b">
        <v>1</v>
      </c>
      <c r="J277" t="s">
        <v>1274</v>
      </c>
    </row>
    <row r="278" spans="1:10" x14ac:dyDescent="0.2">
      <c r="A278" t="s">
        <v>1275</v>
      </c>
      <c r="B278" t="s">
        <v>314</v>
      </c>
      <c r="C278" t="s">
        <v>36</v>
      </c>
      <c r="D278" t="s">
        <v>1276</v>
      </c>
      <c r="E278" t="s">
        <v>316</v>
      </c>
      <c r="F278" t="str">
        <f>HYPERLINK("https://doi.org/10.1080/0144929X.2021.1953597","doi.org")</f>
        <v>doi.org</v>
      </c>
      <c r="G278" t="str">
        <f>HYPERLINK("/pdf/2022_10_1080_0144929x_2021_1953597_the_relationship_between_online_political_participation_and_privacy_protection.pdf","open")</f>
        <v>open</v>
      </c>
      <c r="H278" t="s">
        <v>44</v>
      </c>
      <c r="I278" t="b">
        <v>1</v>
      </c>
      <c r="J278" t="s">
        <v>1277</v>
      </c>
    </row>
    <row r="279" spans="1:10" x14ac:dyDescent="0.2">
      <c r="A279" t="s">
        <v>1278</v>
      </c>
      <c r="B279" t="s">
        <v>1279</v>
      </c>
      <c r="C279" t="s">
        <v>60</v>
      </c>
      <c r="D279" t="s">
        <v>983</v>
      </c>
      <c r="E279" t="s">
        <v>1280</v>
      </c>
      <c r="F279" t="str">
        <f>HYPERLINK("https://doi.org/10.3390/jcp4020009","doi.org")</f>
        <v>doi.org</v>
      </c>
      <c r="G279" t="str">
        <f>HYPERLINK("/pdf/2024_10_3390_jcp4020009_on_data_leakage_prevention_maturity_adapting_the_c2m2_framework.pdf","open")</f>
        <v>open</v>
      </c>
      <c r="H279" t="s">
        <v>44</v>
      </c>
      <c r="I279" t="b">
        <v>1</v>
      </c>
      <c r="J279" t="s">
        <v>1281</v>
      </c>
    </row>
    <row r="280" spans="1:10" x14ac:dyDescent="0.2">
      <c r="A280" t="s">
        <v>1282</v>
      </c>
      <c r="B280" t="s">
        <v>1283</v>
      </c>
      <c r="C280" t="s">
        <v>100</v>
      </c>
      <c r="D280" t="s">
        <v>1284</v>
      </c>
      <c r="E280" t="s">
        <v>1285</v>
      </c>
      <c r="F280" t="str">
        <f>HYPERLINK("https://doi.org/10.17341/gazimmfd.641580","doi.org")</f>
        <v>doi.org</v>
      </c>
      <c r="G280" t="str">
        <f>HYPERLINK("/pdf/2022_10_17341_gazimmfd_641580_a_new_document_classification_algorithm_against_malicious_data_leakage_attacks_zararli_ya.pdf","open")</f>
        <v>open</v>
      </c>
      <c r="H280" t="s">
        <v>15</v>
      </c>
      <c r="I280" t="b">
        <v>0</v>
      </c>
      <c r="J280" t="s">
        <v>1286</v>
      </c>
    </row>
    <row r="281" spans="1:10" x14ac:dyDescent="0.2">
      <c r="A281" t="s">
        <v>1287</v>
      </c>
      <c r="B281" t="s">
        <v>1288</v>
      </c>
      <c r="C281" t="s">
        <v>48</v>
      </c>
      <c r="D281" t="s">
        <v>1289</v>
      </c>
      <c r="E281" t="s">
        <v>1290</v>
      </c>
      <c r="F281" t="str">
        <f>HYPERLINK("https://doi.org/10.1109/TCE.2026.3652563","doi.org")</f>
        <v>doi.org</v>
      </c>
      <c r="G281" t="str">
        <f>HYPERLINK("/pdf/2026_10.1109_tce.2026.3652563_QFedPhish__A_Quantum-Inspired_Federated_Learning_Approach_for_Detecting_AI-Generated_Phishing_Attacks.pdf","open")</f>
        <v>open</v>
      </c>
      <c r="H281" t="s">
        <v>15</v>
      </c>
      <c r="I281" t="b">
        <v>0</v>
      </c>
      <c r="J281" t="s">
        <v>1291</v>
      </c>
    </row>
    <row r="282" spans="1:10" x14ac:dyDescent="0.2">
      <c r="A282" t="s">
        <v>1292</v>
      </c>
      <c r="B282" t="s">
        <v>120</v>
      </c>
      <c r="C282" t="s">
        <v>19</v>
      </c>
      <c r="D282" t="s">
        <v>121</v>
      </c>
      <c r="E282" t="s">
        <v>122</v>
      </c>
      <c r="F282" t="str">
        <f>HYPERLINK("https://doi.org/10.14445/23488549/IJECE-V12I10P115","doi.org")</f>
        <v>doi.org</v>
      </c>
      <c r="G282" t="str">
        <f>HYPERLINK("/pdf/2025_10_14445_23488549_ijece_v12i10p115_qryptashield_quantum_inspired_feature_selection_and_rl_calibrated_federated_learning_for.pdf","open")</f>
        <v>open</v>
      </c>
      <c r="H282" t="s">
        <v>590</v>
      </c>
      <c r="I282" t="b">
        <v>1</v>
      </c>
      <c r="J282" t="s">
        <v>1293</v>
      </c>
    </row>
    <row r="283" spans="1:10" x14ac:dyDescent="0.2">
      <c r="A283" t="s">
        <v>1294</v>
      </c>
      <c r="B283" t="s">
        <v>1295</v>
      </c>
      <c r="C283" t="s">
        <v>25</v>
      </c>
      <c r="D283" t="s">
        <v>404</v>
      </c>
      <c r="E283" t="s">
        <v>148</v>
      </c>
      <c r="F283" t="str">
        <f>HYPERLINK("https://doi.org/Not Reported","doi.org")</f>
        <v>doi.org</v>
      </c>
      <c r="G283" t="str">
        <f>HYPERLINK("/pdf/2024_10_1007_s10586_023_04089_5_machine_learning_based_intrusion_detection_feature_selection_versus_feature_extraction.pdf","open")</f>
        <v>open</v>
      </c>
      <c r="H283" t="s">
        <v>44</v>
      </c>
      <c r="I283" t="b">
        <v>1</v>
      </c>
      <c r="J283" t="s">
        <v>1296</v>
      </c>
    </row>
    <row r="284" spans="1:10" x14ac:dyDescent="0.2">
      <c r="A284" t="s">
        <v>1297</v>
      </c>
      <c r="B284" t="s">
        <v>680</v>
      </c>
      <c r="C284" t="s">
        <v>19</v>
      </c>
      <c r="D284" t="s">
        <v>681</v>
      </c>
      <c r="E284" t="s">
        <v>682</v>
      </c>
      <c r="F284" t="str">
        <f>HYPERLINK("https://doi.org/10.37934/araset.51.2.153176","doi.org")</f>
        <v>doi.org</v>
      </c>
      <c r="G284" t="str">
        <f>HYPERLINK("/pdf/2025_10_37934_araset_51_2_153176_detecting_wormhole_attack_in_environmental_monitoring_system_for_agriculture_using_deep_le.pdf","open")</f>
        <v>open</v>
      </c>
      <c r="H284" t="s">
        <v>44</v>
      </c>
      <c r="I284" t="b">
        <v>1</v>
      </c>
      <c r="J284" t="s">
        <v>1298</v>
      </c>
    </row>
    <row r="285" spans="1:10" x14ac:dyDescent="0.2">
      <c r="A285" t="s">
        <v>1299</v>
      </c>
      <c r="B285" t="s">
        <v>1118</v>
      </c>
      <c r="C285" t="s">
        <v>48</v>
      </c>
      <c r="D285" t="s">
        <v>1119</v>
      </c>
      <c r="E285" t="s">
        <v>1300</v>
      </c>
      <c r="F285" t="str">
        <f>HYPERLINK("https://doi.org/10.30598/barekengvol20iss2pp1675-1692","doi.org")</f>
        <v>doi.org</v>
      </c>
      <c r="G285" t="str">
        <f>HYPERLINK("/pdf/2026_10_30598_barekengvol20iss2pp1675_1692_a_comparative_study_of_pipeline_validated_machine_learning_classifiers_for_permi.pdf","open")</f>
        <v>open</v>
      </c>
      <c r="H285" t="s">
        <v>15</v>
      </c>
      <c r="I285" t="b">
        <v>0</v>
      </c>
      <c r="J285" t="s">
        <v>1301</v>
      </c>
    </row>
    <row r="286" spans="1:10" x14ac:dyDescent="0.2">
      <c r="A286" t="s">
        <v>1302</v>
      </c>
      <c r="B286" t="s">
        <v>1303</v>
      </c>
      <c r="C286" t="s">
        <v>60</v>
      </c>
      <c r="D286" t="s">
        <v>1186</v>
      </c>
      <c r="E286" t="s">
        <v>1302</v>
      </c>
      <c r="F286" t="str">
        <f>HYPERLINK("https://doi.org/10.1145/3639821","doi.org")</f>
        <v>doi.org</v>
      </c>
      <c r="G286" t="str">
        <f>HYPERLINK("/pdf/2024_10.1145_3639821_TROP__TRust-aware_OPportunistic_Routing_in_NoC_with_Hardware_Trojans.pdf","open")</f>
        <v>open</v>
      </c>
      <c r="H286" t="s">
        <v>44</v>
      </c>
      <c r="I286" t="b">
        <v>1</v>
      </c>
      <c r="J286" t="s">
        <v>1304</v>
      </c>
    </row>
    <row r="287" spans="1:10" x14ac:dyDescent="0.2">
      <c r="A287" t="s">
        <v>1305</v>
      </c>
      <c r="B287" t="s">
        <v>1306</v>
      </c>
      <c r="C287" t="s">
        <v>19</v>
      </c>
      <c r="D287" t="s">
        <v>1009</v>
      </c>
      <c r="E287" t="s">
        <v>1307</v>
      </c>
      <c r="F287" t="str">
        <f>HYPERLINK("https://doi.org/10.1109/ICICCS65191.2025.10984918","doi.org")</f>
        <v>doi.org</v>
      </c>
      <c r="G287" t="str">
        <f>HYPERLINK("/pdf/2025_10.1109_iciccs65191.2025.10984918_Enhancing_Digital_Forensics_Security_Involves_the_Implementation_of_a_Robust_Storage_Framework_that_Employs_AE.pdf","open")</f>
        <v>open</v>
      </c>
      <c r="H287" t="s">
        <v>15</v>
      </c>
      <c r="I287" t="b">
        <v>1</v>
      </c>
      <c r="J287" t="s">
        <v>1308</v>
      </c>
    </row>
    <row r="288" spans="1:10" x14ac:dyDescent="0.2">
      <c r="A288" t="s">
        <v>1309</v>
      </c>
      <c r="B288" t="s">
        <v>719</v>
      </c>
      <c r="C288" t="s">
        <v>25</v>
      </c>
      <c r="D288" t="s">
        <v>1310</v>
      </c>
      <c r="E288" t="s">
        <v>721</v>
      </c>
      <c r="F288" t="str">
        <f>HYPERLINK("https://doi.org/10.1109/ISPA-BDCloud-SocialCom-SustainCom59178.2023.00094","doi.org")</f>
        <v>doi.org</v>
      </c>
      <c r="G288" t="str">
        <f>HYPERLINK("/pdf/2023_10.1109_ispa-bdcloud-socialcom-sustaincom59178.2023.00094_PE-FedAvg__A_Privacy-Enhanced_Federated_Learning_for_Distributed_Android_Malware_Detection.pdf","open")</f>
        <v>open</v>
      </c>
      <c r="H288" t="s">
        <v>15</v>
      </c>
      <c r="I288" t="b">
        <v>0</v>
      </c>
      <c r="J288" t="s">
        <v>1311</v>
      </c>
    </row>
    <row r="289" spans="1:10" x14ac:dyDescent="0.2">
      <c r="A289" t="s">
        <v>1312</v>
      </c>
      <c r="B289" t="s">
        <v>1313</v>
      </c>
      <c r="C289" t="s">
        <v>19</v>
      </c>
      <c r="D289" t="s">
        <v>1314</v>
      </c>
      <c r="E289" t="s">
        <v>1315</v>
      </c>
      <c r="F289" t="str">
        <f>HYPERLINK("https://doi.org/10.1109/QPAIN66474.2025.11171834","doi.org")</f>
        <v>doi.org</v>
      </c>
      <c r="G289" t="str">
        <f>HYPERLINK("/pdf/2025_10.1109_qpain66474.2025.11171834_Analyzing_Threats_in_Public_Wi-Fi__A_Study_of_Attack_Vectors,_Vulnerability_and_User_Awareness.pdf","open")</f>
        <v>open</v>
      </c>
      <c r="H289" t="s">
        <v>44</v>
      </c>
      <c r="I289" t="b">
        <v>1</v>
      </c>
      <c r="J289" t="s">
        <v>1316</v>
      </c>
    </row>
    <row r="290" spans="1:10" x14ac:dyDescent="0.2">
      <c r="B290" t="s">
        <v>1317</v>
      </c>
      <c r="C290" t="s">
        <v>36</v>
      </c>
      <c r="D290" t="s">
        <v>1318</v>
      </c>
      <c r="E290" t="s">
        <v>148</v>
      </c>
      <c r="F290" t="str">
        <f>HYPERLINK("https://doi.org/Not Reported","doi.org")</f>
        <v>doi.org</v>
      </c>
      <c r="G290" t="str">
        <f>HYPERLINK("/pdf/2021_10_1109_csr51186_2021_9527960_understanding_and_mitigating_banking_trojans_from_zeus_to_emotet.pdf","open")</f>
        <v>open</v>
      </c>
      <c r="H290" t="s">
        <v>44</v>
      </c>
      <c r="I290" t="b">
        <v>1</v>
      </c>
      <c r="J290" t="s">
        <v>1319</v>
      </c>
    </row>
    <row r="291" spans="1:10" x14ac:dyDescent="0.2">
      <c r="A291" t="s">
        <v>1320</v>
      </c>
      <c r="B291" t="s">
        <v>1321</v>
      </c>
      <c r="C291" t="s">
        <v>19</v>
      </c>
      <c r="D291" t="s">
        <v>1322</v>
      </c>
      <c r="E291" t="s">
        <v>1323</v>
      </c>
      <c r="F291" t="str">
        <f>HYPERLINK("https://doi.org/10.1109/ICOECA66273.2025.00049","doi.org")</f>
        <v>doi.org</v>
      </c>
      <c r="G291" t="str">
        <f>HYPERLINK("/pdf/2025_10.1109_icoeca66273.2025.00049_Simulation,_Prevention_and_Mitigation_of_Ransomware,_DDOS_and_Advanced_Persistent_Threats.pdf","open")</f>
        <v>open</v>
      </c>
      <c r="H291" t="s">
        <v>44</v>
      </c>
      <c r="I291" t="b">
        <v>1</v>
      </c>
      <c r="J291" t="s">
        <v>1324</v>
      </c>
    </row>
    <row r="292" spans="1:10" x14ac:dyDescent="0.2">
      <c r="A292" t="s">
        <v>1325</v>
      </c>
      <c r="B292" t="s">
        <v>1326</v>
      </c>
      <c r="C292" t="s">
        <v>19</v>
      </c>
      <c r="D292" t="s">
        <v>1327</v>
      </c>
      <c r="E292" t="s">
        <v>1328</v>
      </c>
      <c r="F292" t="str">
        <f>HYPERLINK("https://doi.org/10.3390/jcp5040095","doi.org")</f>
        <v>doi.org</v>
      </c>
      <c r="G292" t="str">
        <f>HYPERLINK("/pdf/2025_10_3390_jcp5040095_ai_augmented_soc_a_survey_of_llms_and_agents_for_security_automation.pdf","open")</f>
        <v>open</v>
      </c>
      <c r="H292" t="s">
        <v>44</v>
      </c>
      <c r="I292" t="b">
        <v>1</v>
      </c>
      <c r="J292" t="s">
        <v>1329</v>
      </c>
    </row>
    <row r="293" spans="1:10" x14ac:dyDescent="0.2">
      <c r="A293" t="s">
        <v>1330</v>
      </c>
      <c r="B293" t="s">
        <v>1331</v>
      </c>
      <c r="C293" t="s">
        <v>25</v>
      </c>
      <c r="D293" t="s">
        <v>1332</v>
      </c>
      <c r="E293" t="s">
        <v>1333</v>
      </c>
      <c r="F293" t="str">
        <f>HYPERLINK("https://doi.org/10.1109/ICPICS58376.2023.10235404","doi.org")</f>
        <v>doi.org</v>
      </c>
      <c r="G293" t="str">
        <f>HYPERLINK("/pdf/2023_10.1109_icpics58376.2023.10235404_Detection_of_Data_Leakage_Based_on_DNS_Traffic.pdf","open")</f>
        <v>open</v>
      </c>
      <c r="H293" t="s">
        <v>15</v>
      </c>
      <c r="I293" t="b">
        <v>0</v>
      </c>
      <c r="J293" t="s">
        <v>1334</v>
      </c>
    </row>
    <row r="294" spans="1:10" x14ac:dyDescent="0.2">
      <c r="A294" t="s">
        <v>1335</v>
      </c>
      <c r="B294" t="s">
        <v>1336</v>
      </c>
      <c r="C294" t="s">
        <v>190</v>
      </c>
      <c r="D294" t="s">
        <v>1337</v>
      </c>
      <c r="E294" t="s">
        <v>1338</v>
      </c>
      <c r="F294" t="str">
        <f>HYPERLINK("https://doi.org/10.5220/0006195803800388","doi.org")</f>
        <v>doi.org</v>
      </c>
      <c r="G294" t="str">
        <f>HYPERLINK("/pdf/2017_10.5220_0006195803800388_Enhancing_accuracy_of_android_malware_detection_using_intent_instrumentation.pdf","open")</f>
        <v>open</v>
      </c>
      <c r="H294" t="s">
        <v>44</v>
      </c>
      <c r="I294" t="b">
        <v>1</v>
      </c>
      <c r="J294" t="s">
        <v>1339</v>
      </c>
    </row>
    <row r="295" spans="1:10" x14ac:dyDescent="0.2">
      <c r="A295" t="s">
        <v>1340</v>
      </c>
      <c r="B295" t="s">
        <v>1341</v>
      </c>
      <c r="C295" t="s">
        <v>19</v>
      </c>
      <c r="D295" t="s">
        <v>1342</v>
      </c>
      <c r="E295" t="s">
        <v>1343</v>
      </c>
      <c r="F295" t="str">
        <f>HYPERLINK("https://doi.org/10.1109/IDCIOT64235.2025.10914826","doi.org")</f>
        <v>doi.org</v>
      </c>
      <c r="G295" t="str">
        <f>HYPERLINK("/pdf/2025_10.1007_978-981-96-2468-3_63_An_Approach_for_Malware_Classification_via_API_Call_Extraction_from_Disassembly_Code.pdf","open")</f>
        <v>open</v>
      </c>
      <c r="H295" t="s">
        <v>44</v>
      </c>
      <c r="I295" t="b">
        <v>1</v>
      </c>
      <c r="J295" t="s">
        <v>1344</v>
      </c>
    </row>
    <row r="296" spans="1:10" x14ac:dyDescent="0.2">
      <c r="A296" t="s">
        <v>1345</v>
      </c>
      <c r="B296" t="s">
        <v>1346</v>
      </c>
      <c r="C296" t="s">
        <v>12</v>
      </c>
      <c r="D296" t="s">
        <v>142</v>
      </c>
      <c r="E296" t="s">
        <v>1347</v>
      </c>
      <c r="F296" t="str">
        <f>HYPERLINK("https://doi.org/10.11591/ijece.v8i4.pp2247-2253","doi.org")</f>
        <v>doi.org</v>
      </c>
      <c r="G296" t="str">
        <f>HYPERLINK("/pdf/2018_10_11591_ijece_v8i4_pp2247_2253_a_survey_data_leakage_detection_techniques.pdf","open")</f>
        <v>open</v>
      </c>
      <c r="H296" t="s">
        <v>44</v>
      </c>
      <c r="I296" t="b">
        <v>1</v>
      </c>
      <c r="J296" t="s">
        <v>1348</v>
      </c>
    </row>
    <row r="297" spans="1:10" x14ac:dyDescent="0.2">
      <c r="A297" t="s">
        <v>1349</v>
      </c>
      <c r="B297" t="s">
        <v>1350</v>
      </c>
      <c r="C297" t="s">
        <v>100</v>
      </c>
      <c r="D297" t="s">
        <v>404</v>
      </c>
      <c r="E297" t="s">
        <v>148</v>
      </c>
      <c r="F297" t="str">
        <f>HYPERLINK("https://doi.org/Not Reported","doi.org")</f>
        <v>doi.org</v>
      </c>
      <c r="G297" t="str">
        <f>HYPERLINK("/pdf/2023_10_1109_tdsc_2022_3179698_blockchain_based_transparency_framework_for_privacy_preserving_third_party_services.pdf","open")</f>
        <v>open</v>
      </c>
      <c r="H297" t="s">
        <v>44</v>
      </c>
      <c r="I297" t="b">
        <v>1</v>
      </c>
      <c r="J297" t="s">
        <v>1351</v>
      </c>
    </row>
    <row r="298" spans="1:10" x14ac:dyDescent="0.2">
      <c r="A298" t="s">
        <v>1352</v>
      </c>
      <c r="B298" t="s">
        <v>79</v>
      </c>
      <c r="C298" t="s">
        <v>19</v>
      </c>
      <c r="D298" t="s">
        <v>80</v>
      </c>
      <c r="E298" t="s">
        <v>81</v>
      </c>
      <c r="F298" t="str">
        <f>HYPERLINK("https://doi.org/10.26583/sv.17.5.11","doi.org")</f>
        <v>doi.org</v>
      </c>
      <c r="G298" t="str">
        <f>HYPERLINK("/pdf/2025_10_26583_sv_17_5_11_performance_comparison_of_various_software_tools_in_photogrammetry_based_digitization_and.pdf","open")</f>
        <v>open</v>
      </c>
      <c r="H298" t="s">
        <v>44</v>
      </c>
      <c r="I298" t="b">
        <v>1</v>
      </c>
      <c r="J298" t="s">
        <v>1353</v>
      </c>
    </row>
    <row r="299" spans="1:10" x14ac:dyDescent="0.2">
      <c r="A299" t="s">
        <v>1354</v>
      </c>
      <c r="B299" t="s">
        <v>1341</v>
      </c>
      <c r="C299" t="s">
        <v>19</v>
      </c>
      <c r="D299" t="s">
        <v>1355</v>
      </c>
      <c r="E299" t="s">
        <v>1343</v>
      </c>
      <c r="F299" t="str">
        <f>HYPERLINK("https://doi.org/10.1109/IDCIOT64235.2025.10914826","doi.org")</f>
        <v>doi.org</v>
      </c>
      <c r="G299" t="str">
        <f>HYPERLINK("/pdf/2025_10.1109_idciot64235.2025.10914826_Artificial_Intelligence_to_Enhance_the_Security_of_Internet_of_Things__A_Comprehensive_Review.pdf","open")</f>
        <v>open</v>
      </c>
      <c r="H299" t="s">
        <v>44</v>
      </c>
      <c r="I299" t="b">
        <v>1</v>
      </c>
      <c r="J299" t="s">
        <v>1356</v>
      </c>
    </row>
    <row r="300" spans="1:10" x14ac:dyDescent="0.2">
      <c r="A300" t="s">
        <v>1357</v>
      </c>
      <c r="B300" t="s">
        <v>1358</v>
      </c>
      <c r="C300" t="s">
        <v>19</v>
      </c>
      <c r="D300" t="s">
        <v>121</v>
      </c>
      <c r="E300" t="s">
        <v>1359</v>
      </c>
      <c r="F300" t="str">
        <f>HYPERLINK("https://doi.org/10.14445/23488549/IJECE-V12I8P111","doi.org")</f>
        <v>doi.org</v>
      </c>
      <c r="G300" t="str">
        <f>HYPERLINK("/pdf/2025_10_14445_23488549_ijece_v12i8p111_real_time_intrusion_detection_using_adaptive_sliding_windows_for_concept_drift.pdf","open")</f>
        <v>open</v>
      </c>
      <c r="H300" t="s">
        <v>15</v>
      </c>
      <c r="I300" t="b">
        <v>1</v>
      </c>
      <c r="J300" t="s">
        <v>1360</v>
      </c>
    </row>
    <row r="301" spans="1:10" x14ac:dyDescent="0.2">
      <c r="A301" t="s">
        <v>1361</v>
      </c>
      <c r="B301" t="s">
        <v>1362</v>
      </c>
      <c r="C301" t="s">
        <v>54</v>
      </c>
      <c r="D301" t="s">
        <v>1363</v>
      </c>
      <c r="E301" t="s">
        <v>148</v>
      </c>
      <c r="F301" t="str">
        <f>HYPERLINK("https://doi.org/Not Reported","doi.org")</f>
        <v>doi.org</v>
      </c>
      <c r="G301" t="str">
        <f>HYPERLINK("/pdf/2020_10_14569_ijacsa_2020_0111183_plusapps_towards_a_privacy_risk_analysis_for_android_plus_applications.pdf","open")</f>
        <v>open</v>
      </c>
      <c r="H301" t="s">
        <v>15</v>
      </c>
      <c r="I301" t="b">
        <v>0</v>
      </c>
      <c r="J301" t="s">
        <v>1364</v>
      </c>
    </row>
    <row r="302" spans="1:10" x14ac:dyDescent="0.2">
      <c r="A302" t="s">
        <v>1365</v>
      </c>
      <c r="B302" t="s">
        <v>1366</v>
      </c>
      <c r="C302" t="s">
        <v>60</v>
      </c>
      <c r="D302" t="s">
        <v>310</v>
      </c>
      <c r="E302" t="s">
        <v>1367</v>
      </c>
      <c r="F302" t="str">
        <f>HYPERLINK("https://doi.org/10.1016/j.neucom.2024.128010","doi.org")</f>
        <v>doi.org</v>
      </c>
      <c r="G302" t="str">
        <f>HYPERLINK("/pdf/2024_10.1016_j.neucom.2024.128010_A_review_of_deep_learning_based_malware_detection_techniques.pdf","open")</f>
        <v>open</v>
      </c>
      <c r="H302" t="s">
        <v>15</v>
      </c>
      <c r="I302" t="b">
        <v>0</v>
      </c>
      <c r="J302" t="s">
        <v>1368</v>
      </c>
    </row>
    <row r="303" spans="1:10" x14ac:dyDescent="0.2">
      <c r="A303" t="s">
        <v>1369</v>
      </c>
      <c r="B303" t="s">
        <v>1370</v>
      </c>
      <c r="C303" t="s">
        <v>19</v>
      </c>
      <c r="D303" t="s">
        <v>338</v>
      </c>
      <c r="E303" t="s">
        <v>1371</v>
      </c>
      <c r="F303" t="str">
        <f>HYPERLINK("https://doi.org/10.1007/s13198-025-03002-0","doi.org")</f>
        <v>doi.org</v>
      </c>
      <c r="G303" t="str">
        <f>HYPERLINK("/pdf/2025_10.1007_s13198-025-03002-0_Artificial_intelligence_big_data_optimization_and_network_security_promote_rural_infrastructure_investment_dec.pdf","open")</f>
        <v>open</v>
      </c>
      <c r="H303" t="s">
        <v>15</v>
      </c>
      <c r="I303" t="b">
        <v>0</v>
      </c>
      <c r="J303" t="s">
        <v>1372</v>
      </c>
    </row>
    <row r="304" spans="1:10" x14ac:dyDescent="0.2">
      <c r="A304" t="s">
        <v>1373</v>
      </c>
      <c r="B304" t="s">
        <v>1374</v>
      </c>
      <c r="C304" t="s">
        <v>19</v>
      </c>
      <c r="D304" t="s">
        <v>1375</v>
      </c>
      <c r="E304" t="s">
        <v>1376</v>
      </c>
      <c r="F304" t="str">
        <f>HYPERLINK("https://doi.org/10.1109/DAPIC66097.2025.00172","doi.org")</f>
        <v>doi.org</v>
      </c>
      <c r="G304" t="str">
        <f>HYPERLINK("/pdf/2025_10.1109_dapic66097.2025.00172_Design_of_Artificial_Intelligence_Aided_Network_Intrusion_Detection_System_for_Critical_Infrastructure.pdf.pdf","open")</f>
        <v>open</v>
      </c>
      <c r="H304" t="s">
        <v>15</v>
      </c>
      <c r="I304" t="b">
        <v>0</v>
      </c>
      <c r="J304" t="s">
        <v>1377</v>
      </c>
    </row>
    <row r="305" spans="1:10" x14ac:dyDescent="0.2">
      <c r="A305" t="s">
        <v>1378</v>
      </c>
      <c r="B305" t="s">
        <v>1379</v>
      </c>
      <c r="C305" t="s">
        <v>60</v>
      </c>
      <c r="D305" t="s">
        <v>1363</v>
      </c>
      <c r="E305" t="s">
        <v>148</v>
      </c>
      <c r="F305" t="str">
        <f>HYPERLINK("https://doi.org/Not Reported","doi.org")</f>
        <v>doi.org</v>
      </c>
      <c r="G305" t="str">
        <f>HYPERLINK("/pdf/2024_10_14569_ijacsa_2024_0150281_prominent_security_vulnerabilities_in_cloud_computing.pdf","open")</f>
        <v>open</v>
      </c>
      <c r="H305" t="s">
        <v>15</v>
      </c>
      <c r="I305" t="b">
        <v>0</v>
      </c>
      <c r="J305" t="s">
        <v>1380</v>
      </c>
    </row>
    <row r="306" spans="1:10" x14ac:dyDescent="0.2">
      <c r="A306" t="s">
        <v>1381</v>
      </c>
      <c r="B306" t="s">
        <v>1382</v>
      </c>
      <c r="C306" t="s">
        <v>36</v>
      </c>
      <c r="D306" t="s">
        <v>1383</v>
      </c>
      <c r="E306" t="s">
        <v>1384</v>
      </c>
      <c r="F306" t="str">
        <f>HYPERLINK("https://doi.org/10.1109/ICSC53193.2021.9673380","doi.org")</f>
        <v>doi.org</v>
      </c>
      <c r="G306" t="str">
        <f>HYPERLINK("/pdf/2021_10.1109_icsc53193.2021.9673380_Detection_of_Tunneling_in_DNS_over_HTTPS.pdf","open")</f>
        <v>open</v>
      </c>
      <c r="H306" t="s">
        <v>44</v>
      </c>
      <c r="I306" t="b">
        <v>1</v>
      </c>
      <c r="J306" t="s">
        <v>1385</v>
      </c>
    </row>
    <row r="307" spans="1:10" x14ac:dyDescent="0.2">
      <c r="A307" t="s">
        <v>1386</v>
      </c>
      <c r="B307" t="s">
        <v>1387</v>
      </c>
      <c r="C307" t="s">
        <v>100</v>
      </c>
      <c r="D307" t="s">
        <v>1388</v>
      </c>
      <c r="E307" t="s">
        <v>1389</v>
      </c>
      <c r="F307" t="str">
        <f>HYPERLINK("https://doi.org/10.1109/ICECET55527.2022.9872999","doi.org")</f>
        <v>doi.org</v>
      </c>
      <c r="G307" t="str">
        <f>HYPERLINK("/pdf/2022_10.1109_icecet55527.2022.9872999_Data_Privacy_on_using_Four_Models-_A_Review.pdf","open")</f>
        <v>open</v>
      </c>
      <c r="H307" t="s">
        <v>44</v>
      </c>
      <c r="I307" t="b">
        <v>0</v>
      </c>
      <c r="J307" t="s">
        <v>1390</v>
      </c>
    </row>
    <row r="308" spans="1:10" x14ac:dyDescent="0.2">
      <c r="A308" t="s">
        <v>1391</v>
      </c>
      <c r="B308" t="s">
        <v>1392</v>
      </c>
      <c r="C308" t="s">
        <v>156</v>
      </c>
      <c r="D308" t="s">
        <v>729</v>
      </c>
      <c r="E308" t="s">
        <v>148</v>
      </c>
      <c r="F308" t="str">
        <f>HYPERLINK("https://doi.org/Not Reported","doi.org")</f>
        <v>doi.org</v>
      </c>
      <c r="G308" t="str">
        <f>HYPERLINK("/pdf/2013_10.1109_ijcnn.2013.6706768_Concept_drift_detection_for_online_class_imbalance_learning.pdf","open")</f>
        <v>open</v>
      </c>
      <c r="H308" t="s">
        <v>590</v>
      </c>
      <c r="I308" t="b">
        <v>0</v>
      </c>
      <c r="J308" t="s">
        <v>1393</v>
      </c>
    </row>
    <row r="309" spans="1:10" x14ac:dyDescent="0.2">
      <c r="A309" t="s">
        <v>1394</v>
      </c>
      <c r="B309" t="s">
        <v>1395</v>
      </c>
      <c r="C309" t="s">
        <v>19</v>
      </c>
      <c r="D309" t="s">
        <v>1396</v>
      </c>
      <c r="E309" t="s">
        <v>1397</v>
      </c>
      <c r="F309" t="str">
        <f>HYPERLINK("https://doi.org/10.1016/j.csa.2025.100098","doi.org")</f>
        <v>doi.org</v>
      </c>
      <c r="G309" t="str">
        <f>HYPERLINK("/pdf/2025_10.1016_j.csa.2025.100098_Leveraging_federated_learning_for_DoS_attack_detection_in_IoT_networks_based_on_ensemble_feature_selection_and.pdf","open")</f>
        <v>open</v>
      </c>
      <c r="H309" t="s">
        <v>44</v>
      </c>
      <c r="I309" t="b">
        <v>1</v>
      </c>
      <c r="J309" t="s">
        <v>1398</v>
      </c>
    </row>
    <row r="310" spans="1:10" x14ac:dyDescent="0.2">
      <c r="A310" t="s">
        <v>1399</v>
      </c>
      <c r="B310" t="s">
        <v>1400</v>
      </c>
      <c r="C310" t="s">
        <v>48</v>
      </c>
      <c r="D310" t="s">
        <v>37</v>
      </c>
      <c r="E310" t="s">
        <v>1401</v>
      </c>
      <c r="F310" t="str">
        <f>HYPERLINK("https://doi.org/10.32604/cmc.2025.069102","doi.org")</f>
        <v>doi.org</v>
      </c>
      <c r="G310" t="str">
        <f>HYPERLINK("/pdf/2026_10.32604_cmc.2025.069102_LightweightMulti-Agent_edge_framework_for_cybersecurity_and_resource_optimization_inmobile_sensor_networks.pdf","open")</f>
        <v>open</v>
      </c>
      <c r="H310" t="s">
        <v>15</v>
      </c>
      <c r="I310" t="b">
        <v>0</v>
      </c>
      <c r="J310" t="s">
        <v>1402</v>
      </c>
    </row>
    <row r="311" spans="1:10" x14ac:dyDescent="0.2">
      <c r="A311" t="s">
        <v>1403</v>
      </c>
      <c r="B311" t="s">
        <v>1350</v>
      </c>
      <c r="C311" t="s">
        <v>100</v>
      </c>
      <c r="D311" t="s">
        <v>404</v>
      </c>
      <c r="E311" t="s">
        <v>148</v>
      </c>
      <c r="F311" t="str">
        <f>HYPERLINK("https://doi.org/Not Reported","doi.org")</f>
        <v>doi.org</v>
      </c>
      <c r="G311" t="str">
        <f>HYPERLINK("/pdf/2023_10_1109_tdsc_2022_3179698_blockchain_based_transparency_framework_for_privacy_preserving_third_party_servi.pdf","open")</f>
        <v>open</v>
      </c>
      <c r="H311" t="s">
        <v>44</v>
      </c>
      <c r="I311" t="b">
        <v>1</v>
      </c>
      <c r="J311" t="s">
        <v>1404</v>
      </c>
    </row>
    <row r="312" spans="1:10" x14ac:dyDescent="0.2">
      <c r="A312" t="s">
        <v>1405</v>
      </c>
      <c r="B312" t="s">
        <v>1406</v>
      </c>
      <c r="C312" t="s">
        <v>19</v>
      </c>
      <c r="D312" t="s">
        <v>1407</v>
      </c>
      <c r="E312" t="s">
        <v>1408</v>
      </c>
      <c r="F312" t="str">
        <f>HYPERLINK("https://doi.org/10.18196/jrc.v6i1.24529","doi.org")</f>
        <v>doi.org</v>
      </c>
      <c r="G312" t="str">
        <f>HYPERLINK("/pdf/2025_10.18196_jrc.v6i1.24529_A_Customized_Temporal_Federated_Learning_Through_Adversarial_Networks_for_Cyber_Attack_Detection_in_IoT.pdf","open")</f>
        <v>open</v>
      </c>
      <c r="H312" t="s">
        <v>44</v>
      </c>
      <c r="I312" t="b">
        <v>1</v>
      </c>
      <c r="J312" t="s">
        <v>1409</v>
      </c>
    </row>
    <row r="313" spans="1:10" x14ac:dyDescent="0.2">
      <c r="A313" t="s">
        <v>1410</v>
      </c>
      <c r="B313" t="s">
        <v>1411</v>
      </c>
      <c r="C313" t="s">
        <v>12</v>
      </c>
      <c r="D313" t="s">
        <v>1023</v>
      </c>
      <c r="E313" t="s">
        <v>1412</v>
      </c>
      <c r="F313" t="str">
        <f>HYPERLINK("https://doi.org/10.1109/NOMS.2018.8406153","doi.org")</f>
        <v>doi.org</v>
      </c>
      <c r="G313" t="str">
        <f>HYPERLINK("/pdf/2018_10_1109_noms_2018_8406153_generation_of_sdn_policies_for_protecting_android_environments_based_on_automata_learning.pdf","open")</f>
        <v>open</v>
      </c>
      <c r="H313" t="s">
        <v>15</v>
      </c>
      <c r="I313" t="b">
        <v>0</v>
      </c>
      <c r="J313" t="s">
        <v>1413</v>
      </c>
    </row>
    <row r="314" spans="1:10" x14ac:dyDescent="0.2">
      <c r="A314" t="s">
        <v>1414</v>
      </c>
      <c r="B314" t="s">
        <v>1415</v>
      </c>
      <c r="C314" t="s">
        <v>60</v>
      </c>
      <c r="D314" t="s">
        <v>1416</v>
      </c>
      <c r="E314" t="s">
        <v>1417</v>
      </c>
      <c r="F314" t="str">
        <f>HYPERLINK("https://doi.org/10.17770/etr2024vol2.8045","doi.org")</f>
        <v>doi.org</v>
      </c>
      <c r="G314" t="str">
        <f>HYPERLINK("/pdf/2024_10.17770_etr2024vol2.8045_Data_Leakage_Prevention_and_Detection_in_Digital_Configurations__А_Survey.pdf","open")</f>
        <v>open</v>
      </c>
      <c r="H314" t="s">
        <v>15</v>
      </c>
      <c r="I314" t="b">
        <v>0</v>
      </c>
      <c r="J314" t="s">
        <v>1418</v>
      </c>
    </row>
    <row r="315" spans="1:10" x14ac:dyDescent="0.2">
      <c r="A315" t="s">
        <v>1419</v>
      </c>
      <c r="B315" t="s">
        <v>1420</v>
      </c>
      <c r="C315" t="s">
        <v>48</v>
      </c>
      <c r="D315" t="s">
        <v>1421</v>
      </c>
      <c r="E315" t="s">
        <v>1422</v>
      </c>
      <c r="F315" t="str">
        <f>HYPERLINK("https://doi.org/10.1109/EMR.2026.3661608","doi.org")</f>
        <v>doi.org</v>
      </c>
      <c r="G315" t="str">
        <f>HYPERLINK("/pdf/2026_10.1109_emr.2026.3661608_Cognitive_Security_Risks_and_Countermeasures_of_Generative_Artificial_Intelligence_in_Education_Management.pdf","open")</f>
        <v>open</v>
      </c>
      <c r="H315" t="s">
        <v>44</v>
      </c>
      <c r="I315" t="b">
        <v>1</v>
      </c>
      <c r="J315" t="s">
        <v>1423</v>
      </c>
    </row>
    <row r="316" spans="1:10" x14ac:dyDescent="0.2">
      <c r="A316" t="s">
        <v>998</v>
      </c>
      <c r="B316" t="s">
        <v>999</v>
      </c>
      <c r="C316" t="s">
        <v>19</v>
      </c>
      <c r="D316" t="s">
        <v>493</v>
      </c>
      <c r="E316" t="s">
        <v>1424</v>
      </c>
      <c r="F316" t="str">
        <f>HYPERLINK("https://doi.org/10.1038/s41598-025-89794-4","doi.org")</f>
        <v>doi.org</v>
      </c>
      <c r="G316" t="str">
        <f>HYPERLINK("/pdf/2025_10_1038_s41598_025_89794_4_revolutionary_hybrid_ensembled_deep_learning_model_for_accurate_and_robust_side_channel_at.pdf","open")</f>
        <v>open</v>
      </c>
      <c r="H316" t="s">
        <v>44</v>
      </c>
      <c r="I316" t="b">
        <v>1</v>
      </c>
      <c r="J316" t="s">
        <v>1425</v>
      </c>
    </row>
    <row r="317" spans="1:10" x14ac:dyDescent="0.2">
      <c r="A317" t="s">
        <v>1426</v>
      </c>
      <c r="B317" t="s">
        <v>1427</v>
      </c>
      <c r="C317" t="s">
        <v>25</v>
      </c>
      <c r="D317" t="s">
        <v>1428</v>
      </c>
      <c r="E317" t="s">
        <v>1429</v>
      </c>
      <c r="F317" t="str">
        <f>HYPERLINK("https://doi.org/10.1109/POWERCON58120.2023.10331301","doi.org")</f>
        <v>doi.org</v>
      </c>
      <c r="G317" t="str">
        <f>HYPERLINK("/pdf/2023_10.1109_powercon58120.2023.10331301_Risk_Model_and_Defense_Strategy_for_Operation_and_Maintenance_of_Remote_Terminal_Units_in_Distribution_System.pdf","open")</f>
        <v>open</v>
      </c>
      <c r="H317" t="s">
        <v>15</v>
      </c>
      <c r="I317" t="b">
        <v>0</v>
      </c>
      <c r="J317" t="s">
        <v>1430</v>
      </c>
    </row>
    <row r="318" spans="1:10" x14ac:dyDescent="0.2">
      <c r="A318" t="s">
        <v>1431</v>
      </c>
      <c r="B318" t="s">
        <v>1432</v>
      </c>
      <c r="C318" t="s">
        <v>19</v>
      </c>
      <c r="D318" t="s">
        <v>1433</v>
      </c>
      <c r="E318" t="s">
        <v>1434</v>
      </c>
      <c r="F318" t="str">
        <f>HYPERLINK("https://doi.org/10.1109/AIOTC66747.2025.11198781","doi.org")</f>
        <v>doi.org</v>
      </c>
      <c r="G318" t="str">
        <f>HYPERLINK("/pdf/2025_10.1109_aiotc66747.2025.11198781_Controller_Area_Network_Bus_Intrusion_Detection_Classification_Model_Based_on_Multimodal_Fusion_Mechanism.pdf","open")</f>
        <v>open</v>
      </c>
      <c r="H318" t="s">
        <v>15</v>
      </c>
      <c r="I318" t="b">
        <v>1</v>
      </c>
      <c r="J318" t="s">
        <v>1435</v>
      </c>
    </row>
    <row r="319" spans="1:10" x14ac:dyDescent="0.2">
      <c r="A319" t="s">
        <v>1436</v>
      </c>
      <c r="B319" t="s">
        <v>1437</v>
      </c>
      <c r="C319" t="s">
        <v>19</v>
      </c>
      <c r="D319" t="s">
        <v>1438</v>
      </c>
      <c r="E319" t="s">
        <v>1436</v>
      </c>
      <c r="F319" t="str">
        <f>HYPERLINK("https://doi.org/10.1109/ICEIC64972.2025.10879716","doi.org")</f>
        <v>doi.org</v>
      </c>
      <c r="G319" t="str">
        <f>HYPERLINK("/pdf/2025_10.1109_iceic64972.2025.10879716_A_Study_on_the_Evaluation_of_Cyber_Security_Vulnerabilities_in_Medical_Software.pdf","open")</f>
        <v>open</v>
      </c>
      <c r="H319" t="s">
        <v>15</v>
      </c>
      <c r="I319" t="b">
        <v>0</v>
      </c>
      <c r="J319" t="s">
        <v>1439</v>
      </c>
    </row>
    <row r="320" spans="1:10" x14ac:dyDescent="0.2">
      <c r="A320" t="s">
        <v>1440</v>
      </c>
      <c r="B320" t="s">
        <v>1441</v>
      </c>
      <c r="C320" t="s">
        <v>19</v>
      </c>
      <c r="D320" t="s">
        <v>1442</v>
      </c>
      <c r="E320" t="s">
        <v>1443</v>
      </c>
      <c r="F320" t="str">
        <f>HYPERLINK("https://doi.org/10.1007/s10489-025-06417-1","doi.org")</f>
        <v>doi.org</v>
      </c>
      <c r="G320" t="str">
        <f>HYPERLINK("/pdf/2025_10.1007_s10489-025-06417-1_A_reinforcement_learning_malware_detection_model_based_on_heterogeneous_information_network_path_representatio.pdf","open")</f>
        <v>open</v>
      </c>
      <c r="H320" t="s">
        <v>15</v>
      </c>
      <c r="I320" t="b">
        <v>0</v>
      </c>
      <c r="J320" t="s">
        <v>1444</v>
      </c>
    </row>
    <row r="321" spans="1:10" x14ac:dyDescent="0.2">
      <c r="A321" t="s">
        <v>1445</v>
      </c>
      <c r="B321" t="s">
        <v>1446</v>
      </c>
      <c r="C321" t="s">
        <v>25</v>
      </c>
      <c r="D321" t="s">
        <v>1447</v>
      </c>
      <c r="E321" t="s">
        <v>1448</v>
      </c>
      <c r="F321" t="str">
        <f>HYPERLINK("https://doi.org/10.1109/ICECS58634.2023.10382763","doi.org")</f>
        <v>doi.org</v>
      </c>
      <c r="G321" t="str">
        <f>HYPERLINK("/pdf/2023_10.1109_icecs58634.2023.10382763_FPGA_Based_Intelligent_Hardware_Trojan_Design_and_its_SoC_Implementation.pdf","open")</f>
        <v>open</v>
      </c>
      <c r="H321" t="s">
        <v>44</v>
      </c>
      <c r="I321" t="b">
        <v>1</v>
      </c>
      <c r="J321" t="s">
        <v>1449</v>
      </c>
    </row>
    <row r="322" spans="1:10" x14ac:dyDescent="0.2">
      <c r="A322" t="s">
        <v>1450</v>
      </c>
      <c r="B322" t="s">
        <v>1451</v>
      </c>
      <c r="C322" t="s">
        <v>60</v>
      </c>
      <c r="D322" t="s">
        <v>1452</v>
      </c>
      <c r="E322" t="s">
        <v>1453</v>
      </c>
      <c r="F322" t="str">
        <f>HYPERLINK("https://doi.org/10.1109/PEEEC63877.2024.00092","doi.org")</f>
        <v>doi.org</v>
      </c>
      <c r="G322" t="str">
        <f>HYPERLINK("/pdf/2024_10.1109_peeec63877.2024.00092_Research_and_Implementation_of_Intelligent_Security_Protection_Algorithm_for_5G_Communication.pdf","open")</f>
        <v>open</v>
      </c>
      <c r="H322" t="s">
        <v>15</v>
      </c>
      <c r="I322" t="b">
        <v>0</v>
      </c>
      <c r="J322" t="s">
        <v>1454</v>
      </c>
    </row>
    <row r="323" spans="1:10" x14ac:dyDescent="0.2">
      <c r="A323" t="s">
        <v>1455</v>
      </c>
      <c r="B323" t="s">
        <v>743</v>
      </c>
      <c r="C323" t="s">
        <v>60</v>
      </c>
      <c r="D323" t="s">
        <v>744</v>
      </c>
      <c r="E323" t="s">
        <v>148</v>
      </c>
      <c r="F323" t="str">
        <f>HYPERLINK("https://doi.org/Not Reported","doi.org")</f>
        <v>doi.org</v>
      </c>
      <c r="G323" t="str">
        <f>HYPERLINK("/pdf/2024_10.19363_j.cnki.cn10-1380_tn.2024.01.06_Web_Attack_Detection_Method_Based_on_Stacking_Fusion_Model;_基于_Stacking_融合模型的_Web_攻击检测方法.pdf","open")</f>
        <v>open</v>
      </c>
      <c r="H323" t="s">
        <v>44</v>
      </c>
      <c r="I323" t="b">
        <v>1</v>
      </c>
      <c r="J323" t="s">
        <v>1456</v>
      </c>
    </row>
    <row r="324" spans="1:10" x14ac:dyDescent="0.2">
      <c r="A324" t="s">
        <v>1457</v>
      </c>
      <c r="B324" t="s">
        <v>1458</v>
      </c>
      <c r="C324" t="s">
        <v>19</v>
      </c>
      <c r="D324" t="s">
        <v>1459</v>
      </c>
      <c r="E324" t="s">
        <v>1460</v>
      </c>
      <c r="F324" t="str">
        <f>HYPERLINK("https://doi.org/10.1109/IJCNN64981.2025.11228082","doi.org")</f>
        <v>doi.org</v>
      </c>
      <c r="G324" t="str">
        <f>HYPERLINK("/pdf/2025_10.1109_ijcnn64981.2025.11228082_An_Integrated_Approach_to_Mitigate_Poisoning_Attacks_in_Federated_Learning_Frameworks.pdf","open")</f>
        <v>open</v>
      </c>
      <c r="H324" t="s">
        <v>15</v>
      </c>
      <c r="I324" t="b">
        <v>1</v>
      </c>
      <c r="J324" t="s">
        <v>1461</v>
      </c>
    </row>
    <row r="325" spans="1:10" x14ac:dyDescent="0.2">
      <c r="A325" t="s">
        <v>1462</v>
      </c>
      <c r="B325" t="s">
        <v>1463</v>
      </c>
      <c r="C325" t="s">
        <v>136</v>
      </c>
      <c r="D325" t="s">
        <v>686</v>
      </c>
      <c r="E325" t="s">
        <v>148</v>
      </c>
      <c r="F325" t="str">
        <f>HYPERLINK("https://doi.org/Not Reported","doi.org")</f>
        <v>doi.org</v>
      </c>
      <c r="G325" t="str">
        <f>HYPERLINK("/pdf/2020_10.1007_978-3-030-15160-7_68_Information_Security_of_Mobile_Systems.pdf","open")</f>
        <v>open</v>
      </c>
      <c r="H325" t="s">
        <v>15</v>
      </c>
      <c r="I325" t="b">
        <v>0</v>
      </c>
      <c r="J325" t="s">
        <v>1464</v>
      </c>
    </row>
    <row r="326" spans="1:10" x14ac:dyDescent="0.2">
      <c r="A326" t="s">
        <v>1465</v>
      </c>
      <c r="B326" t="s">
        <v>1466</v>
      </c>
      <c r="C326" t="s">
        <v>25</v>
      </c>
      <c r="D326" t="s">
        <v>1467</v>
      </c>
      <c r="E326" t="s">
        <v>1468</v>
      </c>
      <c r="F326" t="str">
        <f>HYPERLINK("https://doi.org/10.1109/ICoDSA58501.2023.10276974","doi.org")</f>
        <v>doi.org</v>
      </c>
      <c r="G326" t="str">
        <f>HYPERLINK("/pdf/2023_10.1109_icodsa58501.2023.10276974_Public_Awareness_of_Phishing_in_Indonesia__System_Literature_Review.pdf","open")</f>
        <v>open</v>
      </c>
      <c r="H326" t="s">
        <v>44</v>
      </c>
      <c r="I326" t="b">
        <v>1</v>
      </c>
      <c r="J326" t="s">
        <v>1469</v>
      </c>
    </row>
    <row r="327" spans="1:10" x14ac:dyDescent="0.2">
      <c r="A327" t="s">
        <v>1470</v>
      </c>
      <c r="B327" t="s">
        <v>779</v>
      </c>
      <c r="C327" t="s">
        <v>60</v>
      </c>
      <c r="D327" t="s">
        <v>780</v>
      </c>
      <c r="E327" t="s">
        <v>778</v>
      </c>
      <c r="F327" t="str">
        <f>HYPERLINK("https://doi.org/10.20473/mi.v7i3.55931","doi.org")</f>
        <v>doi.org</v>
      </c>
      <c r="G327" t="str">
        <f>HYPERLINK("/pdf/2024_10_20473_mi_v7i3_55931_data_leakage_of_the_indonesian_elections_commission_in_legal_aspects_of_personal_data_prot.pdf","open")</f>
        <v>open</v>
      </c>
      <c r="H327" t="s">
        <v>44</v>
      </c>
      <c r="I327" t="b">
        <v>1</v>
      </c>
      <c r="J327" t="s">
        <v>1471</v>
      </c>
    </row>
    <row r="328" spans="1:10" x14ac:dyDescent="0.2">
      <c r="A328" t="s">
        <v>1472</v>
      </c>
      <c r="B328" t="s">
        <v>1222</v>
      </c>
      <c r="C328" t="s">
        <v>25</v>
      </c>
      <c r="D328" t="s">
        <v>1473</v>
      </c>
      <c r="E328" t="s">
        <v>1224</v>
      </c>
      <c r="F328" t="str">
        <f>HYPERLINK("https://doi.org/10.1109/FMEC59375.2023.10305886","doi.org")</f>
        <v>doi.org</v>
      </c>
      <c r="G328" t="str">
        <f>HYPERLINK("/pdf/2023_10_1109_fmec59375_2023_10305886_an_overview_of_using_of_artificial_intelligence_in_enhancing_security_and_privacy_in_mobil.pdf","open")</f>
        <v>open</v>
      </c>
      <c r="H328" t="s">
        <v>44</v>
      </c>
      <c r="I328" t="b">
        <v>1</v>
      </c>
      <c r="J328" t="s">
        <v>1474</v>
      </c>
    </row>
    <row r="329" spans="1:10" x14ac:dyDescent="0.2">
      <c r="A329" t="s">
        <v>1475</v>
      </c>
      <c r="B329" t="s">
        <v>1476</v>
      </c>
      <c r="C329" t="s">
        <v>19</v>
      </c>
      <c r="D329" t="s">
        <v>488</v>
      </c>
      <c r="E329" t="s">
        <v>1477</v>
      </c>
      <c r="F329" t="str">
        <f>HYPERLINK("https://doi.org/10.1007/s10207-025-01044-w","doi.org")</f>
        <v>doi.org</v>
      </c>
      <c r="G329" t="str">
        <f>HYPERLINK("/pdf/2025_10_1007_s10207_025_01044_w_a_survey_on_malware_attacks_in_industrial_air_gap_systems.pdf","open")</f>
        <v>open</v>
      </c>
      <c r="H329" t="s">
        <v>44</v>
      </c>
      <c r="I329" t="b">
        <v>1</v>
      </c>
      <c r="J329" t="s">
        <v>1478</v>
      </c>
    </row>
    <row r="330" spans="1:10" x14ac:dyDescent="0.2">
      <c r="A330" t="s">
        <v>1479</v>
      </c>
      <c r="B330" t="s">
        <v>1480</v>
      </c>
      <c r="C330" t="s">
        <v>60</v>
      </c>
      <c r="D330" t="s">
        <v>983</v>
      </c>
      <c r="E330" t="s">
        <v>1481</v>
      </c>
      <c r="F330" t="str">
        <f>HYPERLINK("https://doi.org/https://doi.org/10.3390/jcp4040039","doi.org")</f>
        <v>doi.org</v>
      </c>
      <c r="G330" t="str">
        <f>HYPERLINK("/pdf/2024_10_3390_jcp4040039_enhancing_cybersecurity_through_comprehensive_investigation_of_data_flow_based_attack_scen.pdf","open")</f>
        <v>open</v>
      </c>
      <c r="H330" t="s">
        <v>44</v>
      </c>
      <c r="I330" t="b">
        <v>1</v>
      </c>
      <c r="J330" t="s">
        <v>1482</v>
      </c>
    </row>
    <row r="331" spans="1:10" x14ac:dyDescent="0.2">
      <c r="A331" t="s">
        <v>1483</v>
      </c>
      <c r="B331" t="s">
        <v>1484</v>
      </c>
      <c r="C331" t="s">
        <v>25</v>
      </c>
      <c r="D331" t="s">
        <v>1485</v>
      </c>
      <c r="E331" t="s">
        <v>1486</v>
      </c>
      <c r="F331" t="str">
        <f>HYPERLINK("https://doi.org/10.1109/ICICSP59554.2023.10390572","doi.org")</f>
        <v>doi.org</v>
      </c>
      <c r="G331" t="str">
        <f>HYPERLINK("/pdf/2023_10.1109_icicsp59554.2023.10390572_Network_Traffic_Forensics_and_Traceability_Technology_Based_on_Blockchain.pdf","open")</f>
        <v>open</v>
      </c>
      <c r="H331" t="s">
        <v>15</v>
      </c>
      <c r="I331" t="b">
        <v>0</v>
      </c>
      <c r="J331" t="s">
        <v>1487</v>
      </c>
    </row>
    <row r="332" spans="1:10" x14ac:dyDescent="0.2">
      <c r="A332" t="s">
        <v>1488</v>
      </c>
      <c r="B332" t="s">
        <v>1441</v>
      </c>
      <c r="C332" t="s">
        <v>19</v>
      </c>
      <c r="D332" t="s">
        <v>1442</v>
      </c>
      <c r="E332" t="s">
        <v>1443</v>
      </c>
      <c r="F332" t="str">
        <f>HYPERLINK("https://doi.org/10.1007/s10489-025-06417-1","doi.org")</f>
        <v>doi.org</v>
      </c>
      <c r="G332" t="str">
        <f>HYPERLINK("/pdf/2025_10.1007_s11227-025-07116-x_GDT-IDS__graph-based_decision_tree_intrusion_detection_system_for_controller_area_network.pdf","open")</f>
        <v>open</v>
      </c>
      <c r="H332" t="s">
        <v>15</v>
      </c>
      <c r="I332" t="b">
        <v>0</v>
      </c>
      <c r="J332" t="s">
        <v>1489</v>
      </c>
    </row>
    <row r="333" spans="1:10" x14ac:dyDescent="0.2">
      <c r="A333" t="s">
        <v>1490</v>
      </c>
      <c r="B333" t="s">
        <v>1491</v>
      </c>
      <c r="C333" t="s">
        <v>54</v>
      </c>
      <c r="D333" t="s">
        <v>1492</v>
      </c>
      <c r="E333" t="s">
        <v>1493</v>
      </c>
      <c r="F333" t="str">
        <f>HYPERLINK("https://doi.org/10.1109/GUCON48875.2020.9231086","doi.org")</f>
        <v>doi.org</v>
      </c>
      <c r="G333" t="str">
        <f>HYPERLINK("/pdf/2020_10.1109_discover50404.2020.9278053_The_Mechanism_to_Combat_Data_Leakage_Trojans_in_Circuits_using_Ranomized_Encoding.pdf","open")</f>
        <v>open</v>
      </c>
      <c r="H333" t="s">
        <v>15</v>
      </c>
      <c r="I333" t="b">
        <v>0</v>
      </c>
      <c r="J333" t="s">
        <v>1494</v>
      </c>
    </row>
    <row r="334" spans="1:10" x14ac:dyDescent="0.2">
      <c r="A334" t="s">
        <v>1495</v>
      </c>
      <c r="B334" t="s">
        <v>1496</v>
      </c>
      <c r="C334" t="s">
        <v>36</v>
      </c>
      <c r="D334" t="s">
        <v>1497</v>
      </c>
      <c r="E334" t="s">
        <v>1495</v>
      </c>
      <c r="F334" t="str">
        <f>HYPERLINK("https://doi.org/10.1145/3453800.3453824","doi.org")</f>
        <v>doi.org</v>
      </c>
      <c r="G334" t="str">
        <f>HYPERLINK("/pdf/2021_10.1145_3453800.3453824_Detect_Android_malware_by_using_deep_learning__Experiment_and_Evaluation.pdf","open")</f>
        <v>open</v>
      </c>
      <c r="H334" t="s">
        <v>15</v>
      </c>
      <c r="I334" t="b">
        <v>0</v>
      </c>
      <c r="J334" t="s">
        <v>1498</v>
      </c>
    </row>
    <row r="335" spans="1:10" x14ac:dyDescent="0.2">
      <c r="A335" t="s">
        <v>1499</v>
      </c>
      <c r="B335" t="s">
        <v>1500</v>
      </c>
      <c r="C335" t="s">
        <v>60</v>
      </c>
      <c r="D335" t="s">
        <v>1501</v>
      </c>
      <c r="E335" t="s">
        <v>1502</v>
      </c>
      <c r="F335" t="str">
        <f>HYPERLINK("https://doi.org/10.1109/ITCEM65710.2024.00030","doi.org")</f>
        <v>doi.org</v>
      </c>
      <c r="G335" t="str">
        <f>HYPERLINK("/pdf/2024_10.1109_itcem65710.2024.00030_Research_on_Network_Security_Threat_Detection_and_Defense_Mechanism_Based_on_Artificial_Intelligence.pdf","open")</f>
        <v>open</v>
      </c>
      <c r="H335" t="s">
        <v>15</v>
      </c>
      <c r="I335" t="b">
        <v>0</v>
      </c>
      <c r="J335" t="s">
        <v>1503</v>
      </c>
    </row>
    <row r="336" spans="1:10" x14ac:dyDescent="0.2">
      <c r="A336" t="s">
        <v>1504</v>
      </c>
      <c r="B336" t="s">
        <v>1505</v>
      </c>
      <c r="C336" t="s">
        <v>19</v>
      </c>
      <c r="D336" t="s">
        <v>1506</v>
      </c>
      <c r="E336" t="s">
        <v>1507</v>
      </c>
      <c r="F336" t="str">
        <f>HYPERLINK("https://doi.org/10.1109/SAMI63904.2025.10883123","doi.org")</f>
        <v>doi.org</v>
      </c>
      <c r="G336" t="str">
        <f>HYPERLINK("/pdf/2025_10.1109_sami63904.2025.10883123_Improving_Cybersecurity_in_Hospital_Information_Systems_through_Anonymization_Techniques.pdf","open")</f>
        <v>open</v>
      </c>
      <c r="H336" t="s">
        <v>15</v>
      </c>
      <c r="I336" t="b">
        <v>0</v>
      </c>
      <c r="J336" t="s">
        <v>1508</v>
      </c>
    </row>
    <row r="337" spans="1:10" x14ac:dyDescent="0.2">
      <c r="A337" t="s">
        <v>1509</v>
      </c>
      <c r="B337" t="s">
        <v>1088</v>
      </c>
      <c r="C337" t="s">
        <v>19</v>
      </c>
      <c r="D337" t="s">
        <v>1089</v>
      </c>
      <c r="E337" t="s">
        <v>1087</v>
      </c>
      <c r="F337" t="str">
        <f>HYPERLINK("https://doi.org/10.11591/ijai.v14.i6.pp4913-4922","doi.org")</f>
        <v>doi.org</v>
      </c>
      <c r="G337" t="str">
        <f>HYPERLINK("/pdf/2025_10_11591_ijai_v14_i6_pp4913_4922_comparative_evaluation_of_machine_learning_models_for_intrusion_detection_in_wsn.pdf","open")</f>
        <v>open</v>
      </c>
      <c r="H337" t="s">
        <v>15</v>
      </c>
      <c r="I337" t="b">
        <v>0</v>
      </c>
      <c r="J337" t="s">
        <v>1510</v>
      </c>
    </row>
    <row r="338" spans="1:10" x14ac:dyDescent="0.2">
      <c r="A338" t="s">
        <v>1511</v>
      </c>
      <c r="B338" t="s">
        <v>1512</v>
      </c>
      <c r="C338" t="s">
        <v>60</v>
      </c>
      <c r="D338" t="s">
        <v>1513</v>
      </c>
      <c r="E338" t="s">
        <v>1514</v>
      </c>
      <c r="F338" t="str">
        <f>HYPERLINK("https://doi.org/10.1109/ICCTIT64404.2024.10928389","doi.org")</f>
        <v>doi.org</v>
      </c>
      <c r="G338" t="str">
        <f>HYPERLINK("/pdf/2024_10.1109_icctit64404.2024.10928389_Research_and_Construction_of_Multi-model_Fusionbased_Malicious_URL_Detection_Method.pdf","open")</f>
        <v>open</v>
      </c>
      <c r="H338" t="s">
        <v>15</v>
      </c>
      <c r="I338" t="b">
        <v>0</v>
      </c>
      <c r="J338" t="s">
        <v>1515</v>
      </c>
    </row>
    <row r="339" spans="1:10" x14ac:dyDescent="0.2">
      <c r="A339" t="s">
        <v>1516</v>
      </c>
      <c r="B339" t="s">
        <v>1517</v>
      </c>
      <c r="C339" t="s">
        <v>19</v>
      </c>
      <c r="D339" t="s">
        <v>76</v>
      </c>
      <c r="E339" t="s">
        <v>1518</v>
      </c>
      <c r="F339" t="str">
        <f>HYPERLINK("https://doi.org/10.1109/ACCESS.2025.3588808","doi.org")</f>
        <v>doi.org</v>
      </c>
      <c r="G339" t="str">
        <f>HYPERLINK("/pdf/2025_10.1109_access.2025.3588808_A_Federated_Learning_Model_for_Detecting_Cyberattacks_in_Internet_of_Medical_Things_Networks.pdf","open")</f>
        <v>open</v>
      </c>
      <c r="H339" t="s">
        <v>15</v>
      </c>
      <c r="I339" t="b">
        <v>0</v>
      </c>
      <c r="J339" t="s">
        <v>1519</v>
      </c>
    </row>
    <row r="340" spans="1:10" x14ac:dyDescent="0.2">
      <c r="A340" t="s">
        <v>1520</v>
      </c>
      <c r="B340" t="s">
        <v>1521</v>
      </c>
      <c r="C340" t="s">
        <v>25</v>
      </c>
      <c r="D340" t="s">
        <v>1522</v>
      </c>
      <c r="E340" t="s">
        <v>1523</v>
      </c>
      <c r="F340" t="str">
        <f>HYPERLINK("https://doi.org/10.1109/ICTC58733.2023.10392902","doi.org")</f>
        <v>doi.org</v>
      </c>
      <c r="G340" t="str">
        <f>HYPERLINK("/pdf/2023_10.1109_ictc58733.2023.10392902_Federated_Learning_with_Differential_Privacy_for_Intrusion_Detection_in_Internet_of_Flying_Things__A_Robust_Ap.pdf","open")</f>
        <v>open</v>
      </c>
      <c r="H340" t="s">
        <v>15</v>
      </c>
      <c r="I340" t="b">
        <v>0</v>
      </c>
      <c r="J340" t="s">
        <v>1524</v>
      </c>
    </row>
    <row r="341" spans="1:10" x14ac:dyDescent="0.2">
      <c r="A341" t="s">
        <v>1525</v>
      </c>
      <c r="B341" t="s">
        <v>1526</v>
      </c>
      <c r="C341" t="s">
        <v>36</v>
      </c>
      <c r="D341" t="s">
        <v>1527</v>
      </c>
      <c r="E341" t="s">
        <v>1528</v>
      </c>
      <c r="F341" t="str">
        <f>HYPERLINK("https://doi.org/10.1109/INFOCOM42981.2021.9488914","doi.org")</f>
        <v>doi.org</v>
      </c>
      <c r="G341" t="str">
        <f>HYPERLINK("/pdf/2021_10.1109_infocom42981.2021.9488914_Finding_critical_files_from_a_packet.pdf","open")</f>
        <v>open</v>
      </c>
      <c r="H341" t="s">
        <v>15</v>
      </c>
      <c r="I341" t="b">
        <v>0</v>
      </c>
      <c r="J341" t="s">
        <v>1529</v>
      </c>
    </row>
    <row r="342" spans="1:10" x14ac:dyDescent="0.2">
      <c r="A342" t="s">
        <v>1530</v>
      </c>
      <c r="B342" t="s">
        <v>541</v>
      </c>
      <c r="C342" t="s">
        <v>25</v>
      </c>
      <c r="D342" t="s">
        <v>542</v>
      </c>
      <c r="E342" t="s">
        <v>540</v>
      </c>
      <c r="F342" t="str">
        <f>HYPERLINK("https://doi.org/10.1109/TDSC.2023.3323713","doi.org")</f>
        <v>doi.org</v>
      </c>
      <c r="G342" t="str">
        <f>HYPERLINK("/pdf/2024_10_1109_tdsc_2023_3323713_leakage_of_authorization_data_in_iot_device_sharing_new_attacks_and_countermeasure.pdf","open")</f>
        <v>open</v>
      </c>
      <c r="H342" t="s">
        <v>44</v>
      </c>
      <c r="I342" t="b">
        <v>1</v>
      </c>
      <c r="J342" t="s">
        <v>1531</v>
      </c>
    </row>
    <row r="343" spans="1:10" x14ac:dyDescent="0.2">
      <c r="A343" t="s">
        <v>1532</v>
      </c>
      <c r="B343" t="s">
        <v>1533</v>
      </c>
      <c r="C343" t="s">
        <v>36</v>
      </c>
      <c r="D343" t="s">
        <v>1534</v>
      </c>
      <c r="E343" t="s">
        <v>1535</v>
      </c>
      <c r="F343" t="str">
        <f>HYPERLINK("https://doi.org/10.1109/MI-STA52233.2021.9464458","doi.org")</f>
        <v>doi.org</v>
      </c>
      <c r="G343" t="str">
        <f>HYPERLINK("/pdf/2021_10.1109_mi-sta52233.2021.9464458_Deploying_Risk_Access_Models_in_a_Cloud_Environment__Possibilities_and_Challenges.pdf","open")</f>
        <v>open</v>
      </c>
      <c r="H343" t="s">
        <v>15</v>
      </c>
      <c r="I343" t="b">
        <v>0</v>
      </c>
      <c r="J343" t="s">
        <v>1536</v>
      </c>
    </row>
    <row r="344" spans="1:10" x14ac:dyDescent="0.2">
      <c r="A344" t="s">
        <v>1537</v>
      </c>
      <c r="B344" t="s">
        <v>1283</v>
      </c>
      <c r="C344" t="s">
        <v>100</v>
      </c>
      <c r="D344" t="s">
        <v>1538</v>
      </c>
      <c r="E344" t="s">
        <v>1285</v>
      </c>
      <c r="F344" t="str">
        <f>HYPERLINK("https://doi.org/10.17341/gazimmfd.641580","doi.org")</f>
        <v>doi.org</v>
      </c>
      <c r="G344" t="str">
        <f>HYPERLINK("/pdf/2022_10_17341_gazimmfd_641580_a_new_document_classification_algorithm_against_malicious_data_leakage_attacks.pdf","open")</f>
        <v>open</v>
      </c>
      <c r="H344" t="s">
        <v>15</v>
      </c>
      <c r="I344" t="b">
        <v>0</v>
      </c>
      <c r="J344" t="s">
        <v>1539</v>
      </c>
    </row>
    <row r="345" spans="1:10" x14ac:dyDescent="0.2">
      <c r="A345" t="s">
        <v>1540</v>
      </c>
      <c r="B345" t="s">
        <v>1541</v>
      </c>
      <c r="C345" t="s">
        <v>100</v>
      </c>
      <c r="D345" t="s">
        <v>1542</v>
      </c>
      <c r="E345" t="s">
        <v>1543</v>
      </c>
      <c r="F345" t="str">
        <f>HYPERLINK("https://doi.org/10.1145/3512750.3512763 (inferred from venue)","doi.org")</f>
        <v>doi.org</v>
      </c>
      <c r="G345" t="str">
        <f>HYPERLINK("/pdf/2022_10_1109_ipsn54338_2022_00040_deepauditor_distributed_online_intrusion_detection_system_for_iot_devices_via_power_side.pdf","open")</f>
        <v>open</v>
      </c>
      <c r="H345" t="s">
        <v>15</v>
      </c>
      <c r="I345" t="b">
        <v>0</v>
      </c>
      <c r="J345" t="s">
        <v>1544</v>
      </c>
    </row>
    <row r="346" spans="1:10" x14ac:dyDescent="0.2">
      <c r="A346" t="s">
        <v>1545</v>
      </c>
      <c r="B346" t="s">
        <v>1546</v>
      </c>
      <c r="C346" t="s">
        <v>36</v>
      </c>
      <c r="D346" t="s">
        <v>1547</v>
      </c>
      <c r="E346" t="s">
        <v>1548</v>
      </c>
      <c r="F346" t="str">
        <f>HYPERLINK("https://doi.org/10.1109/ICSIP52628.2021.9689011","doi.org")</f>
        <v>doi.org</v>
      </c>
      <c r="G346" t="str">
        <f>HYPERLINK("/pdf/2021_10.1109_icsip52628.2021.9689011_A_Covert_Communication_Method_Based_on_Gradient_Model.pdf","open")</f>
        <v>open</v>
      </c>
      <c r="H346" t="s">
        <v>15</v>
      </c>
      <c r="I346" t="b">
        <v>1</v>
      </c>
      <c r="J346" t="s">
        <v>1549</v>
      </c>
    </row>
    <row r="347" spans="1:10" x14ac:dyDescent="0.2">
      <c r="A347" t="s">
        <v>1550</v>
      </c>
      <c r="B347" t="s">
        <v>1551</v>
      </c>
      <c r="C347" t="s">
        <v>25</v>
      </c>
      <c r="D347" t="s">
        <v>1552</v>
      </c>
      <c r="E347" t="s">
        <v>148</v>
      </c>
      <c r="F347" t="str">
        <f>HYPERLINK("https://doi.org/Not Reported","doi.org")</f>
        <v>doi.org</v>
      </c>
      <c r="G347" t="str">
        <f>HYPERLINK("/pdf/2024_10_1109_tase_2023_3267034_transactive_energy_system_deployment_over_insecure_communication_links.pdf","open")</f>
        <v>open</v>
      </c>
      <c r="H347" t="s">
        <v>15</v>
      </c>
      <c r="I347" t="b">
        <v>0</v>
      </c>
      <c r="J347" t="s">
        <v>1553</v>
      </c>
    </row>
    <row r="348" spans="1:10" x14ac:dyDescent="0.2">
      <c r="A348" t="s">
        <v>1554</v>
      </c>
      <c r="B348" t="s">
        <v>1555</v>
      </c>
      <c r="C348" t="s">
        <v>36</v>
      </c>
      <c r="D348" t="s">
        <v>1556</v>
      </c>
      <c r="E348" t="s">
        <v>1557</v>
      </c>
      <c r="F348" t="str">
        <f>HYPERLINK("https://doi.org/10.1145/3503823.3503886","doi.org")</f>
        <v>doi.org</v>
      </c>
      <c r="G348" t="str">
        <f>HYPERLINK("/pdf/2021_10.1145_3503823.3503886_Uncuffed__A_Blockchain-based_Secure_Messaging_System.pdf","open")</f>
        <v>open</v>
      </c>
      <c r="H348" t="s">
        <v>15</v>
      </c>
      <c r="I348" t="b">
        <v>1</v>
      </c>
      <c r="J348" t="s">
        <v>1558</v>
      </c>
    </row>
    <row r="349" spans="1:10" x14ac:dyDescent="0.2">
      <c r="A349" t="s">
        <v>1559</v>
      </c>
      <c r="B349" t="s">
        <v>337</v>
      </c>
      <c r="C349" t="s">
        <v>19</v>
      </c>
      <c r="D349" t="s">
        <v>338</v>
      </c>
      <c r="E349" t="s">
        <v>1560</v>
      </c>
      <c r="F349" t="str">
        <f>HYPERLINK("https://doi.org/https://doi.org/10.1007/s13198-025-03013-x","doi.org")</f>
        <v>doi.org</v>
      </c>
      <c r="G349" t="str">
        <f>HYPERLINK("/pdf/2025_10_1007_s13198_025_03013_x_mobile_network_intelligent_recommendation_based_on_data_mining_and_network_secur.pdf","open")</f>
        <v>open</v>
      </c>
      <c r="H349" t="s">
        <v>15</v>
      </c>
      <c r="I349" t="b">
        <v>1</v>
      </c>
      <c r="J349" t="s">
        <v>1561</v>
      </c>
    </row>
    <row r="350" spans="1:10" x14ac:dyDescent="0.2">
      <c r="A350" t="s">
        <v>1562</v>
      </c>
      <c r="B350" t="s">
        <v>59</v>
      </c>
      <c r="C350" t="s">
        <v>60</v>
      </c>
      <c r="D350" t="s">
        <v>1563</v>
      </c>
      <c r="E350" t="s">
        <v>62</v>
      </c>
      <c r="F350" t="str">
        <f>HYPERLINK("https://doi.org/10.17770/etr2024vol2.8062","doi.org")</f>
        <v>doi.org</v>
      </c>
      <c r="G350" t="str">
        <f>HYPERLINK("/pdf/2024_10_17770_etr2024vol2_8062_management_approaches_and_application_areas_of_information_security_in_organizat.pdf","open")</f>
        <v>open</v>
      </c>
      <c r="H350" t="s">
        <v>15</v>
      </c>
      <c r="I350" t="b">
        <v>0</v>
      </c>
      <c r="J350" t="s">
        <v>1564</v>
      </c>
    </row>
    <row r="351" spans="1:10" x14ac:dyDescent="0.2">
      <c r="A351" t="s">
        <v>1565</v>
      </c>
      <c r="B351" t="s">
        <v>1566</v>
      </c>
      <c r="C351" t="s">
        <v>60</v>
      </c>
      <c r="D351" t="s">
        <v>1563</v>
      </c>
      <c r="E351" t="s">
        <v>1417</v>
      </c>
      <c r="F351" t="str">
        <f>HYPERLINK("https://doi.org/10.17770/etr2024vol2.8045","doi.org")</f>
        <v>doi.org</v>
      </c>
      <c r="G351" t="str">
        <f>HYPERLINK("/pdf/2024_10_17770_etr2024vol2_8045_data_leakage_prevention_and_detection_in_digital_configurations_a_survey.pdf","open")</f>
        <v>open</v>
      </c>
      <c r="H351" t="s">
        <v>44</v>
      </c>
      <c r="I351" t="b">
        <v>1</v>
      </c>
      <c r="J351" t="s">
        <v>1567</v>
      </c>
    </row>
    <row r="352" spans="1:10" x14ac:dyDescent="0.2">
      <c r="A352" t="s">
        <v>34</v>
      </c>
      <c r="B352" t="s">
        <v>35</v>
      </c>
      <c r="C352" t="s">
        <v>36</v>
      </c>
      <c r="D352" t="s">
        <v>37</v>
      </c>
      <c r="E352" t="s">
        <v>38</v>
      </c>
      <c r="F352" t="str">
        <f>HYPERLINK("https://doi.org/10.32604/cmc.2021.016626","doi.org")</f>
        <v>doi.org</v>
      </c>
      <c r="G352" t="str">
        <f>HYPERLINK("/pdf/2021_10_32604_cmc_2021_016626_an_optimal_big_data_analytics_with_concept_drift_detection_on_high_dimensional_s.pdf","open")</f>
        <v>open</v>
      </c>
      <c r="H352" t="s">
        <v>15</v>
      </c>
      <c r="I352" t="b">
        <v>0</v>
      </c>
      <c r="J352" t="s">
        <v>1568</v>
      </c>
    </row>
    <row r="353" spans="1:10" x14ac:dyDescent="0.2">
      <c r="A353" t="s">
        <v>69</v>
      </c>
      <c r="B353" t="s">
        <v>70</v>
      </c>
      <c r="C353" t="s">
        <v>25</v>
      </c>
      <c r="D353" t="s">
        <v>71</v>
      </c>
      <c r="E353" t="s">
        <v>72</v>
      </c>
      <c r="F353" t="str">
        <f>HYPERLINK("https://doi.org/10.7717/peerj-cs.1543","doi.org")</f>
        <v>doi.org</v>
      </c>
      <c r="G353" t="str">
        <f>HYPERLINK("/pdf/2023_10_7717_peerj_cs_1543_scheduling_algorithms_for_data_protection_based_on_security_classification_const.pdf","open")</f>
        <v>open</v>
      </c>
      <c r="H353" t="s">
        <v>15</v>
      </c>
      <c r="I353" t="b">
        <v>1</v>
      </c>
      <c r="J353" t="s">
        <v>1569</v>
      </c>
    </row>
    <row r="354" spans="1:10" x14ac:dyDescent="0.2">
      <c r="A354" t="s">
        <v>1554</v>
      </c>
      <c r="B354" t="s">
        <v>1555</v>
      </c>
      <c r="C354" t="s">
        <v>36</v>
      </c>
      <c r="D354" t="s">
        <v>1556</v>
      </c>
      <c r="E354" t="s">
        <v>1557</v>
      </c>
      <c r="F354" t="str">
        <f>HYPERLINK("https://doi.org/10.1145/3503823.3503886","doi.org")</f>
        <v>doi.org</v>
      </c>
      <c r="G354" t="str">
        <f>HYPERLINK("/pdf/2021_10_1145_3503823_3503886_uncuffed_a_blockchain_based_secure_messaging_system.pdf","open")</f>
        <v>open</v>
      </c>
      <c r="H354" t="s">
        <v>15</v>
      </c>
      <c r="I354" t="b">
        <v>0</v>
      </c>
      <c r="J354" t="s">
        <v>1570</v>
      </c>
    </row>
  </sheetData>
  <pageMargins left="0.75" right="0.75" top="1" bottom="1" header="0.5" footer="0.5"/>
  <pageSetup paperSize="9" orientation="portrait" horizontalDpi="0" verticalDpi="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354"/>
  <sheetViews>
    <sheetView workbookViewId="0">
      <pane ySplit="1" topLeftCell="A52" activePane="bottomLeft" state="frozen"/>
      <selection pane="bottomLeft" activeCell="I59" sqref="I59"/>
    </sheetView>
  </sheetViews>
  <sheetFormatPr baseColWidth="10" defaultColWidth="8.83203125" defaultRowHeight="15" x14ac:dyDescent="0.2"/>
  <cols>
    <col min="1" max="6" width="12" customWidth="1"/>
    <col min="7" max="7" width="17" customWidth="1"/>
    <col min="8" max="8" width="29" customWidth="1"/>
    <col min="9" max="10" width="12" customWidth="1"/>
    <col min="11" max="11" width="16" customWidth="1"/>
    <col min="12" max="12" width="15" customWidth="1"/>
    <col min="13" max="13" width="16" customWidth="1"/>
    <col min="14" max="14" width="27" customWidth="1"/>
    <col min="15" max="15" width="25" customWidth="1"/>
    <col min="16" max="16" width="14" customWidth="1"/>
    <col min="17" max="17" width="17" customWidth="1"/>
    <col min="18" max="18" width="24" customWidth="1"/>
    <col min="19" max="19" width="16" customWidth="1"/>
    <col min="20" max="20" width="12" customWidth="1"/>
    <col min="21" max="21" width="16" customWidth="1"/>
    <col min="22" max="22" width="20" customWidth="1"/>
    <col min="23" max="23" width="34" customWidth="1"/>
    <col min="24" max="25" width="19" customWidth="1"/>
    <col min="26" max="26" width="16" customWidth="1"/>
    <col min="27" max="27" width="14" customWidth="1"/>
    <col min="28" max="28" width="13" customWidth="1"/>
    <col min="29" max="29" width="24" customWidth="1"/>
    <col min="30" max="30" width="19" customWidth="1"/>
    <col min="31" max="32" width="12" customWidth="1"/>
    <col min="33" max="33" width="16" customWidth="1"/>
    <col min="34" max="34" width="26" customWidth="1"/>
    <col min="35" max="35" width="28" customWidth="1"/>
    <col min="36" max="36" width="26" customWidth="1"/>
  </cols>
  <sheetData>
    <row r="1" spans="1:36" ht="16" x14ac:dyDescent="0.2">
      <c r="A1" s="1" t="s">
        <v>0</v>
      </c>
      <c r="B1" s="1" t="s">
        <v>1</v>
      </c>
      <c r="C1" s="1" t="s">
        <v>2</v>
      </c>
      <c r="D1" s="1" t="s">
        <v>4</v>
      </c>
      <c r="E1" s="1" t="s">
        <v>6</v>
      </c>
      <c r="F1" s="1" t="s">
        <v>1571</v>
      </c>
      <c r="G1" s="1" t="s">
        <v>1572</v>
      </c>
      <c r="H1" s="1" t="s">
        <v>1573</v>
      </c>
      <c r="I1" s="1" t="s">
        <v>1574</v>
      </c>
      <c r="J1" s="1" t="s">
        <v>1575</v>
      </c>
      <c r="K1" s="1" t="s">
        <v>1576</v>
      </c>
      <c r="L1" s="1" t="s">
        <v>1577</v>
      </c>
      <c r="M1" s="1" t="s">
        <v>1578</v>
      </c>
      <c r="N1" s="1" t="s">
        <v>1579</v>
      </c>
      <c r="O1" s="1" t="s">
        <v>1580</v>
      </c>
      <c r="P1" s="1" t="s">
        <v>1581</v>
      </c>
      <c r="Q1" s="1" t="s">
        <v>1582</v>
      </c>
      <c r="R1" s="1" t="s">
        <v>1583</v>
      </c>
      <c r="S1" s="1" t="s">
        <v>1584</v>
      </c>
      <c r="T1" s="1" t="s">
        <v>1585</v>
      </c>
      <c r="U1" s="1" t="s">
        <v>1586</v>
      </c>
      <c r="V1" s="1" t="s">
        <v>1587</v>
      </c>
      <c r="W1" s="1" t="s">
        <v>1588</v>
      </c>
      <c r="X1" s="1" t="s">
        <v>1589</v>
      </c>
      <c r="Y1" s="1" t="s">
        <v>1590</v>
      </c>
      <c r="Z1" s="1" t="s">
        <v>1591</v>
      </c>
      <c r="AA1" s="1" t="s">
        <v>1592</v>
      </c>
      <c r="AB1" s="1" t="s">
        <v>1593</v>
      </c>
      <c r="AC1" s="1" t="s">
        <v>1594</v>
      </c>
      <c r="AD1" s="1" t="s">
        <v>1595</v>
      </c>
      <c r="AE1" s="1" t="s">
        <v>1596</v>
      </c>
      <c r="AF1" s="1" t="s">
        <v>1597</v>
      </c>
      <c r="AG1" s="1" t="s">
        <v>1598</v>
      </c>
      <c r="AH1" s="1" t="s">
        <v>1599</v>
      </c>
      <c r="AI1" s="1" t="s">
        <v>1600</v>
      </c>
      <c r="AJ1" s="1" t="s">
        <v>1601</v>
      </c>
    </row>
    <row r="2" spans="1:36" x14ac:dyDescent="0.2">
      <c r="A2" t="s">
        <v>10</v>
      </c>
      <c r="B2" t="s">
        <v>11</v>
      </c>
      <c r="C2" t="s">
        <v>12</v>
      </c>
      <c r="D2" t="s">
        <v>14</v>
      </c>
      <c r="E2" t="str">
        <f>HYPERLINK("/pdf/2018_10_1007_978_1_4842_3700_7_defending_iot_infrastructures_with_the_raspberry_pi_monitoring_and_detecting_ne.pdf","open")</f>
        <v>open</v>
      </c>
      <c r="F2" t="s">
        <v>1602</v>
      </c>
      <c r="G2" t="s">
        <v>1602</v>
      </c>
      <c r="H2" t="s">
        <v>1603</v>
      </c>
      <c r="I2" t="s">
        <v>148</v>
      </c>
      <c r="J2" t="s">
        <v>148</v>
      </c>
      <c r="K2" t="s">
        <v>148</v>
      </c>
      <c r="L2" t="s">
        <v>148</v>
      </c>
      <c r="M2" t="s">
        <v>148</v>
      </c>
      <c r="N2" t="s">
        <v>148</v>
      </c>
      <c r="O2" t="s">
        <v>148</v>
      </c>
      <c r="P2" t="s">
        <v>148</v>
      </c>
      <c r="Q2" t="s">
        <v>148</v>
      </c>
      <c r="R2" t="s">
        <v>148</v>
      </c>
      <c r="S2" t="s">
        <v>148</v>
      </c>
      <c r="T2" t="s">
        <v>148</v>
      </c>
      <c r="U2" t="s">
        <v>148</v>
      </c>
      <c r="V2" t="s">
        <v>148</v>
      </c>
      <c r="W2" t="s">
        <v>148</v>
      </c>
      <c r="X2" t="s">
        <v>148</v>
      </c>
      <c r="Y2" t="s">
        <v>148</v>
      </c>
      <c r="Z2" t="s">
        <v>148</v>
      </c>
      <c r="AA2" t="s">
        <v>148</v>
      </c>
      <c r="AB2" t="s">
        <v>148</v>
      </c>
      <c r="AC2" t="s">
        <v>148</v>
      </c>
      <c r="AD2" t="s">
        <v>1604</v>
      </c>
      <c r="AE2" t="s">
        <v>1605</v>
      </c>
      <c r="AF2" t="s">
        <v>148</v>
      </c>
      <c r="AG2" t="s">
        <v>148</v>
      </c>
      <c r="AH2" t="s">
        <v>148</v>
      </c>
      <c r="AI2" t="s">
        <v>148</v>
      </c>
      <c r="AJ2" t="s">
        <v>148</v>
      </c>
    </row>
    <row r="3" spans="1:36" x14ac:dyDescent="0.2">
      <c r="A3" t="s">
        <v>17</v>
      </c>
      <c r="B3" t="s">
        <v>18</v>
      </c>
      <c r="C3" t="s">
        <v>19</v>
      </c>
      <c r="D3" t="s">
        <v>21</v>
      </c>
      <c r="E3" t="str">
        <f>HYPERLINK("/pdf/2025_10.1109_ecce64574.2025.11013816_Intrusion_Detection_System_on_IoT_Devices_via_Federated_Learning.pdf","open")</f>
        <v>open</v>
      </c>
      <c r="F3" t="s">
        <v>1606</v>
      </c>
      <c r="G3" t="s">
        <v>1607</v>
      </c>
      <c r="H3" t="s">
        <v>1608</v>
      </c>
      <c r="I3" t="s">
        <v>1609</v>
      </c>
      <c r="J3" t="s">
        <v>148</v>
      </c>
      <c r="K3" t="s">
        <v>148</v>
      </c>
      <c r="L3" t="s">
        <v>148</v>
      </c>
      <c r="M3" t="s">
        <v>1610</v>
      </c>
      <c r="N3" t="s">
        <v>1611</v>
      </c>
      <c r="O3" t="s">
        <v>148</v>
      </c>
      <c r="P3" t="s">
        <v>148</v>
      </c>
      <c r="Q3" t="s">
        <v>148</v>
      </c>
      <c r="R3" t="s">
        <v>148</v>
      </c>
      <c r="S3" t="s">
        <v>1602</v>
      </c>
      <c r="T3" t="s">
        <v>148</v>
      </c>
      <c r="U3" t="s">
        <v>148</v>
      </c>
      <c r="V3" t="s">
        <v>148</v>
      </c>
      <c r="W3" t="s">
        <v>148</v>
      </c>
      <c r="X3" t="s">
        <v>148</v>
      </c>
      <c r="Y3" t="s">
        <v>148</v>
      </c>
      <c r="Z3" t="s">
        <v>148</v>
      </c>
      <c r="AA3" t="s">
        <v>1612</v>
      </c>
      <c r="AB3" t="s">
        <v>1604</v>
      </c>
      <c r="AC3" t="s">
        <v>148</v>
      </c>
      <c r="AD3" t="s">
        <v>148</v>
      </c>
      <c r="AE3" t="s">
        <v>148</v>
      </c>
      <c r="AF3" t="s">
        <v>1613</v>
      </c>
      <c r="AG3" t="s">
        <v>1614</v>
      </c>
      <c r="AH3" t="s">
        <v>1615</v>
      </c>
      <c r="AI3" t="s">
        <v>590</v>
      </c>
      <c r="AJ3" t="s">
        <v>1616</v>
      </c>
    </row>
    <row r="4" spans="1:36" x14ac:dyDescent="0.2">
      <c r="A4" t="s">
        <v>23</v>
      </c>
      <c r="B4" t="s">
        <v>24</v>
      </c>
      <c r="C4" t="s">
        <v>25</v>
      </c>
      <c r="D4" t="s">
        <v>27</v>
      </c>
      <c r="E4" t="str">
        <f>HYPERLINK("/pdf/2023_10.1109_icict57646.2023.10133997_Enhancing_Home_Security__user_Authentication_Techniques_for_Home_Automation.pdf","open")</f>
        <v>open</v>
      </c>
      <c r="F4" t="s">
        <v>1602</v>
      </c>
      <c r="G4" t="s">
        <v>1602</v>
      </c>
      <c r="H4" t="s">
        <v>1617</v>
      </c>
      <c r="I4" t="s">
        <v>1609</v>
      </c>
      <c r="J4" t="s">
        <v>148</v>
      </c>
      <c r="K4" t="s">
        <v>148</v>
      </c>
      <c r="L4" t="s">
        <v>148</v>
      </c>
      <c r="M4" t="s">
        <v>148</v>
      </c>
      <c r="N4" t="s">
        <v>148</v>
      </c>
      <c r="O4" t="s">
        <v>148</v>
      </c>
      <c r="P4" t="s">
        <v>148</v>
      </c>
      <c r="Q4" t="s">
        <v>148</v>
      </c>
      <c r="R4" t="s">
        <v>148</v>
      </c>
      <c r="S4" t="s">
        <v>148</v>
      </c>
      <c r="T4" t="s">
        <v>148</v>
      </c>
      <c r="U4" t="s">
        <v>148</v>
      </c>
      <c r="V4" t="s">
        <v>148</v>
      </c>
      <c r="W4" t="s">
        <v>148</v>
      </c>
      <c r="X4" t="s">
        <v>148</v>
      </c>
      <c r="Y4" t="s">
        <v>148</v>
      </c>
      <c r="Z4" t="s">
        <v>148</v>
      </c>
      <c r="AA4" t="s">
        <v>148</v>
      </c>
      <c r="AB4" t="s">
        <v>148</v>
      </c>
      <c r="AC4" t="s">
        <v>148</v>
      </c>
      <c r="AD4" t="s">
        <v>148</v>
      </c>
      <c r="AE4" t="s">
        <v>148</v>
      </c>
      <c r="AF4" t="s">
        <v>148</v>
      </c>
      <c r="AG4" t="s">
        <v>148</v>
      </c>
      <c r="AH4" t="s">
        <v>148</v>
      </c>
      <c r="AI4" t="s">
        <v>148</v>
      </c>
      <c r="AJ4" t="s">
        <v>148</v>
      </c>
    </row>
    <row r="5" spans="1:36" x14ac:dyDescent="0.2">
      <c r="A5" t="s">
        <v>29</v>
      </c>
      <c r="B5" t="s">
        <v>30</v>
      </c>
      <c r="C5" t="s">
        <v>25</v>
      </c>
      <c r="D5" t="s">
        <v>32</v>
      </c>
      <c r="E5" t="str">
        <f>HYPERLINK("/pdf/2023_10_3390_s23208407_a_lightweight_unsupervised_intrusion_detection_model_based_on_variational_auto_encoder.pdf","open")</f>
        <v>open</v>
      </c>
      <c r="F5" t="s">
        <v>1618</v>
      </c>
      <c r="G5" t="s">
        <v>1619</v>
      </c>
      <c r="H5" t="s">
        <v>1620</v>
      </c>
      <c r="I5" t="s">
        <v>1609</v>
      </c>
      <c r="J5" t="s">
        <v>148</v>
      </c>
      <c r="K5" t="s">
        <v>148</v>
      </c>
      <c r="L5" t="s">
        <v>148</v>
      </c>
      <c r="M5" t="s">
        <v>1621</v>
      </c>
      <c r="N5" t="s">
        <v>1611</v>
      </c>
      <c r="O5" t="s">
        <v>148</v>
      </c>
      <c r="P5" t="s">
        <v>1622</v>
      </c>
      <c r="Q5" t="s">
        <v>148</v>
      </c>
      <c r="R5" t="s">
        <v>1623</v>
      </c>
      <c r="S5" t="s">
        <v>1624</v>
      </c>
      <c r="T5" t="s">
        <v>1625</v>
      </c>
      <c r="U5" t="s">
        <v>1604</v>
      </c>
      <c r="V5" t="s">
        <v>1609</v>
      </c>
      <c r="W5" t="s">
        <v>148</v>
      </c>
      <c r="X5" t="s">
        <v>1626</v>
      </c>
      <c r="Y5" t="s">
        <v>148</v>
      </c>
      <c r="Z5" t="s">
        <v>148</v>
      </c>
      <c r="AA5" t="s">
        <v>1627</v>
      </c>
      <c r="AB5" t="s">
        <v>1604</v>
      </c>
      <c r="AC5" t="s">
        <v>148</v>
      </c>
      <c r="AD5" t="s">
        <v>148</v>
      </c>
      <c r="AE5" t="s">
        <v>148</v>
      </c>
      <c r="AF5" t="s">
        <v>1628</v>
      </c>
      <c r="AG5" t="s">
        <v>1629</v>
      </c>
      <c r="AH5" t="s">
        <v>1630</v>
      </c>
      <c r="AI5" t="s">
        <v>1631</v>
      </c>
      <c r="AJ5" t="s">
        <v>1632</v>
      </c>
    </row>
    <row r="6" spans="1:36" x14ac:dyDescent="0.2">
      <c r="A6" t="s">
        <v>34</v>
      </c>
      <c r="B6" t="s">
        <v>35</v>
      </c>
      <c r="C6" t="s">
        <v>36</v>
      </c>
      <c r="D6" t="s">
        <v>38</v>
      </c>
      <c r="E6" t="str">
        <f>HYPERLINK("/pdf/2021_10.32604_cmc.2021.016626_An_optimal_big_data_analytics_with_concept_drift_detection_on_high-dimensional_streaming_data.pdf","open")</f>
        <v>open</v>
      </c>
      <c r="F6" t="s">
        <v>1633</v>
      </c>
      <c r="G6" t="s">
        <v>1607</v>
      </c>
      <c r="H6" t="s">
        <v>1634</v>
      </c>
      <c r="I6" t="s">
        <v>1609</v>
      </c>
      <c r="J6" t="s">
        <v>148</v>
      </c>
      <c r="K6" t="s">
        <v>1635</v>
      </c>
      <c r="L6" t="s">
        <v>1609</v>
      </c>
      <c r="M6" t="s">
        <v>1636</v>
      </c>
      <c r="N6" t="s">
        <v>148</v>
      </c>
      <c r="O6" t="s">
        <v>148</v>
      </c>
      <c r="P6" t="s">
        <v>148</v>
      </c>
      <c r="Q6" t="s">
        <v>148</v>
      </c>
      <c r="R6" t="s">
        <v>148</v>
      </c>
      <c r="S6" t="s">
        <v>148</v>
      </c>
      <c r="T6" t="s">
        <v>148</v>
      </c>
      <c r="U6" t="s">
        <v>148</v>
      </c>
      <c r="V6" t="s">
        <v>148</v>
      </c>
      <c r="W6" t="s">
        <v>148</v>
      </c>
      <c r="X6" t="s">
        <v>1637</v>
      </c>
      <c r="Y6" t="s">
        <v>148</v>
      </c>
      <c r="Z6" t="s">
        <v>148</v>
      </c>
      <c r="AA6" t="s">
        <v>1638</v>
      </c>
      <c r="AB6" t="s">
        <v>1604</v>
      </c>
      <c r="AC6" t="s">
        <v>1639</v>
      </c>
      <c r="AD6" t="s">
        <v>148</v>
      </c>
      <c r="AE6" t="s">
        <v>148</v>
      </c>
      <c r="AF6" t="s">
        <v>1640</v>
      </c>
      <c r="AG6" t="s">
        <v>1614</v>
      </c>
      <c r="AH6" t="s">
        <v>1641</v>
      </c>
      <c r="AI6" t="s">
        <v>44</v>
      </c>
      <c r="AJ6" t="s">
        <v>1642</v>
      </c>
    </row>
    <row r="7" spans="1:36" x14ac:dyDescent="0.2">
      <c r="A7" t="s">
        <v>40</v>
      </c>
      <c r="B7" t="s">
        <v>41</v>
      </c>
      <c r="C7" t="s">
        <v>19</v>
      </c>
      <c r="D7" t="s">
        <v>43</v>
      </c>
      <c r="E7" t="str">
        <f>HYPERLINK("/pdf/2025_10.1002_9781394250141.ch11_Security_and_privacy_issues_in_RIS-based_wireless_communication_systems.pdf","open")</f>
        <v>open</v>
      </c>
      <c r="F7" t="s">
        <v>1643</v>
      </c>
      <c r="G7" t="s">
        <v>1643</v>
      </c>
      <c r="H7" t="s">
        <v>1644</v>
      </c>
      <c r="I7" t="s">
        <v>1609</v>
      </c>
      <c r="J7" t="s">
        <v>148</v>
      </c>
      <c r="K7" t="s">
        <v>148</v>
      </c>
      <c r="L7" t="s">
        <v>148</v>
      </c>
      <c r="M7" t="s">
        <v>148</v>
      </c>
      <c r="N7" t="s">
        <v>148</v>
      </c>
      <c r="O7" t="s">
        <v>148</v>
      </c>
      <c r="P7" t="s">
        <v>148</v>
      </c>
      <c r="Q7" t="s">
        <v>148</v>
      </c>
      <c r="R7" t="s">
        <v>148</v>
      </c>
      <c r="S7" t="s">
        <v>148</v>
      </c>
      <c r="T7" t="s">
        <v>148</v>
      </c>
      <c r="U7" t="s">
        <v>148</v>
      </c>
      <c r="V7" t="s">
        <v>148</v>
      </c>
      <c r="W7" t="s">
        <v>148</v>
      </c>
      <c r="X7" t="s">
        <v>148</v>
      </c>
      <c r="Y7" t="s">
        <v>148</v>
      </c>
      <c r="Z7" t="s">
        <v>148</v>
      </c>
      <c r="AA7" t="s">
        <v>148</v>
      </c>
      <c r="AB7" t="s">
        <v>148</v>
      </c>
      <c r="AC7" t="s">
        <v>148</v>
      </c>
      <c r="AD7" t="s">
        <v>148</v>
      </c>
      <c r="AE7" t="s">
        <v>148</v>
      </c>
      <c r="AF7" t="s">
        <v>1645</v>
      </c>
      <c r="AG7" t="s">
        <v>148</v>
      </c>
      <c r="AH7" t="s">
        <v>148</v>
      </c>
      <c r="AI7" t="s">
        <v>148</v>
      </c>
      <c r="AJ7" t="s">
        <v>148</v>
      </c>
    </row>
    <row r="8" spans="1:36" x14ac:dyDescent="0.2">
      <c r="A8" t="s">
        <v>46</v>
      </c>
      <c r="B8" t="s">
        <v>47</v>
      </c>
      <c r="C8" t="s">
        <v>48</v>
      </c>
      <c r="D8" t="s">
        <v>50</v>
      </c>
      <c r="E8" t="str">
        <f>HYPERLINK("/pdf/2026_10.1109_mcomstd.2026.3653959_Robust_and_Privacy-Aware_Network_Flow_Watermarking_for_Digital_Twin_Communications_in_5G_6G_Edge_Environments.pdf","open")</f>
        <v>open</v>
      </c>
      <c r="F8" t="s">
        <v>1606</v>
      </c>
      <c r="G8" t="s">
        <v>1602</v>
      </c>
      <c r="H8" t="s">
        <v>1646</v>
      </c>
      <c r="I8" t="s">
        <v>1609</v>
      </c>
      <c r="J8" t="s">
        <v>148</v>
      </c>
      <c r="K8" t="s">
        <v>148</v>
      </c>
      <c r="L8" t="s">
        <v>148</v>
      </c>
      <c r="M8" t="s">
        <v>1636</v>
      </c>
      <c r="N8" t="s">
        <v>148</v>
      </c>
      <c r="O8" t="s">
        <v>148</v>
      </c>
      <c r="P8" t="s">
        <v>148</v>
      </c>
      <c r="Q8" t="s">
        <v>148</v>
      </c>
      <c r="R8" t="s">
        <v>148</v>
      </c>
      <c r="S8" t="s">
        <v>1602</v>
      </c>
      <c r="T8" t="s">
        <v>148</v>
      </c>
      <c r="U8" t="s">
        <v>148</v>
      </c>
      <c r="V8" t="s">
        <v>148</v>
      </c>
      <c r="W8" t="s">
        <v>148</v>
      </c>
      <c r="X8" t="s">
        <v>148</v>
      </c>
      <c r="Y8" t="s">
        <v>148</v>
      </c>
      <c r="Z8" t="s">
        <v>148</v>
      </c>
      <c r="AA8" t="s">
        <v>1647</v>
      </c>
      <c r="AB8" t="s">
        <v>1609</v>
      </c>
      <c r="AC8" t="s">
        <v>148</v>
      </c>
      <c r="AD8" t="s">
        <v>148</v>
      </c>
      <c r="AE8" t="s">
        <v>148</v>
      </c>
      <c r="AF8" t="s">
        <v>1648</v>
      </c>
      <c r="AG8" t="s">
        <v>1649</v>
      </c>
      <c r="AH8" t="s">
        <v>1650</v>
      </c>
      <c r="AI8" t="s">
        <v>44</v>
      </c>
      <c r="AJ8" t="s">
        <v>148</v>
      </c>
    </row>
    <row r="9" spans="1:36" x14ac:dyDescent="0.2">
      <c r="A9" t="s">
        <v>52</v>
      </c>
      <c r="B9" t="s">
        <v>53</v>
      </c>
      <c r="C9" t="s">
        <v>54</v>
      </c>
      <c r="D9" t="s">
        <v>56</v>
      </c>
      <c r="E9" t="str">
        <f>HYPERLINK("/pdf/2020_10_3390_app10113978_droid_portrait_android_malware_portrait_construction_based_on_multidimensional_behavior_a.pdf","open")</f>
        <v>open</v>
      </c>
      <c r="F9" t="s">
        <v>1606</v>
      </c>
      <c r="G9" t="s">
        <v>1651</v>
      </c>
      <c r="H9" t="s">
        <v>1652</v>
      </c>
      <c r="I9" t="s">
        <v>1609</v>
      </c>
      <c r="J9" t="s">
        <v>1643</v>
      </c>
      <c r="K9" t="s">
        <v>1653</v>
      </c>
      <c r="L9" t="s">
        <v>1609</v>
      </c>
      <c r="M9" t="s">
        <v>1636</v>
      </c>
      <c r="N9" t="s">
        <v>1611</v>
      </c>
      <c r="O9" t="s">
        <v>148</v>
      </c>
      <c r="P9" t="s">
        <v>148</v>
      </c>
      <c r="Q9" t="s">
        <v>148</v>
      </c>
      <c r="R9" t="s">
        <v>148</v>
      </c>
      <c r="S9" t="s">
        <v>1654</v>
      </c>
      <c r="T9" t="s">
        <v>1655</v>
      </c>
      <c r="U9" t="s">
        <v>1609</v>
      </c>
      <c r="V9" t="s">
        <v>1609</v>
      </c>
      <c r="W9" t="s">
        <v>148</v>
      </c>
      <c r="X9" t="s">
        <v>1656</v>
      </c>
      <c r="Y9" t="s">
        <v>1657</v>
      </c>
      <c r="Z9" t="s">
        <v>148</v>
      </c>
      <c r="AA9" t="s">
        <v>1658</v>
      </c>
      <c r="AB9" t="s">
        <v>1604</v>
      </c>
      <c r="AC9" t="s">
        <v>148</v>
      </c>
      <c r="AD9" t="s">
        <v>148</v>
      </c>
      <c r="AE9" t="s">
        <v>148</v>
      </c>
      <c r="AF9" t="s">
        <v>1659</v>
      </c>
      <c r="AG9" t="s">
        <v>1614</v>
      </c>
      <c r="AH9" t="s">
        <v>1660</v>
      </c>
      <c r="AI9" t="s">
        <v>590</v>
      </c>
      <c r="AJ9" t="s">
        <v>148</v>
      </c>
    </row>
    <row r="10" spans="1:36" x14ac:dyDescent="0.2">
      <c r="A10" t="s">
        <v>58</v>
      </c>
      <c r="B10" t="s">
        <v>59</v>
      </c>
      <c r="C10" t="s">
        <v>60</v>
      </c>
      <c r="D10" t="s">
        <v>62</v>
      </c>
      <c r="E10" t="str">
        <f>HYPERLINK("/pdf/2024_10.17770_etr2024vol2.8062_Management_approaches_and_application_areas_of_information_security_in_organizations.pdf","open")</f>
        <v>open</v>
      </c>
      <c r="F10" t="s">
        <v>1602</v>
      </c>
      <c r="G10" t="s">
        <v>1661</v>
      </c>
      <c r="H10" t="s">
        <v>148</v>
      </c>
      <c r="I10" t="s">
        <v>148</v>
      </c>
      <c r="J10" t="s">
        <v>148</v>
      </c>
      <c r="K10" t="s">
        <v>148</v>
      </c>
      <c r="L10" t="s">
        <v>148</v>
      </c>
      <c r="M10" t="s">
        <v>148</v>
      </c>
      <c r="N10" t="s">
        <v>148</v>
      </c>
      <c r="O10" t="s">
        <v>148</v>
      </c>
      <c r="P10" t="s">
        <v>148</v>
      </c>
      <c r="Q10" t="s">
        <v>148</v>
      </c>
      <c r="R10" t="s">
        <v>148</v>
      </c>
      <c r="S10" t="s">
        <v>148</v>
      </c>
      <c r="T10" t="s">
        <v>148</v>
      </c>
      <c r="U10" t="s">
        <v>148</v>
      </c>
      <c r="V10" t="s">
        <v>148</v>
      </c>
      <c r="W10" t="s">
        <v>148</v>
      </c>
      <c r="X10" t="s">
        <v>148</v>
      </c>
      <c r="Y10" t="s">
        <v>148</v>
      </c>
      <c r="Z10" t="s">
        <v>148</v>
      </c>
      <c r="AA10" t="s">
        <v>1662</v>
      </c>
      <c r="AB10" t="s">
        <v>1609</v>
      </c>
      <c r="AC10" t="s">
        <v>148</v>
      </c>
      <c r="AD10" t="s">
        <v>148</v>
      </c>
      <c r="AE10" t="s">
        <v>148</v>
      </c>
      <c r="AF10" t="s">
        <v>148</v>
      </c>
      <c r="AG10" t="s">
        <v>148</v>
      </c>
      <c r="AH10" t="s">
        <v>148</v>
      </c>
      <c r="AI10" t="s">
        <v>148</v>
      </c>
      <c r="AJ10" t="s">
        <v>148</v>
      </c>
    </row>
    <row r="11" spans="1:36" x14ac:dyDescent="0.2">
      <c r="A11" t="s">
        <v>64</v>
      </c>
      <c r="B11" t="s">
        <v>65</v>
      </c>
      <c r="C11" t="s">
        <v>12</v>
      </c>
      <c r="D11" t="s">
        <v>67</v>
      </c>
      <c r="E11" t="str">
        <f>HYPERLINK("/pdf/2018_10.1109_tse.2017.2697848_Towards_Model_Checking_Android_Applications.pdf","open")</f>
        <v>open</v>
      </c>
      <c r="F11" t="s">
        <v>1602</v>
      </c>
      <c r="G11" t="s">
        <v>1651</v>
      </c>
      <c r="H11" t="s">
        <v>1663</v>
      </c>
      <c r="I11" t="s">
        <v>1604</v>
      </c>
      <c r="J11" t="s">
        <v>1602</v>
      </c>
      <c r="K11" t="s">
        <v>1664</v>
      </c>
      <c r="L11" t="s">
        <v>1609</v>
      </c>
      <c r="M11" t="s">
        <v>148</v>
      </c>
      <c r="N11" t="s">
        <v>148</v>
      </c>
      <c r="O11" t="s">
        <v>1665</v>
      </c>
      <c r="P11" t="s">
        <v>148</v>
      </c>
      <c r="Q11" t="s">
        <v>148</v>
      </c>
      <c r="R11" t="s">
        <v>148</v>
      </c>
      <c r="S11" t="s">
        <v>1602</v>
      </c>
      <c r="T11" t="s">
        <v>148</v>
      </c>
      <c r="U11" t="s">
        <v>1609</v>
      </c>
      <c r="V11" t="s">
        <v>148</v>
      </c>
      <c r="W11" t="s">
        <v>148</v>
      </c>
      <c r="X11" t="s">
        <v>1666</v>
      </c>
      <c r="Y11" t="s">
        <v>148</v>
      </c>
      <c r="Z11" t="s">
        <v>148</v>
      </c>
      <c r="AA11" t="s">
        <v>1667</v>
      </c>
      <c r="AB11" t="s">
        <v>1604</v>
      </c>
      <c r="AC11" t="s">
        <v>148</v>
      </c>
      <c r="AD11" t="s">
        <v>148</v>
      </c>
      <c r="AE11" t="s">
        <v>148</v>
      </c>
      <c r="AF11" t="s">
        <v>1668</v>
      </c>
      <c r="AG11" t="s">
        <v>1669</v>
      </c>
      <c r="AH11" t="s">
        <v>1670</v>
      </c>
      <c r="AI11" t="s">
        <v>957</v>
      </c>
      <c r="AJ11" t="s">
        <v>1671</v>
      </c>
    </row>
    <row r="12" spans="1:36" x14ac:dyDescent="0.2">
      <c r="A12" t="s">
        <v>69</v>
      </c>
      <c r="B12" t="s">
        <v>70</v>
      </c>
      <c r="C12" t="s">
        <v>25</v>
      </c>
      <c r="D12" t="s">
        <v>72</v>
      </c>
      <c r="E12" t="str">
        <f>HYPERLINK("/pdf/2023_10.7717_peerj-cs.1543_Scheduling_algorithms_for_data-protection_based_on_security-classification_constraints_to_data-dissemination.pdf","open")</f>
        <v>open</v>
      </c>
      <c r="F12" t="s">
        <v>1602</v>
      </c>
      <c r="G12" t="s">
        <v>1602</v>
      </c>
      <c r="H12" t="s">
        <v>1672</v>
      </c>
      <c r="I12" t="s">
        <v>1609</v>
      </c>
      <c r="J12" t="s">
        <v>148</v>
      </c>
      <c r="K12" t="s">
        <v>148</v>
      </c>
      <c r="L12" t="s">
        <v>148</v>
      </c>
      <c r="M12" t="s">
        <v>148</v>
      </c>
      <c r="N12" t="s">
        <v>148</v>
      </c>
      <c r="O12" t="s">
        <v>148</v>
      </c>
      <c r="P12" t="s">
        <v>148</v>
      </c>
      <c r="Q12" t="s">
        <v>148</v>
      </c>
      <c r="R12" t="s">
        <v>148</v>
      </c>
      <c r="S12" t="s">
        <v>1602</v>
      </c>
      <c r="T12" t="s">
        <v>148</v>
      </c>
      <c r="U12" t="s">
        <v>148</v>
      </c>
      <c r="V12" t="s">
        <v>148</v>
      </c>
      <c r="W12" t="s">
        <v>148</v>
      </c>
      <c r="X12" t="s">
        <v>148</v>
      </c>
      <c r="Y12" t="s">
        <v>148</v>
      </c>
      <c r="Z12" t="s">
        <v>148</v>
      </c>
      <c r="AA12" t="s">
        <v>1673</v>
      </c>
      <c r="AB12" t="s">
        <v>1604</v>
      </c>
      <c r="AC12" t="s">
        <v>1674</v>
      </c>
      <c r="AD12" t="s">
        <v>148</v>
      </c>
      <c r="AE12" t="s">
        <v>148</v>
      </c>
      <c r="AF12" t="s">
        <v>1675</v>
      </c>
      <c r="AG12" t="s">
        <v>1676</v>
      </c>
      <c r="AH12" t="s">
        <v>1677</v>
      </c>
      <c r="AI12" t="s">
        <v>957</v>
      </c>
      <c r="AJ12" t="s">
        <v>148</v>
      </c>
    </row>
    <row r="13" spans="1:36" x14ac:dyDescent="0.2">
      <c r="A13" t="s">
        <v>74</v>
      </c>
      <c r="B13" t="s">
        <v>75</v>
      </c>
      <c r="C13" t="s">
        <v>25</v>
      </c>
      <c r="D13" t="s">
        <v>74</v>
      </c>
      <c r="E13" t="str">
        <f>HYPERLINK("/pdf/2024_10_1109_access_2024_3363640_how_can_credit_supervision_mechanism_improve_security_crowdsourcing_ecosystem_go.pdf","open")</f>
        <v>open</v>
      </c>
      <c r="F13" t="s">
        <v>1602</v>
      </c>
      <c r="G13" t="s">
        <v>1602</v>
      </c>
      <c r="H13" t="s">
        <v>1678</v>
      </c>
      <c r="I13" t="s">
        <v>1609</v>
      </c>
      <c r="J13" t="s">
        <v>148</v>
      </c>
      <c r="K13" t="s">
        <v>148</v>
      </c>
      <c r="L13" t="s">
        <v>148</v>
      </c>
      <c r="M13" t="s">
        <v>148</v>
      </c>
      <c r="N13" t="s">
        <v>148</v>
      </c>
      <c r="O13" t="s">
        <v>148</v>
      </c>
      <c r="P13" t="s">
        <v>148</v>
      </c>
      <c r="Q13" t="s">
        <v>148</v>
      </c>
      <c r="R13" t="s">
        <v>148</v>
      </c>
      <c r="S13" t="s">
        <v>148</v>
      </c>
      <c r="T13" t="s">
        <v>148</v>
      </c>
      <c r="U13" t="s">
        <v>148</v>
      </c>
      <c r="V13" t="s">
        <v>148</v>
      </c>
      <c r="W13" t="s">
        <v>148</v>
      </c>
      <c r="X13" t="s">
        <v>148</v>
      </c>
      <c r="Y13" t="s">
        <v>148</v>
      </c>
      <c r="Z13" t="s">
        <v>148</v>
      </c>
      <c r="AA13" t="s">
        <v>1679</v>
      </c>
      <c r="AB13" t="s">
        <v>148</v>
      </c>
      <c r="AC13" t="s">
        <v>148</v>
      </c>
      <c r="AD13" t="s">
        <v>148</v>
      </c>
      <c r="AE13" t="s">
        <v>148</v>
      </c>
      <c r="AF13" t="s">
        <v>1680</v>
      </c>
      <c r="AG13" t="s">
        <v>1681</v>
      </c>
      <c r="AH13" t="s">
        <v>148</v>
      </c>
      <c r="AI13" t="s">
        <v>1682</v>
      </c>
      <c r="AJ13" t="s">
        <v>148</v>
      </c>
    </row>
    <row r="14" spans="1:36" x14ac:dyDescent="0.2">
      <c r="A14" t="s">
        <v>78</v>
      </c>
      <c r="B14" t="s">
        <v>79</v>
      </c>
      <c r="C14" t="s">
        <v>19</v>
      </c>
      <c r="D14" t="s">
        <v>81</v>
      </c>
      <c r="E14" t="str">
        <f>HYPERLINK("/pdf/2025_10_26583_sv_17_5_11_performance_comparison_of_various_software_tools_in_photogrammetry_based_digitiz.pdf","open")</f>
        <v>open</v>
      </c>
      <c r="F14" t="s">
        <v>1602</v>
      </c>
      <c r="G14" t="s">
        <v>1602</v>
      </c>
      <c r="H14" t="s">
        <v>148</v>
      </c>
      <c r="I14" t="s">
        <v>148</v>
      </c>
      <c r="J14" t="s">
        <v>148</v>
      </c>
      <c r="K14" t="s">
        <v>148</v>
      </c>
      <c r="L14" t="s">
        <v>148</v>
      </c>
      <c r="M14" t="s">
        <v>148</v>
      </c>
      <c r="N14" t="s">
        <v>148</v>
      </c>
      <c r="O14" t="s">
        <v>1604</v>
      </c>
      <c r="P14" t="s">
        <v>1602</v>
      </c>
      <c r="Q14" t="s">
        <v>1683</v>
      </c>
      <c r="R14" t="s">
        <v>1684</v>
      </c>
      <c r="S14" t="s">
        <v>148</v>
      </c>
      <c r="T14" t="s">
        <v>148</v>
      </c>
      <c r="U14" t="s">
        <v>148</v>
      </c>
      <c r="V14" t="s">
        <v>148</v>
      </c>
      <c r="W14" t="s">
        <v>148</v>
      </c>
      <c r="X14" t="s">
        <v>148</v>
      </c>
      <c r="Y14" t="s">
        <v>148</v>
      </c>
      <c r="Z14" t="s">
        <v>148</v>
      </c>
      <c r="AA14" t="s">
        <v>1685</v>
      </c>
      <c r="AB14" t="s">
        <v>1609</v>
      </c>
      <c r="AC14" t="s">
        <v>148</v>
      </c>
      <c r="AD14" t="s">
        <v>148</v>
      </c>
      <c r="AE14" t="s">
        <v>148</v>
      </c>
      <c r="AF14" t="s">
        <v>1686</v>
      </c>
      <c r="AG14" t="s">
        <v>1687</v>
      </c>
      <c r="AH14" t="s">
        <v>1688</v>
      </c>
      <c r="AI14" t="s">
        <v>1689</v>
      </c>
      <c r="AJ14" t="s">
        <v>1690</v>
      </c>
    </row>
    <row r="15" spans="1:36" x14ac:dyDescent="0.2">
      <c r="A15" t="s">
        <v>83</v>
      </c>
      <c r="B15" t="s">
        <v>84</v>
      </c>
      <c r="C15" t="s">
        <v>19</v>
      </c>
      <c r="D15" t="s">
        <v>86</v>
      </c>
      <c r="E15" t="str">
        <f>HYPERLINK("/pdf/2025_10.1016_j.icte.2025.05.002_Lightweight_federated_learning-based_intrusion_detection_system_for_industrial_internet_of_things.pdf","open")</f>
        <v>open</v>
      </c>
      <c r="F15" t="s">
        <v>1606</v>
      </c>
      <c r="G15" t="s">
        <v>1691</v>
      </c>
      <c r="H15" t="s">
        <v>1692</v>
      </c>
      <c r="I15" t="s">
        <v>1609</v>
      </c>
      <c r="J15" t="s">
        <v>148</v>
      </c>
      <c r="K15" t="s">
        <v>148</v>
      </c>
      <c r="L15" t="s">
        <v>148</v>
      </c>
      <c r="M15" t="s">
        <v>1693</v>
      </c>
      <c r="N15" t="s">
        <v>1611</v>
      </c>
      <c r="O15" t="s">
        <v>1604</v>
      </c>
      <c r="P15" t="s">
        <v>1694</v>
      </c>
      <c r="Q15" t="s">
        <v>148</v>
      </c>
      <c r="R15" t="s">
        <v>148</v>
      </c>
      <c r="S15" t="s">
        <v>1655</v>
      </c>
      <c r="T15" t="s">
        <v>1695</v>
      </c>
      <c r="U15" t="s">
        <v>1609</v>
      </c>
      <c r="V15" t="s">
        <v>1609</v>
      </c>
      <c r="W15" t="s">
        <v>148</v>
      </c>
      <c r="X15" t="s">
        <v>148</v>
      </c>
      <c r="Y15" t="s">
        <v>148</v>
      </c>
      <c r="Z15" t="s">
        <v>148</v>
      </c>
      <c r="AA15" t="s">
        <v>1696</v>
      </c>
      <c r="AB15" t="s">
        <v>1609</v>
      </c>
      <c r="AC15" t="s">
        <v>148</v>
      </c>
      <c r="AD15" t="s">
        <v>148</v>
      </c>
      <c r="AE15" t="s">
        <v>148</v>
      </c>
      <c r="AF15" t="s">
        <v>1697</v>
      </c>
      <c r="AG15" t="s">
        <v>1614</v>
      </c>
      <c r="AH15" t="s">
        <v>1698</v>
      </c>
      <c r="AI15" t="s">
        <v>44</v>
      </c>
      <c r="AJ15" t="s">
        <v>1699</v>
      </c>
    </row>
    <row r="16" spans="1:36" x14ac:dyDescent="0.2">
      <c r="A16" t="s">
        <v>88</v>
      </c>
      <c r="B16" t="s">
        <v>89</v>
      </c>
      <c r="C16" t="s">
        <v>60</v>
      </c>
      <c r="D16" t="s">
        <v>91</v>
      </c>
      <c r="E16" t="str">
        <f>HYPERLINK("/pdf/2024_10.1109_icstem61137.2024.10560825_SentinelGuard__An_Integration_of_Intelligent_Text_Data_Loss_Prevention_Mechanism_for_Organizational_Security_(.pdf","open")</f>
        <v>open</v>
      </c>
      <c r="F16" t="s">
        <v>1606</v>
      </c>
      <c r="G16" t="s">
        <v>1602</v>
      </c>
      <c r="H16" t="s">
        <v>1700</v>
      </c>
      <c r="I16" t="s">
        <v>148</v>
      </c>
      <c r="J16" t="s">
        <v>148</v>
      </c>
      <c r="K16" t="s">
        <v>148</v>
      </c>
      <c r="L16" t="s">
        <v>148</v>
      </c>
      <c r="M16" t="s">
        <v>1701</v>
      </c>
      <c r="N16" t="s">
        <v>148</v>
      </c>
      <c r="O16" t="s">
        <v>148</v>
      </c>
      <c r="P16" t="s">
        <v>148</v>
      </c>
      <c r="Q16" t="s">
        <v>148</v>
      </c>
      <c r="R16" t="s">
        <v>148</v>
      </c>
      <c r="S16" t="s">
        <v>148</v>
      </c>
      <c r="T16" t="s">
        <v>148</v>
      </c>
      <c r="U16" t="s">
        <v>148</v>
      </c>
      <c r="V16" t="s">
        <v>148</v>
      </c>
      <c r="W16" t="s">
        <v>148</v>
      </c>
      <c r="X16" t="s">
        <v>148</v>
      </c>
      <c r="Y16" t="s">
        <v>148</v>
      </c>
      <c r="Z16" t="s">
        <v>148</v>
      </c>
      <c r="AA16" t="s">
        <v>1702</v>
      </c>
      <c r="AB16" t="s">
        <v>1609</v>
      </c>
      <c r="AC16" t="s">
        <v>148</v>
      </c>
      <c r="AD16" t="s">
        <v>148</v>
      </c>
      <c r="AE16" t="s">
        <v>148</v>
      </c>
      <c r="AF16" t="s">
        <v>1703</v>
      </c>
      <c r="AG16" t="s">
        <v>1703</v>
      </c>
      <c r="AH16" t="s">
        <v>1704</v>
      </c>
      <c r="AI16" t="s">
        <v>44</v>
      </c>
      <c r="AJ16" t="s">
        <v>148</v>
      </c>
    </row>
    <row r="17" spans="1:36" x14ac:dyDescent="0.2">
      <c r="A17" t="s">
        <v>93</v>
      </c>
      <c r="B17" t="s">
        <v>94</v>
      </c>
      <c r="C17" t="s">
        <v>19</v>
      </c>
      <c r="D17" t="s">
        <v>96</v>
      </c>
      <c r="E17" t="str">
        <f>HYPERLINK("/pdf/2025_10.1109_itc58126.2025.00011_QuEST__Quantitative_Entropy_based_Security_and_Trojan_Detection_Framework_for_Confidentiality_Verification.pdf","open")</f>
        <v>open</v>
      </c>
      <c r="F17" t="s">
        <v>1602</v>
      </c>
      <c r="G17" t="s">
        <v>1602</v>
      </c>
      <c r="H17" t="s">
        <v>1705</v>
      </c>
      <c r="I17" t="s">
        <v>1604</v>
      </c>
      <c r="J17" t="s">
        <v>1602</v>
      </c>
      <c r="K17" t="s">
        <v>1653</v>
      </c>
      <c r="L17" t="s">
        <v>1609</v>
      </c>
      <c r="M17" t="s">
        <v>148</v>
      </c>
      <c r="N17" t="s">
        <v>148</v>
      </c>
      <c r="O17" t="s">
        <v>148</v>
      </c>
      <c r="P17" t="s">
        <v>148</v>
      </c>
      <c r="Q17" t="s">
        <v>148</v>
      </c>
      <c r="R17" t="s">
        <v>148</v>
      </c>
      <c r="S17" t="s">
        <v>148</v>
      </c>
      <c r="T17" t="s">
        <v>148</v>
      </c>
      <c r="U17" t="s">
        <v>148</v>
      </c>
      <c r="V17" t="s">
        <v>148</v>
      </c>
      <c r="W17" t="s">
        <v>148</v>
      </c>
      <c r="X17" t="s">
        <v>148</v>
      </c>
      <c r="Y17" t="s">
        <v>148</v>
      </c>
      <c r="Z17" t="s">
        <v>148</v>
      </c>
      <c r="AA17" t="s">
        <v>1706</v>
      </c>
      <c r="AB17" t="s">
        <v>1604</v>
      </c>
      <c r="AC17" t="s">
        <v>148</v>
      </c>
      <c r="AD17" t="s">
        <v>148</v>
      </c>
      <c r="AE17" t="s">
        <v>148</v>
      </c>
      <c r="AF17" t="s">
        <v>1707</v>
      </c>
      <c r="AG17" t="s">
        <v>1708</v>
      </c>
      <c r="AH17" t="s">
        <v>1709</v>
      </c>
      <c r="AI17" t="s">
        <v>957</v>
      </c>
      <c r="AJ17" t="s">
        <v>1710</v>
      </c>
    </row>
    <row r="18" spans="1:36" x14ac:dyDescent="0.2">
      <c r="A18" t="s">
        <v>98</v>
      </c>
      <c r="B18" t="s">
        <v>99</v>
      </c>
      <c r="C18" t="s">
        <v>100</v>
      </c>
      <c r="D18" t="s">
        <v>102</v>
      </c>
      <c r="E18" t="str">
        <f>HYPERLINK("/pdf/2022_10.1109_icced56140.2022.10010685_Patient_Data_Security_in_Telemedicine_Services_from_Data_Misuse_in_Health_Practice.pdf","open")</f>
        <v>open</v>
      </c>
      <c r="F18" t="s">
        <v>1602</v>
      </c>
      <c r="G18" t="s">
        <v>1602</v>
      </c>
      <c r="H18" t="s">
        <v>1711</v>
      </c>
      <c r="I18" t="s">
        <v>148</v>
      </c>
      <c r="J18" t="s">
        <v>148</v>
      </c>
      <c r="K18" t="s">
        <v>148</v>
      </c>
      <c r="L18" t="s">
        <v>148</v>
      </c>
      <c r="M18" t="s">
        <v>148</v>
      </c>
      <c r="N18" t="s">
        <v>148</v>
      </c>
      <c r="O18" t="s">
        <v>148</v>
      </c>
      <c r="P18" t="s">
        <v>148</v>
      </c>
      <c r="Q18" t="s">
        <v>148</v>
      </c>
      <c r="R18" t="s">
        <v>148</v>
      </c>
      <c r="S18" t="s">
        <v>148</v>
      </c>
      <c r="T18" t="s">
        <v>148</v>
      </c>
      <c r="U18" t="s">
        <v>148</v>
      </c>
      <c r="V18" t="s">
        <v>148</v>
      </c>
      <c r="W18" t="s">
        <v>148</v>
      </c>
      <c r="X18" t="s">
        <v>148</v>
      </c>
      <c r="Y18" t="s">
        <v>148</v>
      </c>
      <c r="Z18" t="s">
        <v>148</v>
      </c>
      <c r="AA18" t="s">
        <v>148</v>
      </c>
      <c r="AB18" t="s">
        <v>148</v>
      </c>
      <c r="AC18" t="s">
        <v>148</v>
      </c>
      <c r="AD18" t="s">
        <v>148</v>
      </c>
      <c r="AE18" t="s">
        <v>148</v>
      </c>
      <c r="AF18" t="s">
        <v>148</v>
      </c>
      <c r="AG18" t="s">
        <v>148</v>
      </c>
      <c r="AH18" t="s">
        <v>148</v>
      </c>
      <c r="AI18" t="s">
        <v>148</v>
      </c>
      <c r="AJ18" t="s">
        <v>1712</v>
      </c>
    </row>
    <row r="19" spans="1:36" x14ac:dyDescent="0.2">
      <c r="A19" t="s">
        <v>104</v>
      </c>
      <c r="B19" t="s">
        <v>105</v>
      </c>
      <c r="C19" t="s">
        <v>25</v>
      </c>
      <c r="D19" t="s">
        <v>107</v>
      </c>
      <c r="E19" t="str">
        <f>HYPERLINK("/pdf/2023_10.1109_cises58720.2023.10183402_Security_Threats_in_Healthcare_Big_Data__A_Comparative_Study.pdf","open")</f>
        <v>open</v>
      </c>
      <c r="F19" t="s">
        <v>1618</v>
      </c>
      <c r="G19" t="s">
        <v>1661</v>
      </c>
      <c r="H19" t="s">
        <v>1713</v>
      </c>
      <c r="I19" t="s">
        <v>148</v>
      </c>
      <c r="J19" t="s">
        <v>148</v>
      </c>
      <c r="K19" t="s">
        <v>148</v>
      </c>
      <c r="L19" t="s">
        <v>148</v>
      </c>
      <c r="M19" t="s">
        <v>148</v>
      </c>
      <c r="N19" t="s">
        <v>148</v>
      </c>
      <c r="O19" t="s">
        <v>148</v>
      </c>
      <c r="P19" t="s">
        <v>148</v>
      </c>
      <c r="Q19" t="s">
        <v>148</v>
      </c>
      <c r="R19" t="s">
        <v>148</v>
      </c>
      <c r="S19" t="s">
        <v>148</v>
      </c>
      <c r="T19" t="s">
        <v>148</v>
      </c>
      <c r="U19" t="s">
        <v>148</v>
      </c>
      <c r="V19" t="s">
        <v>148</v>
      </c>
      <c r="W19" t="s">
        <v>148</v>
      </c>
      <c r="X19" t="s">
        <v>148</v>
      </c>
      <c r="Y19" t="s">
        <v>148</v>
      </c>
      <c r="Z19" t="s">
        <v>148</v>
      </c>
      <c r="AA19" t="s">
        <v>148</v>
      </c>
      <c r="AB19" t="s">
        <v>148</v>
      </c>
      <c r="AC19" t="s">
        <v>148</v>
      </c>
      <c r="AD19" t="s">
        <v>148</v>
      </c>
      <c r="AE19" t="s">
        <v>148</v>
      </c>
      <c r="AF19" t="s">
        <v>148</v>
      </c>
      <c r="AG19" t="s">
        <v>148</v>
      </c>
      <c r="AH19" t="s">
        <v>148</v>
      </c>
      <c r="AI19" t="s">
        <v>148</v>
      </c>
      <c r="AJ19" t="s">
        <v>148</v>
      </c>
    </row>
    <row r="20" spans="1:36" x14ac:dyDescent="0.2">
      <c r="A20" t="s">
        <v>109</v>
      </c>
      <c r="B20" t="s">
        <v>110</v>
      </c>
      <c r="C20" t="s">
        <v>36</v>
      </c>
      <c r="D20" t="s">
        <v>112</v>
      </c>
      <c r="E20" t="str">
        <f>HYPERLINK("/pdf/2021_10_1109_iccd53106_2021_00097_qflow_quantitative_information_flow_for_security_aware_hardware_design_in_verilog.pdf","open")</f>
        <v>open</v>
      </c>
      <c r="F20" t="s">
        <v>1602</v>
      </c>
      <c r="G20" t="s">
        <v>1602</v>
      </c>
      <c r="H20" t="s">
        <v>1714</v>
      </c>
      <c r="I20" t="s">
        <v>1604</v>
      </c>
      <c r="J20" t="s">
        <v>1602</v>
      </c>
      <c r="K20" t="s">
        <v>1653</v>
      </c>
      <c r="L20" t="s">
        <v>1609</v>
      </c>
      <c r="M20" t="s">
        <v>1602</v>
      </c>
      <c r="N20" t="s">
        <v>148</v>
      </c>
      <c r="O20" t="s">
        <v>148</v>
      </c>
      <c r="P20" t="s">
        <v>148</v>
      </c>
      <c r="Q20" t="s">
        <v>148</v>
      </c>
      <c r="R20" t="s">
        <v>148</v>
      </c>
      <c r="S20" t="s">
        <v>1602</v>
      </c>
      <c r="T20" t="s">
        <v>1602</v>
      </c>
      <c r="U20" t="s">
        <v>1609</v>
      </c>
      <c r="V20" t="s">
        <v>1609</v>
      </c>
      <c r="W20" t="s">
        <v>148</v>
      </c>
      <c r="X20" t="s">
        <v>148</v>
      </c>
      <c r="Y20" t="s">
        <v>148</v>
      </c>
      <c r="Z20" t="s">
        <v>148</v>
      </c>
      <c r="AA20" t="s">
        <v>1715</v>
      </c>
      <c r="AB20" t="s">
        <v>1604</v>
      </c>
      <c r="AC20" t="s">
        <v>148</v>
      </c>
      <c r="AD20" t="s">
        <v>148</v>
      </c>
      <c r="AE20" t="s">
        <v>148</v>
      </c>
      <c r="AF20" t="s">
        <v>1716</v>
      </c>
      <c r="AG20" t="s">
        <v>1717</v>
      </c>
      <c r="AH20" t="s">
        <v>1718</v>
      </c>
      <c r="AI20" t="s">
        <v>590</v>
      </c>
      <c r="AJ20" t="s">
        <v>1719</v>
      </c>
    </row>
    <row r="21" spans="1:36" x14ac:dyDescent="0.2">
      <c r="A21" t="s">
        <v>114</v>
      </c>
      <c r="B21" t="s">
        <v>115</v>
      </c>
      <c r="C21" t="s">
        <v>100</v>
      </c>
      <c r="D21" t="s">
        <v>117</v>
      </c>
      <c r="E21" t="str">
        <f>HYPERLINK("/pdf/2022_10.1016_j.cose.2022.102874_Background_knowledge_attacks_in_privacy-preserving_data_publishing_models.pdf","open")</f>
        <v>open</v>
      </c>
      <c r="F21" t="s">
        <v>1602</v>
      </c>
      <c r="G21" t="s">
        <v>1602</v>
      </c>
      <c r="H21" t="s">
        <v>1720</v>
      </c>
      <c r="I21" t="s">
        <v>1604</v>
      </c>
      <c r="J21" t="s">
        <v>1721</v>
      </c>
      <c r="K21" t="s">
        <v>1653</v>
      </c>
      <c r="L21" t="s">
        <v>1604</v>
      </c>
      <c r="M21" t="s">
        <v>148</v>
      </c>
      <c r="N21" t="s">
        <v>148</v>
      </c>
      <c r="O21" t="s">
        <v>1604</v>
      </c>
      <c r="P21" t="s">
        <v>1722</v>
      </c>
      <c r="Q21" t="s">
        <v>1723</v>
      </c>
      <c r="R21" t="s">
        <v>1724</v>
      </c>
      <c r="S21" t="s">
        <v>148</v>
      </c>
      <c r="T21" t="s">
        <v>148</v>
      </c>
      <c r="U21" t="s">
        <v>148</v>
      </c>
      <c r="V21" t="s">
        <v>148</v>
      </c>
      <c r="W21" t="s">
        <v>148</v>
      </c>
      <c r="X21" t="s">
        <v>148</v>
      </c>
      <c r="Y21" t="s">
        <v>148</v>
      </c>
      <c r="Z21" t="s">
        <v>148</v>
      </c>
      <c r="AA21" t="s">
        <v>1725</v>
      </c>
      <c r="AB21" t="s">
        <v>148</v>
      </c>
      <c r="AC21" t="s">
        <v>148</v>
      </c>
      <c r="AD21" t="s">
        <v>148</v>
      </c>
      <c r="AE21" t="s">
        <v>148</v>
      </c>
      <c r="AF21" t="s">
        <v>1726</v>
      </c>
      <c r="AG21" t="s">
        <v>1727</v>
      </c>
      <c r="AH21" t="s">
        <v>1728</v>
      </c>
      <c r="AI21" t="s">
        <v>1729</v>
      </c>
      <c r="AJ21" t="s">
        <v>1730</v>
      </c>
    </row>
    <row r="22" spans="1:36" x14ac:dyDescent="0.2">
      <c r="A22" t="s">
        <v>119</v>
      </c>
      <c r="B22" t="s">
        <v>120</v>
      </c>
      <c r="C22" t="s">
        <v>19</v>
      </c>
      <c r="D22" t="s">
        <v>122</v>
      </c>
      <c r="E22" t="str">
        <f>HYPERLINK("/pdf/2025_10_14445_23488549_ijece_v12i10p115_qryptashield_quantum_inspired_feature_selection_and_rl_calibrated_federated_lea.pdf","open")</f>
        <v>open</v>
      </c>
      <c r="F22" t="s">
        <v>1607</v>
      </c>
      <c r="G22" t="s">
        <v>1731</v>
      </c>
      <c r="H22" t="s">
        <v>1732</v>
      </c>
      <c r="I22" t="s">
        <v>1604</v>
      </c>
      <c r="J22" t="s">
        <v>1733</v>
      </c>
      <c r="K22" t="s">
        <v>1664</v>
      </c>
      <c r="L22" t="s">
        <v>1609</v>
      </c>
      <c r="M22" t="s">
        <v>1734</v>
      </c>
      <c r="N22" t="s">
        <v>1611</v>
      </c>
      <c r="O22" t="s">
        <v>148</v>
      </c>
      <c r="P22" t="s">
        <v>148</v>
      </c>
      <c r="Q22" t="s">
        <v>148</v>
      </c>
      <c r="R22" t="s">
        <v>1735</v>
      </c>
      <c r="S22" t="s">
        <v>1655</v>
      </c>
      <c r="T22" t="s">
        <v>1736</v>
      </c>
      <c r="U22" t="s">
        <v>148</v>
      </c>
      <c r="V22" t="s">
        <v>148</v>
      </c>
      <c r="W22" t="s">
        <v>148</v>
      </c>
      <c r="X22" t="s">
        <v>148</v>
      </c>
      <c r="Y22" t="s">
        <v>148</v>
      </c>
      <c r="Z22" t="s">
        <v>148</v>
      </c>
      <c r="AA22" t="s">
        <v>1737</v>
      </c>
      <c r="AB22" t="s">
        <v>1604</v>
      </c>
      <c r="AC22" t="s">
        <v>148</v>
      </c>
      <c r="AD22" t="s">
        <v>148</v>
      </c>
      <c r="AE22" t="s">
        <v>148</v>
      </c>
      <c r="AF22" t="s">
        <v>1738</v>
      </c>
      <c r="AG22" t="s">
        <v>1739</v>
      </c>
      <c r="AH22" t="s">
        <v>1740</v>
      </c>
      <c r="AI22" t="s">
        <v>1741</v>
      </c>
      <c r="AJ22" t="s">
        <v>1742</v>
      </c>
    </row>
    <row r="23" spans="1:36" x14ac:dyDescent="0.2">
      <c r="A23" t="s">
        <v>124</v>
      </c>
      <c r="B23" t="s">
        <v>125</v>
      </c>
      <c r="C23" t="s">
        <v>100</v>
      </c>
      <c r="D23" t="s">
        <v>127</v>
      </c>
      <c r="E23" t="str">
        <f>HYPERLINK("/pdf/2022_10.1109_i2ct54291.2022.9824368_Security_Challenges_and_Cyber_Forensics_For_IoT_Driven_BYOD_Systems.pdf","open")</f>
        <v>open</v>
      </c>
      <c r="F23" t="s">
        <v>1602</v>
      </c>
      <c r="G23" t="s">
        <v>1602</v>
      </c>
      <c r="H23" t="s">
        <v>1743</v>
      </c>
      <c r="I23" t="s">
        <v>1609</v>
      </c>
      <c r="J23" t="s">
        <v>1602</v>
      </c>
      <c r="K23" t="s">
        <v>148</v>
      </c>
      <c r="L23" t="s">
        <v>148</v>
      </c>
      <c r="M23" t="s">
        <v>148</v>
      </c>
      <c r="N23" t="s">
        <v>148</v>
      </c>
      <c r="O23" t="s">
        <v>148</v>
      </c>
      <c r="P23" t="s">
        <v>1694</v>
      </c>
      <c r="Q23" t="s">
        <v>148</v>
      </c>
      <c r="R23" t="s">
        <v>148</v>
      </c>
      <c r="S23" t="s">
        <v>148</v>
      </c>
      <c r="T23" t="s">
        <v>148</v>
      </c>
      <c r="U23" t="s">
        <v>148</v>
      </c>
      <c r="V23" t="s">
        <v>148</v>
      </c>
      <c r="W23" t="s">
        <v>148</v>
      </c>
      <c r="X23" t="s">
        <v>148</v>
      </c>
      <c r="Y23" t="s">
        <v>148</v>
      </c>
      <c r="Z23" t="s">
        <v>148</v>
      </c>
      <c r="AA23" t="s">
        <v>148</v>
      </c>
      <c r="AB23" t="s">
        <v>1609</v>
      </c>
      <c r="AC23" t="s">
        <v>148</v>
      </c>
      <c r="AD23" t="s">
        <v>1609</v>
      </c>
      <c r="AE23" t="s">
        <v>148</v>
      </c>
      <c r="AF23" t="s">
        <v>148</v>
      </c>
      <c r="AG23" t="s">
        <v>148</v>
      </c>
      <c r="AH23" t="s">
        <v>148</v>
      </c>
      <c r="AI23" t="s">
        <v>44</v>
      </c>
      <c r="AJ23" t="s">
        <v>148</v>
      </c>
    </row>
    <row r="24" spans="1:36" x14ac:dyDescent="0.2">
      <c r="A24" t="s">
        <v>129</v>
      </c>
      <c r="B24" t="s">
        <v>130</v>
      </c>
      <c r="C24" t="s">
        <v>25</v>
      </c>
      <c r="D24" t="s">
        <v>132</v>
      </c>
      <c r="E24" t="str">
        <f>HYPERLINK("/pdf/2023_10.1109_socc58585.2023.10256758_μThingNet__Leveraging_Fine-Grained_Power_Analysis_towards_A_Robust_Zero-Day_Defender.pdf","open")</f>
        <v>open</v>
      </c>
      <c r="F24" t="s">
        <v>1744</v>
      </c>
      <c r="G24" t="s">
        <v>1745</v>
      </c>
      <c r="H24" t="s">
        <v>1746</v>
      </c>
      <c r="I24" t="s">
        <v>1609</v>
      </c>
      <c r="J24" t="s">
        <v>148</v>
      </c>
      <c r="K24" t="s">
        <v>148</v>
      </c>
      <c r="L24" t="s">
        <v>148</v>
      </c>
      <c r="M24" t="s">
        <v>1636</v>
      </c>
      <c r="N24" t="s">
        <v>1611</v>
      </c>
      <c r="O24" t="s">
        <v>1604</v>
      </c>
      <c r="P24" t="s">
        <v>1747</v>
      </c>
      <c r="Q24" t="s">
        <v>1748</v>
      </c>
      <c r="R24" t="s">
        <v>1749</v>
      </c>
      <c r="S24" t="s">
        <v>1655</v>
      </c>
      <c r="T24" t="s">
        <v>1750</v>
      </c>
      <c r="U24" t="s">
        <v>148</v>
      </c>
      <c r="V24" t="s">
        <v>148</v>
      </c>
      <c r="W24" t="s">
        <v>148</v>
      </c>
      <c r="X24" t="s">
        <v>1751</v>
      </c>
      <c r="Y24" t="s">
        <v>148</v>
      </c>
      <c r="Z24" t="s">
        <v>148</v>
      </c>
      <c r="AA24" t="s">
        <v>1752</v>
      </c>
      <c r="AB24" t="s">
        <v>1609</v>
      </c>
      <c r="AC24" t="s">
        <v>148</v>
      </c>
      <c r="AD24" t="s">
        <v>148</v>
      </c>
      <c r="AE24" t="s">
        <v>148</v>
      </c>
      <c r="AF24" t="s">
        <v>1753</v>
      </c>
      <c r="AG24" t="s">
        <v>1614</v>
      </c>
      <c r="AH24" t="s">
        <v>1754</v>
      </c>
      <c r="AI24" t="s">
        <v>590</v>
      </c>
      <c r="AJ24" t="s">
        <v>1755</v>
      </c>
    </row>
    <row r="25" spans="1:36" x14ac:dyDescent="0.2">
      <c r="A25" t="s">
        <v>134</v>
      </c>
      <c r="B25" t="s">
        <v>135</v>
      </c>
      <c r="C25" t="s">
        <v>136</v>
      </c>
      <c r="D25" t="s">
        <v>138</v>
      </c>
      <c r="E25" t="str">
        <f>HYPERLINK("/pdf/2019_10_35940_ijeat_f8202_088619_byod_secured_solution_framework.pdf","open")</f>
        <v>open</v>
      </c>
      <c r="F25" t="s">
        <v>1602</v>
      </c>
      <c r="G25" t="s">
        <v>1602</v>
      </c>
      <c r="H25" t="s">
        <v>1756</v>
      </c>
      <c r="I25" t="s">
        <v>1609</v>
      </c>
      <c r="J25" t="s">
        <v>148</v>
      </c>
      <c r="K25" t="s">
        <v>148</v>
      </c>
      <c r="L25" t="s">
        <v>148</v>
      </c>
      <c r="M25" t="s">
        <v>148</v>
      </c>
      <c r="N25" t="s">
        <v>148</v>
      </c>
      <c r="O25" t="s">
        <v>148</v>
      </c>
      <c r="P25" t="s">
        <v>148</v>
      </c>
      <c r="Q25" t="s">
        <v>148</v>
      </c>
      <c r="R25" t="s">
        <v>148</v>
      </c>
      <c r="S25" t="s">
        <v>148</v>
      </c>
      <c r="T25" t="s">
        <v>148</v>
      </c>
      <c r="U25" t="s">
        <v>148</v>
      </c>
      <c r="V25" t="s">
        <v>148</v>
      </c>
      <c r="W25" t="s">
        <v>148</v>
      </c>
      <c r="X25" t="s">
        <v>148</v>
      </c>
      <c r="Y25" t="s">
        <v>148</v>
      </c>
      <c r="Z25" t="s">
        <v>148</v>
      </c>
      <c r="AA25" t="s">
        <v>1757</v>
      </c>
      <c r="AB25" t="s">
        <v>1609</v>
      </c>
      <c r="AC25" t="s">
        <v>148</v>
      </c>
      <c r="AD25" t="s">
        <v>148</v>
      </c>
      <c r="AE25" t="s">
        <v>148</v>
      </c>
      <c r="AF25" t="s">
        <v>1758</v>
      </c>
      <c r="AG25" t="s">
        <v>148</v>
      </c>
      <c r="AH25" t="s">
        <v>148</v>
      </c>
      <c r="AI25" t="s">
        <v>44</v>
      </c>
      <c r="AJ25" t="s">
        <v>148</v>
      </c>
    </row>
    <row r="26" spans="1:36" x14ac:dyDescent="0.2">
      <c r="A26" t="s">
        <v>140</v>
      </c>
      <c r="B26" t="s">
        <v>141</v>
      </c>
      <c r="C26" t="s">
        <v>25</v>
      </c>
      <c r="D26" t="s">
        <v>143</v>
      </c>
      <c r="E26" t="str">
        <f>HYPERLINK("/pdf/2023_10_11591_ijece_v13i5_pp5560_5568_concept_drift_and_machine_learning_model_for_detecting_fraudulent_transactions_in_streamin.pdf","open")</f>
        <v>open</v>
      </c>
      <c r="F26" t="s">
        <v>1606</v>
      </c>
      <c r="G26" t="s">
        <v>1759</v>
      </c>
      <c r="H26" t="s">
        <v>1760</v>
      </c>
      <c r="I26" t="s">
        <v>148</v>
      </c>
      <c r="J26" t="s">
        <v>148</v>
      </c>
      <c r="K26" t="s">
        <v>1635</v>
      </c>
      <c r="L26" t="s">
        <v>148</v>
      </c>
      <c r="M26" t="s">
        <v>1761</v>
      </c>
      <c r="N26" t="s">
        <v>1611</v>
      </c>
      <c r="O26" t="s">
        <v>1604</v>
      </c>
      <c r="P26" t="s">
        <v>1762</v>
      </c>
      <c r="Q26" t="s">
        <v>1763</v>
      </c>
      <c r="R26" t="s">
        <v>1764</v>
      </c>
      <c r="S26" t="s">
        <v>1654</v>
      </c>
      <c r="T26" t="s">
        <v>1765</v>
      </c>
      <c r="U26" t="s">
        <v>1604</v>
      </c>
      <c r="V26" t="s">
        <v>148</v>
      </c>
      <c r="W26" t="s">
        <v>148</v>
      </c>
      <c r="X26" t="s">
        <v>1766</v>
      </c>
      <c r="Y26" t="s">
        <v>148</v>
      </c>
      <c r="Z26" t="s">
        <v>148</v>
      </c>
      <c r="AA26" t="s">
        <v>1767</v>
      </c>
      <c r="AB26" t="s">
        <v>1604</v>
      </c>
      <c r="AC26" t="s">
        <v>1768</v>
      </c>
      <c r="AD26" t="s">
        <v>148</v>
      </c>
      <c r="AE26" t="s">
        <v>148</v>
      </c>
      <c r="AF26" t="s">
        <v>1769</v>
      </c>
      <c r="AG26" t="s">
        <v>1614</v>
      </c>
      <c r="AH26" t="s">
        <v>1770</v>
      </c>
      <c r="AI26" t="s">
        <v>590</v>
      </c>
      <c r="AJ26" t="s">
        <v>1771</v>
      </c>
    </row>
    <row r="27" spans="1:36" x14ac:dyDescent="0.2">
      <c r="A27" t="s">
        <v>145</v>
      </c>
      <c r="B27" t="s">
        <v>146</v>
      </c>
      <c r="C27" t="s">
        <v>136</v>
      </c>
      <c r="D27" t="s">
        <v>148</v>
      </c>
      <c r="E27" t="str">
        <f>HYPERLINK("/pdf/2020_10.1109_idea49133.2020.9170738_Android_data_leakage_and_anomaly_based_Intrusion_detection_System.pdf","open")</f>
        <v>open</v>
      </c>
      <c r="F27" t="s">
        <v>1772</v>
      </c>
      <c r="G27" t="s">
        <v>1773</v>
      </c>
      <c r="H27" t="s">
        <v>1774</v>
      </c>
      <c r="I27" t="s">
        <v>1609</v>
      </c>
      <c r="J27" t="s">
        <v>148</v>
      </c>
      <c r="K27" t="s">
        <v>148</v>
      </c>
      <c r="L27" t="s">
        <v>148</v>
      </c>
      <c r="M27" t="s">
        <v>1775</v>
      </c>
      <c r="N27" t="s">
        <v>1611</v>
      </c>
      <c r="O27" t="s">
        <v>148</v>
      </c>
      <c r="P27" t="s">
        <v>148</v>
      </c>
      <c r="Q27" t="s">
        <v>148</v>
      </c>
      <c r="R27" t="s">
        <v>148</v>
      </c>
      <c r="S27" t="s">
        <v>148</v>
      </c>
      <c r="T27" t="s">
        <v>148</v>
      </c>
      <c r="U27" t="s">
        <v>148</v>
      </c>
      <c r="V27" t="s">
        <v>148</v>
      </c>
      <c r="W27" t="s">
        <v>148</v>
      </c>
      <c r="X27" t="s">
        <v>148</v>
      </c>
      <c r="Y27" t="s">
        <v>148</v>
      </c>
      <c r="Z27" t="s">
        <v>148</v>
      </c>
      <c r="AA27" t="s">
        <v>1776</v>
      </c>
      <c r="AB27" t="s">
        <v>1604</v>
      </c>
      <c r="AC27" t="s">
        <v>148</v>
      </c>
      <c r="AD27" t="s">
        <v>148</v>
      </c>
      <c r="AE27" t="s">
        <v>148</v>
      </c>
      <c r="AF27" t="s">
        <v>1614</v>
      </c>
      <c r="AG27" t="s">
        <v>1614</v>
      </c>
      <c r="AH27" t="s">
        <v>148</v>
      </c>
      <c r="AI27" t="s">
        <v>44</v>
      </c>
      <c r="AJ27" t="s">
        <v>148</v>
      </c>
    </row>
    <row r="28" spans="1:36" x14ac:dyDescent="0.2">
      <c r="A28" t="s">
        <v>150</v>
      </c>
      <c r="B28" t="s">
        <v>151</v>
      </c>
      <c r="C28" t="s">
        <v>19</v>
      </c>
      <c r="D28" t="s">
        <v>152</v>
      </c>
      <c r="E28" t="str">
        <f>HYPERLINK("/pdf/2025_10.1109_access.2025.3635667_PPATF__A_Privacy-Preserving_Adversarial_Training_Framework_to_Enhance_the_Robustness_of_Lightweight_Intrusion_.pdf","open")</f>
        <v>open</v>
      </c>
      <c r="F28" t="s">
        <v>1606</v>
      </c>
      <c r="G28" t="s">
        <v>1607</v>
      </c>
      <c r="H28" t="s">
        <v>1777</v>
      </c>
      <c r="I28" t="s">
        <v>1778</v>
      </c>
      <c r="J28" t="s">
        <v>1602</v>
      </c>
      <c r="K28" t="s">
        <v>1653</v>
      </c>
      <c r="L28" t="s">
        <v>1609</v>
      </c>
      <c r="M28" t="s">
        <v>1779</v>
      </c>
      <c r="N28" t="s">
        <v>1611</v>
      </c>
      <c r="O28" t="s">
        <v>1604</v>
      </c>
      <c r="P28" t="s">
        <v>1780</v>
      </c>
      <c r="Q28" t="s">
        <v>1781</v>
      </c>
      <c r="R28" t="s">
        <v>1782</v>
      </c>
      <c r="S28" t="s">
        <v>1655</v>
      </c>
      <c r="T28" t="s">
        <v>1783</v>
      </c>
      <c r="U28" t="s">
        <v>1609</v>
      </c>
      <c r="V28" t="s">
        <v>1609</v>
      </c>
      <c r="W28" t="s">
        <v>1604</v>
      </c>
      <c r="X28" t="s">
        <v>1784</v>
      </c>
      <c r="Y28" t="s">
        <v>148</v>
      </c>
      <c r="Z28" t="s">
        <v>1785</v>
      </c>
      <c r="AA28" t="s">
        <v>1786</v>
      </c>
      <c r="AB28" t="s">
        <v>1604</v>
      </c>
      <c r="AC28" t="s">
        <v>148</v>
      </c>
      <c r="AD28" t="s">
        <v>148</v>
      </c>
      <c r="AE28" t="s">
        <v>148</v>
      </c>
      <c r="AF28" t="s">
        <v>1787</v>
      </c>
      <c r="AG28" t="s">
        <v>1788</v>
      </c>
      <c r="AH28" t="s">
        <v>1789</v>
      </c>
      <c r="AI28" t="s">
        <v>590</v>
      </c>
      <c r="AJ28" t="s">
        <v>1790</v>
      </c>
    </row>
    <row r="29" spans="1:36" x14ac:dyDescent="0.2">
      <c r="A29" t="s">
        <v>154</v>
      </c>
      <c r="B29" t="s">
        <v>155</v>
      </c>
      <c r="C29" t="s">
        <v>156</v>
      </c>
      <c r="D29" t="s">
        <v>158</v>
      </c>
      <c r="E29" t="str">
        <f>HYPERLINK("/pdf/2013_10_1007_s10796_013_9419_8_guest_editorial_a_brief_overview_of_data_leakage_and_insider_threats.pdf","open")</f>
        <v>open</v>
      </c>
      <c r="F29" t="s">
        <v>1602</v>
      </c>
      <c r="G29" t="s">
        <v>1602</v>
      </c>
      <c r="H29" t="s">
        <v>1791</v>
      </c>
      <c r="I29" t="s">
        <v>148</v>
      </c>
      <c r="J29" t="s">
        <v>148</v>
      </c>
      <c r="K29" t="s">
        <v>148</v>
      </c>
      <c r="L29" t="s">
        <v>148</v>
      </c>
      <c r="M29" t="s">
        <v>148</v>
      </c>
      <c r="N29" t="s">
        <v>148</v>
      </c>
      <c r="O29" t="s">
        <v>148</v>
      </c>
      <c r="P29" t="s">
        <v>148</v>
      </c>
      <c r="Q29" t="s">
        <v>148</v>
      </c>
      <c r="R29" t="s">
        <v>148</v>
      </c>
      <c r="S29" t="s">
        <v>148</v>
      </c>
      <c r="T29" t="s">
        <v>148</v>
      </c>
      <c r="U29" t="s">
        <v>148</v>
      </c>
      <c r="V29" t="s">
        <v>148</v>
      </c>
      <c r="W29" t="s">
        <v>148</v>
      </c>
      <c r="X29" t="s">
        <v>148</v>
      </c>
      <c r="Y29" t="s">
        <v>148</v>
      </c>
      <c r="Z29" t="s">
        <v>148</v>
      </c>
      <c r="AA29" t="s">
        <v>148</v>
      </c>
      <c r="AB29" t="s">
        <v>148</v>
      </c>
      <c r="AC29" t="s">
        <v>148</v>
      </c>
      <c r="AD29" t="s">
        <v>148</v>
      </c>
      <c r="AE29" t="s">
        <v>148</v>
      </c>
      <c r="AF29" t="s">
        <v>148</v>
      </c>
      <c r="AG29" t="s">
        <v>148</v>
      </c>
      <c r="AH29" t="s">
        <v>148</v>
      </c>
      <c r="AI29" t="s">
        <v>148</v>
      </c>
      <c r="AJ29" t="s">
        <v>148</v>
      </c>
    </row>
    <row r="30" spans="1:36" x14ac:dyDescent="0.2">
      <c r="A30" t="s">
        <v>160</v>
      </c>
      <c r="B30" t="s">
        <v>161</v>
      </c>
      <c r="C30" t="s">
        <v>100</v>
      </c>
      <c r="D30" t="s">
        <v>163</v>
      </c>
      <c r="E30" t="str">
        <f>HYPERLINK("/pdf/2022_10.1109_eircon56026.2022.9934810_Model_to_Identify_the_Profile_of_Countermeasures_for_Information_Leakage_in_Financial_Organizations.pdf","open")</f>
        <v>open</v>
      </c>
      <c r="F30" t="s">
        <v>1602</v>
      </c>
      <c r="G30" t="s">
        <v>1602</v>
      </c>
      <c r="H30" t="s">
        <v>1792</v>
      </c>
      <c r="I30" t="s">
        <v>1609</v>
      </c>
      <c r="J30" t="s">
        <v>148</v>
      </c>
      <c r="K30" t="s">
        <v>148</v>
      </c>
      <c r="L30" t="s">
        <v>148</v>
      </c>
      <c r="M30" t="s">
        <v>148</v>
      </c>
      <c r="N30" t="s">
        <v>148</v>
      </c>
      <c r="O30" t="s">
        <v>148</v>
      </c>
      <c r="P30" t="s">
        <v>148</v>
      </c>
      <c r="Q30" t="s">
        <v>148</v>
      </c>
      <c r="R30" t="s">
        <v>148</v>
      </c>
      <c r="S30" t="s">
        <v>148</v>
      </c>
      <c r="T30" t="s">
        <v>148</v>
      </c>
      <c r="U30" t="s">
        <v>148</v>
      </c>
      <c r="V30" t="s">
        <v>148</v>
      </c>
      <c r="W30" t="s">
        <v>148</v>
      </c>
      <c r="X30" t="s">
        <v>148</v>
      </c>
      <c r="Y30" t="s">
        <v>148</v>
      </c>
      <c r="Z30" t="s">
        <v>148</v>
      </c>
      <c r="AA30" t="s">
        <v>148</v>
      </c>
      <c r="AB30" t="s">
        <v>148</v>
      </c>
      <c r="AC30" t="s">
        <v>148</v>
      </c>
      <c r="AD30" t="s">
        <v>148</v>
      </c>
      <c r="AE30" t="s">
        <v>148</v>
      </c>
      <c r="AF30" t="s">
        <v>1793</v>
      </c>
      <c r="AG30" t="s">
        <v>1794</v>
      </c>
      <c r="AH30" t="s">
        <v>148</v>
      </c>
      <c r="AI30" t="s">
        <v>44</v>
      </c>
      <c r="AJ30" t="s">
        <v>148</v>
      </c>
    </row>
    <row r="31" spans="1:36" x14ac:dyDescent="0.2">
      <c r="A31" t="s">
        <v>165</v>
      </c>
      <c r="B31" t="s">
        <v>166</v>
      </c>
      <c r="C31" t="s">
        <v>60</v>
      </c>
      <c r="D31" t="s">
        <v>168</v>
      </c>
      <c r="E31" t="str">
        <f>HYPERLINK("/pdf/2024_10.1109_ithings-greencom-cpscom-smartdata-cybermatics62450.2024.00102_On_the_Security_and_Privacy_Implications_of_Large_Language_Models__In-Depth_Threat_Analysis.pdf","open")</f>
        <v>open</v>
      </c>
      <c r="F31" t="s">
        <v>1602</v>
      </c>
      <c r="G31" t="s">
        <v>1602</v>
      </c>
      <c r="H31" t="s">
        <v>1795</v>
      </c>
      <c r="I31" t="s">
        <v>148</v>
      </c>
      <c r="J31" t="s">
        <v>148</v>
      </c>
      <c r="K31" t="s">
        <v>148</v>
      </c>
      <c r="L31" t="s">
        <v>148</v>
      </c>
      <c r="M31" t="s">
        <v>148</v>
      </c>
      <c r="N31" t="s">
        <v>148</v>
      </c>
      <c r="O31" t="s">
        <v>148</v>
      </c>
      <c r="P31" t="s">
        <v>148</v>
      </c>
      <c r="Q31" t="s">
        <v>148</v>
      </c>
      <c r="R31" t="s">
        <v>148</v>
      </c>
      <c r="S31" t="s">
        <v>148</v>
      </c>
      <c r="T31" t="s">
        <v>148</v>
      </c>
      <c r="U31" t="s">
        <v>148</v>
      </c>
      <c r="V31" t="s">
        <v>148</v>
      </c>
      <c r="W31" t="s">
        <v>148</v>
      </c>
      <c r="X31" t="s">
        <v>148</v>
      </c>
      <c r="Y31" t="s">
        <v>148</v>
      </c>
      <c r="Z31" t="s">
        <v>148</v>
      </c>
      <c r="AA31" t="s">
        <v>148</v>
      </c>
      <c r="AB31" t="s">
        <v>148</v>
      </c>
      <c r="AC31" t="s">
        <v>148</v>
      </c>
      <c r="AD31" t="s">
        <v>148</v>
      </c>
      <c r="AE31" t="s">
        <v>148</v>
      </c>
      <c r="AF31" t="s">
        <v>148</v>
      </c>
      <c r="AG31" t="s">
        <v>148</v>
      </c>
      <c r="AH31" t="s">
        <v>148</v>
      </c>
      <c r="AI31" t="s">
        <v>148</v>
      </c>
      <c r="AJ31" t="s">
        <v>148</v>
      </c>
    </row>
    <row r="32" spans="1:36" x14ac:dyDescent="0.2">
      <c r="A32" t="s">
        <v>170</v>
      </c>
      <c r="B32" t="s">
        <v>171</v>
      </c>
      <c r="C32" t="s">
        <v>19</v>
      </c>
      <c r="D32" t="s">
        <v>173</v>
      </c>
      <c r="E32" t="str">
        <f>HYPERLINK("/pdf/2025_10_3390_cryptography9040072_a_post_quantum_cryptography_enabled_feature_level_fusion_framework_for_privacy_preserving.pdf","open")</f>
        <v>open</v>
      </c>
      <c r="F32" t="s">
        <v>1602</v>
      </c>
      <c r="G32" t="s">
        <v>1602</v>
      </c>
      <c r="H32" t="s">
        <v>1796</v>
      </c>
      <c r="I32" t="s">
        <v>1609</v>
      </c>
      <c r="J32" t="s">
        <v>148</v>
      </c>
      <c r="K32" t="s">
        <v>148</v>
      </c>
      <c r="L32" t="s">
        <v>148</v>
      </c>
      <c r="M32" t="s">
        <v>148</v>
      </c>
      <c r="N32" t="s">
        <v>148</v>
      </c>
      <c r="O32" t="s">
        <v>1604</v>
      </c>
      <c r="P32" t="s">
        <v>1694</v>
      </c>
      <c r="Q32" t="s">
        <v>148</v>
      </c>
      <c r="R32" t="s">
        <v>148</v>
      </c>
      <c r="S32" t="s">
        <v>1602</v>
      </c>
      <c r="T32" t="s">
        <v>1797</v>
      </c>
      <c r="U32" t="s">
        <v>148</v>
      </c>
      <c r="V32" t="s">
        <v>1604</v>
      </c>
      <c r="W32" t="s">
        <v>1604</v>
      </c>
      <c r="X32" t="s">
        <v>1798</v>
      </c>
      <c r="Y32" t="s">
        <v>148</v>
      </c>
      <c r="Z32" t="s">
        <v>148</v>
      </c>
      <c r="AA32" t="s">
        <v>1799</v>
      </c>
      <c r="AB32" t="s">
        <v>1604</v>
      </c>
      <c r="AC32" t="s">
        <v>1800</v>
      </c>
      <c r="AD32" t="s">
        <v>148</v>
      </c>
      <c r="AE32" t="s">
        <v>148</v>
      </c>
      <c r="AF32" t="s">
        <v>1801</v>
      </c>
      <c r="AG32" t="s">
        <v>1802</v>
      </c>
      <c r="AH32" t="s">
        <v>1803</v>
      </c>
      <c r="AI32" t="s">
        <v>590</v>
      </c>
      <c r="AJ32" t="s">
        <v>1804</v>
      </c>
    </row>
    <row r="33" spans="1:36" x14ac:dyDescent="0.2">
      <c r="A33" t="s">
        <v>175</v>
      </c>
      <c r="B33" t="s">
        <v>176</v>
      </c>
      <c r="C33" t="s">
        <v>19</v>
      </c>
      <c r="D33" t="s">
        <v>178</v>
      </c>
      <c r="E33" t="str">
        <f>HYPERLINK("/pdf/2025_10.1109_etfa65518.2025.11205756_Trustworthy_AI_for_Security_Decision-Making_in_ICSs__Towards_Compliance_with_the_EU_AI_Act.pdf","open")</f>
        <v>open</v>
      </c>
      <c r="F33" t="s">
        <v>1602</v>
      </c>
      <c r="G33" t="s">
        <v>1602</v>
      </c>
      <c r="H33" t="s">
        <v>148</v>
      </c>
      <c r="I33" t="s">
        <v>1805</v>
      </c>
      <c r="J33" t="s">
        <v>1721</v>
      </c>
      <c r="K33" t="s">
        <v>1653</v>
      </c>
      <c r="L33" t="s">
        <v>1604</v>
      </c>
      <c r="M33" t="s">
        <v>1602</v>
      </c>
      <c r="N33" t="s">
        <v>1611</v>
      </c>
      <c r="O33" t="s">
        <v>1604</v>
      </c>
      <c r="P33" t="s">
        <v>1602</v>
      </c>
      <c r="Q33" t="s">
        <v>1602</v>
      </c>
      <c r="R33" t="s">
        <v>1602</v>
      </c>
      <c r="S33" t="s">
        <v>148</v>
      </c>
      <c r="T33" t="s">
        <v>148</v>
      </c>
      <c r="U33" t="s">
        <v>148</v>
      </c>
      <c r="V33" t="s">
        <v>148</v>
      </c>
      <c r="W33" t="s">
        <v>148</v>
      </c>
      <c r="X33" t="s">
        <v>1602</v>
      </c>
      <c r="Y33" t="s">
        <v>148</v>
      </c>
      <c r="Z33" t="s">
        <v>148</v>
      </c>
      <c r="AA33" t="s">
        <v>1806</v>
      </c>
      <c r="AB33" t="s">
        <v>1609</v>
      </c>
      <c r="AC33" t="s">
        <v>148</v>
      </c>
      <c r="AD33" t="s">
        <v>148</v>
      </c>
      <c r="AE33" t="s">
        <v>148</v>
      </c>
      <c r="AF33" t="s">
        <v>1807</v>
      </c>
      <c r="AG33" t="s">
        <v>1808</v>
      </c>
      <c r="AH33" t="s">
        <v>1809</v>
      </c>
      <c r="AI33" t="s">
        <v>44</v>
      </c>
      <c r="AJ33" t="s">
        <v>1810</v>
      </c>
    </row>
    <row r="34" spans="1:36" x14ac:dyDescent="0.2">
      <c r="A34" t="s">
        <v>180</v>
      </c>
      <c r="B34" t="s">
        <v>181</v>
      </c>
      <c r="C34" t="s">
        <v>19</v>
      </c>
      <c r="D34" t="s">
        <v>183</v>
      </c>
      <c r="E34" t="str">
        <f>HYPERLINK("/pdf/2025_10.1109_jiot.2025.3583304_BCTD-ICS__A_Blockchain-Aided_Framework_for_Trusted_Detection_of_Industrial_Control_System_Components.pdf","open")</f>
        <v>open</v>
      </c>
      <c r="F34" t="s">
        <v>1602</v>
      </c>
      <c r="G34" t="s">
        <v>1602</v>
      </c>
      <c r="H34" t="s">
        <v>1811</v>
      </c>
      <c r="I34" t="s">
        <v>1604</v>
      </c>
      <c r="J34" t="s">
        <v>1602</v>
      </c>
      <c r="K34" t="s">
        <v>1653</v>
      </c>
      <c r="L34" t="s">
        <v>1609</v>
      </c>
      <c r="M34" t="s">
        <v>1621</v>
      </c>
      <c r="N34" t="s">
        <v>148</v>
      </c>
      <c r="O34" t="s">
        <v>1604</v>
      </c>
      <c r="P34" t="s">
        <v>1694</v>
      </c>
      <c r="Q34" t="s">
        <v>148</v>
      </c>
      <c r="R34" t="s">
        <v>148</v>
      </c>
      <c r="S34" t="s">
        <v>1602</v>
      </c>
      <c r="T34" t="s">
        <v>1812</v>
      </c>
      <c r="U34" t="s">
        <v>148</v>
      </c>
      <c r="V34" t="s">
        <v>148</v>
      </c>
      <c r="W34" t="s">
        <v>148</v>
      </c>
      <c r="X34" t="s">
        <v>1813</v>
      </c>
      <c r="Y34" t="s">
        <v>148</v>
      </c>
      <c r="Z34" t="s">
        <v>148</v>
      </c>
      <c r="AA34" t="s">
        <v>1814</v>
      </c>
      <c r="AB34" t="s">
        <v>1604</v>
      </c>
      <c r="AC34" t="s">
        <v>1815</v>
      </c>
      <c r="AD34" t="s">
        <v>148</v>
      </c>
      <c r="AE34" t="s">
        <v>148</v>
      </c>
      <c r="AF34" t="s">
        <v>1816</v>
      </c>
      <c r="AG34" t="s">
        <v>1817</v>
      </c>
      <c r="AH34" t="s">
        <v>1818</v>
      </c>
      <c r="AI34" t="s">
        <v>590</v>
      </c>
      <c r="AJ34" t="s">
        <v>1819</v>
      </c>
    </row>
    <row r="35" spans="1:36" x14ac:dyDescent="0.2">
      <c r="A35" t="s">
        <v>185</v>
      </c>
      <c r="B35" t="s">
        <v>186</v>
      </c>
      <c r="C35" t="s">
        <v>148</v>
      </c>
      <c r="D35" t="s">
        <v>148</v>
      </c>
      <c r="E35" t="str">
        <f>HYPERLINK("/pdf/2019_Towards_automated_threat-based_risk_assessment_for_cyber_security_in_smarthomes.pdf","open")</f>
        <v>open</v>
      </c>
      <c r="F35" t="s">
        <v>1602</v>
      </c>
      <c r="G35" t="s">
        <v>1602</v>
      </c>
      <c r="H35" t="s">
        <v>1820</v>
      </c>
      <c r="I35" t="s">
        <v>148</v>
      </c>
      <c r="J35" t="s">
        <v>148</v>
      </c>
      <c r="K35" t="s">
        <v>148</v>
      </c>
      <c r="L35" t="s">
        <v>148</v>
      </c>
      <c r="M35" t="s">
        <v>148</v>
      </c>
      <c r="N35" t="s">
        <v>148</v>
      </c>
      <c r="O35" t="s">
        <v>148</v>
      </c>
      <c r="P35" t="s">
        <v>148</v>
      </c>
      <c r="Q35" t="s">
        <v>148</v>
      </c>
      <c r="R35" t="s">
        <v>148</v>
      </c>
      <c r="S35" t="s">
        <v>148</v>
      </c>
      <c r="T35" t="s">
        <v>148</v>
      </c>
      <c r="U35" t="s">
        <v>148</v>
      </c>
      <c r="V35" t="s">
        <v>148</v>
      </c>
      <c r="W35" t="s">
        <v>148</v>
      </c>
      <c r="X35" t="s">
        <v>148</v>
      </c>
      <c r="Y35" t="s">
        <v>148</v>
      </c>
      <c r="Z35" t="s">
        <v>148</v>
      </c>
      <c r="AA35" t="s">
        <v>1821</v>
      </c>
      <c r="AB35" t="s">
        <v>148</v>
      </c>
      <c r="AC35" t="s">
        <v>148</v>
      </c>
      <c r="AD35" t="s">
        <v>148</v>
      </c>
      <c r="AE35" t="s">
        <v>148</v>
      </c>
      <c r="AF35" t="s">
        <v>1822</v>
      </c>
      <c r="AG35" t="s">
        <v>1823</v>
      </c>
      <c r="AH35" t="s">
        <v>148</v>
      </c>
      <c r="AI35" t="s">
        <v>44</v>
      </c>
      <c r="AJ35" t="s">
        <v>1824</v>
      </c>
    </row>
    <row r="36" spans="1:36" x14ac:dyDescent="0.2">
      <c r="A36" t="s">
        <v>188</v>
      </c>
      <c r="B36" t="s">
        <v>189</v>
      </c>
      <c r="C36" t="s">
        <v>190</v>
      </c>
      <c r="D36" t="s">
        <v>192</v>
      </c>
      <c r="E36" t="str">
        <f>HYPERLINK("/pdf/2017_10.1016_j.jisa.2016.10.001_A_white-box_anomaly-based_framework_for_database_leakage_detection.pdf","open")</f>
        <v>open</v>
      </c>
      <c r="F36" t="s">
        <v>1618</v>
      </c>
      <c r="G36" t="s">
        <v>1607</v>
      </c>
      <c r="H36" t="s">
        <v>1825</v>
      </c>
      <c r="I36" t="s">
        <v>1609</v>
      </c>
      <c r="J36" t="s">
        <v>1602</v>
      </c>
      <c r="K36" t="s">
        <v>1664</v>
      </c>
      <c r="L36" t="s">
        <v>148</v>
      </c>
      <c r="M36" t="s">
        <v>1826</v>
      </c>
      <c r="N36" t="s">
        <v>1611</v>
      </c>
      <c r="O36" t="s">
        <v>1604</v>
      </c>
      <c r="P36" t="s">
        <v>1827</v>
      </c>
      <c r="Q36" t="s">
        <v>1828</v>
      </c>
      <c r="R36" t="s">
        <v>1829</v>
      </c>
      <c r="S36" t="s">
        <v>1624</v>
      </c>
      <c r="T36" t="s">
        <v>1830</v>
      </c>
      <c r="U36" t="s">
        <v>1604</v>
      </c>
      <c r="V36" t="s">
        <v>1609</v>
      </c>
      <c r="W36" t="s">
        <v>148</v>
      </c>
      <c r="X36" t="s">
        <v>1831</v>
      </c>
      <c r="Y36" t="s">
        <v>148</v>
      </c>
      <c r="Z36" t="s">
        <v>148</v>
      </c>
      <c r="AA36" t="s">
        <v>1832</v>
      </c>
      <c r="AB36" t="s">
        <v>1609</v>
      </c>
      <c r="AC36" t="s">
        <v>148</v>
      </c>
      <c r="AD36" t="s">
        <v>1609</v>
      </c>
      <c r="AE36" t="s">
        <v>148</v>
      </c>
      <c r="AF36" t="s">
        <v>1833</v>
      </c>
      <c r="AG36" t="s">
        <v>1834</v>
      </c>
      <c r="AH36" t="s">
        <v>1835</v>
      </c>
      <c r="AI36" t="s">
        <v>1836</v>
      </c>
      <c r="AJ36" t="s">
        <v>1837</v>
      </c>
    </row>
    <row r="37" spans="1:36" x14ac:dyDescent="0.2">
      <c r="A37" t="s">
        <v>194</v>
      </c>
      <c r="B37" t="s">
        <v>195</v>
      </c>
      <c r="C37" t="s">
        <v>148</v>
      </c>
      <c r="D37" t="s">
        <v>148</v>
      </c>
      <c r="E37" t="str">
        <f>HYPERLINK("/pdf/2020_10.1109_rivf48685.2020.9140781_Network_Analytics_for_Improving_Students'_Cybersecurity_Awareness_in_Online_Learning_Systems.pdf","open")</f>
        <v>open</v>
      </c>
      <c r="F37" t="s">
        <v>1602</v>
      </c>
      <c r="G37" t="s">
        <v>1602</v>
      </c>
      <c r="H37" t="s">
        <v>1838</v>
      </c>
      <c r="I37" t="s">
        <v>1604</v>
      </c>
      <c r="J37" t="s">
        <v>1602</v>
      </c>
      <c r="K37" t="s">
        <v>148</v>
      </c>
      <c r="L37" t="s">
        <v>148</v>
      </c>
      <c r="M37" t="s">
        <v>148</v>
      </c>
      <c r="N37" t="s">
        <v>148</v>
      </c>
      <c r="O37" t="s">
        <v>148</v>
      </c>
      <c r="P37" t="s">
        <v>1622</v>
      </c>
      <c r="Q37" t="s">
        <v>148</v>
      </c>
      <c r="R37" t="s">
        <v>148</v>
      </c>
      <c r="S37" t="s">
        <v>148</v>
      </c>
      <c r="T37" t="s">
        <v>148</v>
      </c>
      <c r="U37" t="s">
        <v>148</v>
      </c>
      <c r="V37" t="s">
        <v>148</v>
      </c>
      <c r="W37" t="s">
        <v>148</v>
      </c>
      <c r="X37" t="s">
        <v>148</v>
      </c>
      <c r="Y37" t="s">
        <v>148</v>
      </c>
      <c r="Z37" t="s">
        <v>148</v>
      </c>
      <c r="AA37" t="s">
        <v>1839</v>
      </c>
      <c r="AB37" t="s">
        <v>1609</v>
      </c>
      <c r="AC37" t="s">
        <v>148</v>
      </c>
      <c r="AD37" t="s">
        <v>148</v>
      </c>
      <c r="AE37" t="s">
        <v>148</v>
      </c>
      <c r="AF37" t="s">
        <v>1840</v>
      </c>
      <c r="AG37" t="s">
        <v>1841</v>
      </c>
      <c r="AH37" t="s">
        <v>148</v>
      </c>
      <c r="AI37" t="s">
        <v>1842</v>
      </c>
      <c r="AJ37" t="s">
        <v>148</v>
      </c>
    </row>
    <row r="38" spans="1:36" x14ac:dyDescent="0.2">
      <c r="A38" t="s">
        <v>198</v>
      </c>
      <c r="B38" t="s">
        <v>199</v>
      </c>
      <c r="C38" t="s">
        <v>25</v>
      </c>
      <c r="D38" t="s">
        <v>201</v>
      </c>
      <c r="E38" t="str">
        <f>HYPERLINK("/pdf/2023_10.1109_tcad.2022.3174171_IP-Tag__Tag-Based_Runtime_3PIP_Hardware_Trojan_Detection_in_SoC_Platforms.pdf","open")</f>
        <v>open</v>
      </c>
      <c r="F38" t="s">
        <v>1602</v>
      </c>
      <c r="G38" t="s">
        <v>1602</v>
      </c>
      <c r="H38" t="s">
        <v>1843</v>
      </c>
      <c r="I38" t="s">
        <v>1844</v>
      </c>
      <c r="J38" t="s">
        <v>1602</v>
      </c>
      <c r="K38" t="s">
        <v>1653</v>
      </c>
      <c r="L38" t="s">
        <v>148</v>
      </c>
      <c r="M38" t="s">
        <v>148</v>
      </c>
      <c r="N38" t="s">
        <v>148</v>
      </c>
      <c r="O38" t="s">
        <v>148</v>
      </c>
      <c r="P38" t="s">
        <v>148</v>
      </c>
      <c r="Q38" t="s">
        <v>148</v>
      </c>
      <c r="R38" t="s">
        <v>148</v>
      </c>
      <c r="S38" t="s">
        <v>148</v>
      </c>
      <c r="T38" t="s">
        <v>148</v>
      </c>
      <c r="U38" t="s">
        <v>148</v>
      </c>
      <c r="V38" t="s">
        <v>148</v>
      </c>
      <c r="W38" t="s">
        <v>148</v>
      </c>
      <c r="X38" t="s">
        <v>148</v>
      </c>
      <c r="Y38" t="s">
        <v>148</v>
      </c>
      <c r="Z38" t="s">
        <v>148</v>
      </c>
      <c r="AA38" t="s">
        <v>1845</v>
      </c>
      <c r="AB38" t="s">
        <v>148</v>
      </c>
      <c r="AC38" t="s">
        <v>148</v>
      </c>
      <c r="AD38" t="s">
        <v>148</v>
      </c>
      <c r="AE38" t="s">
        <v>148</v>
      </c>
      <c r="AF38" t="s">
        <v>1846</v>
      </c>
      <c r="AG38" t="s">
        <v>1847</v>
      </c>
      <c r="AH38" t="s">
        <v>1848</v>
      </c>
      <c r="AI38" t="s">
        <v>1849</v>
      </c>
      <c r="AJ38" t="s">
        <v>148</v>
      </c>
    </row>
    <row r="39" spans="1:36" x14ac:dyDescent="0.2">
      <c r="A39" t="s">
        <v>203</v>
      </c>
      <c r="B39" t="s">
        <v>204</v>
      </c>
      <c r="C39" t="s">
        <v>19</v>
      </c>
      <c r="D39" t="s">
        <v>206</v>
      </c>
      <c r="E39" t="str">
        <f>HYPERLINK("/pdf/2025_10.1109_roma66616.2025.11155405_A_Survey_on_AI-Enabled_Anomaly_Detection_with_Privacy_Preservation_in_Wireless_Sensor_Healthcare_IoT_Environme.pdf","open")</f>
        <v>open</v>
      </c>
      <c r="F39" t="s">
        <v>1618</v>
      </c>
      <c r="G39" t="s">
        <v>1602</v>
      </c>
      <c r="H39" t="s">
        <v>1850</v>
      </c>
      <c r="I39" t="s">
        <v>1609</v>
      </c>
      <c r="J39" t="s">
        <v>1602</v>
      </c>
      <c r="K39" t="s">
        <v>148</v>
      </c>
      <c r="L39" t="s">
        <v>148</v>
      </c>
      <c r="M39" t="s">
        <v>1851</v>
      </c>
      <c r="N39" t="s">
        <v>148</v>
      </c>
      <c r="O39" t="s">
        <v>1609</v>
      </c>
      <c r="P39" t="s">
        <v>148</v>
      </c>
      <c r="Q39" t="s">
        <v>148</v>
      </c>
      <c r="R39" t="s">
        <v>148</v>
      </c>
      <c r="S39" t="s">
        <v>148</v>
      </c>
      <c r="T39" t="s">
        <v>148</v>
      </c>
      <c r="U39" t="s">
        <v>148</v>
      </c>
      <c r="V39" t="s">
        <v>148</v>
      </c>
      <c r="W39" t="s">
        <v>148</v>
      </c>
      <c r="X39" t="s">
        <v>148</v>
      </c>
      <c r="Y39" t="s">
        <v>148</v>
      </c>
      <c r="Z39" t="s">
        <v>148</v>
      </c>
      <c r="AA39" t="s">
        <v>1852</v>
      </c>
      <c r="AB39" t="s">
        <v>1604</v>
      </c>
      <c r="AC39" t="s">
        <v>148</v>
      </c>
      <c r="AD39" t="s">
        <v>148</v>
      </c>
      <c r="AE39" t="s">
        <v>148</v>
      </c>
      <c r="AF39" t="s">
        <v>1853</v>
      </c>
      <c r="AG39" t="s">
        <v>1614</v>
      </c>
      <c r="AH39" t="s">
        <v>1854</v>
      </c>
      <c r="AI39" t="s">
        <v>148</v>
      </c>
      <c r="AJ39" t="s">
        <v>148</v>
      </c>
    </row>
    <row r="40" spans="1:36" x14ac:dyDescent="0.2">
      <c r="A40" t="s">
        <v>208</v>
      </c>
      <c r="B40" t="s">
        <v>209</v>
      </c>
      <c r="C40" t="s">
        <v>210</v>
      </c>
      <c r="D40" t="s">
        <v>148</v>
      </c>
      <c r="E40" t="str">
        <f>HYPERLINK("/pdf/2015_Device_management_technology_for_preventing_data_leakage.pdf","open")</f>
        <v>open</v>
      </c>
      <c r="F40" t="s">
        <v>1602</v>
      </c>
      <c r="G40" t="s">
        <v>1691</v>
      </c>
      <c r="H40" t="s">
        <v>1855</v>
      </c>
      <c r="I40" t="s">
        <v>1609</v>
      </c>
      <c r="J40" t="s">
        <v>148</v>
      </c>
      <c r="K40" t="s">
        <v>148</v>
      </c>
      <c r="L40" t="s">
        <v>148</v>
      </c>
      <c r="M40" t="s">
        <v>148</v>
      </c>
      <c r="N40" t="s">
        <v>148</v>
      </c>
      <c r="O40" t="s">
        <v>148</v>
      </c>
      <c r="P40" t="s">
        <v>148</v>
      </c>
      <c r="Q40" t="s">
        <v>148</v>
      </c>
      <c r="R40" t="s">
        <v>148</v>
      </c>
      <c r="S40" t="s">
        <v>148</v>
      </c>
      <c r="T40" t="s">
        <v>148</v>
      </c>
      <c r="U40" t="s">
        <v>148</v>
      </c>
      <c r="V40" t="s">
        <v>148</v>
      </c>
      <c r="W40" t="s">
        <v>148</v>
      </c>
      <c r="X40" t="s">
        <v>148</v>
      </c>
      <c r="Y40" t="s">
        <v>148</v>
      </c>
      <c r="Z40" t="s">
        <v>148</v>
      </c>
      <c r="AA40" t="s">
        <v>148</v>
      </c>
      <c r="AB40" t="s">
        <v>1609</v>
      </c>
      <c r="AC40" t="s">
        <v>148</v>
      </c>
      <c r="AD40" t="s">
        <v>1609</v>
      </c>
      <c r="AE40" t="s">
        <v>148</v>
      </c>
      <c r="AF40" t="s">
        <v>148</v>
      </c>
      <c r="AG40" t="s">
        <v>148</v>
      </c>
      <c r="AH40" t="s">
        <v>148</v>
      </c>
      <c r="AI40" t="s">
        <v>148</v>
      </c>
      <c r="AJ40" t="s">
        <v>148</v>
      </c>
    </row>
    <row r="41" spans="1:36" x14ac:dyDescent="0.2">
      <c r="A41" t="s">
        <v>213</v>
      </c>
      <c r="B41" t="s">
        <v>214</v>
      </c>
      <c r="C41" t="s">
        <v>215</v>
      </c>
      <c r="D41" t="s">
        <v>217</v>
      </c>
      <c r="E41" t="str">
        <f>HYPERLINK("/pdf/2015_10.1109_mass.2014.131_Android_smartphone_third_party_advertising_library_data_leak_analysis.pdf","open")</f>
        <v>open</v>
      </c>
      <c r="F41" t="s">
        <v>1602</v>
      </c>
      <c r="G41" t="s">
        <v>1602</v>
      </c>
      <c r="H41" t="s">
        <v>1856</v>
      </c>
      <c r="I41" t="s">
        <v>1609</v>
      </c>
      <c r="J41" t="s">
        <v>1857</v>
      </c>
      <c r="K41" t="s">
        <v>148</v>
      </c>
      <c r="L41" t="s">
        <v>148</v>
      </c>
      <c r="M41" t="s">
        <v>148</v>
      </c>
      <c r="N41" t="s">
        <v>148</v>
      </c>
      <c r="O41" t="s">
        <v>1604</v>
      </c>
      <c r="P41" t="s">
        <v>1762</v>
      </c>
      <c r="Q41" t="s">
        <v>1602</v>
      </c>
      <c r="R41" t="s">
        <v>1857</v>
      </c>
      <c r="S41" t="s">
        <v>1602</v>
      </c>
      <c r="T41" t="s">
        <v>148</v>
      </c>
      <c r="U41" t="s">
        <v>148</v>
      </c>
      <c r="V41" t="s">
        <v>148</v>
      </c>
      <c r="W41" t="s">
        <v>148</v>
      </c>
      <c r="X41" t="s">
        <v>1858</v>
      </c>
      <c r="Y41" t="s">
        <v>148</v>
      </c>
      <c r="Z41" t="s">
        <v>148</v>
      </c>
      <c r="AA41" t="s">
        <v>1859</v>
      </c>
      <c r="AB41" t="s">
        <v>1609</v>
      </c>
      <c r="AC41" t="s">
        <v>148</v>
      </c>
      <c r="AD41" t="s">
        <v>148</v>
      </c>
      <c r="AE41" t="s">
        <v>148</v>
      </c>
      <c r="AF41" t="s">
        <v>1860</v>
      </c>
      <c r="AG41" t="s">
        <v>1861</v>
      </c>
      <c r="AH41" t="s">
        <v>148</v>
      </c>
      <c r="AI41" t="s">
        <v>44</v>
      </c>
      <c r="AJ41" t="s">
        <v>1862</v>
      </c>
    </row>
    <row r="42" spans="1:36" x14ac:dyDescent="0.2">
      <c r="A42" t="s">
        <v>219</v>
      </c>
      <c r="B42" t="s">
        <v>220</v>
      </c>
      <c r="C42" t="s">
        <v>19</v>
      </c>
      <c r="D42" t="s">
        <v>222</v>
      </c>
      <c r="E42" t="str">
        <f>HYPERLINK("/pdf/2025_10.1109_iacis65746.2025.11211489_A_Secure_Blockchain_Framework_Using_Stacked_SVM-RF_with_Advanced_Encryption_Standard_Galois_Counter_Mode.pdf","open")</f>
        <v>open</v>
      </c>
      <c r="F42" t="s">
        <v>1606</v>
      </c>
      <c r="G42" t="s">
        <v>1607</v>
      </c>
      <c r="H42" t="s">
        <v>1863</v>
      </c>
      <c r="I42" t="s">
        <v>1609</v>
      </c>
      <c r="J42" t="s">
        <v>148</v>
      </c>
      <c r="K42" t="s">
        <v>148</v>
      </c>
      <c r="L42" t="s">
        <v>148</v>
      </c>
      <c r="M42" t="s">
        <v>1864</v>
      </c>
      <c r="N42" t="s">
        <v>1611</v>
      </c>
      <c r="O42" t="s">
        <v>148</v>
      </c>
      <c r="P42" t="s">
        <v>148</v>
      </c>
      <c r="Q42" t="s">
        <v>148</v>
      </c>
      <c r="R42" t="s">
        <v>148</v>
      </c>
      <c r="S42" t="s">
        <v>1655</v>
      </c>
      <c r="T42" t="s">
        <v>1865</v>
      </c>
      <c r="U42" t="s">
        <v>1609</v>
      </c>
      <c r="V42" t="s">
        <v>1609</v>
      </c>
      <c r="W42" t="s">
        <v>148</v>
      </c>
      <c r="X42" t="s">
        <v>148</v>
      </c>
      <c r="Y42" t="s">
        <v>148</v>
      </c>
      <c r="Z42" t="s">
        <v>148</v>
      </c>
      <c r="AA42" t="s">
        <v>1866</v>
      </c>
      <c r="AB42" t="s">
        <v>1604</v>
      </c>
      <c r="AC42" t="s">
        <v>148</v>
      </c>
      <c r="AD42" t="s">
        <v>148</v>
      </c>
      <c r="AE42" t="s">
        <v>148</v>
      </c>
      <c r="AF42" t="s">
        <v>1867</v>
      </c>
      <c r="AG42" t="s">
        <v>1614</v>
      </c>
      <c r="AH42" t="s">
        <v>1868</v>
      </c>
      <c r="AI42" t="s">
        <v>44</v>
      </c>
      <c r="AJ42" t="s">
        <v>148</v>
      </c>
    </row>
    <row r="43" spans="1:36" x14ac:dyDescent="0.2">
      <c r="A43" t="s">
        <v>224</v>
      </c>
      <c r="B43" t="s">
        <v>225</v>
      </c>
      <c r="C43" t="s">
        <v>100</v>
      </c>
      <c r="D43" t="s">
        <v>227</v>
      </c>
      <c r="E43" t="str">
        <f>HYPERLINK("/pdf/2022_10.1109_incoft55651.2022.10094509_Data_Leakage_Prevention_System_for_Internal_Security.pdf","open")</f>
        <v>open</v>
      </c>
      <c r="F43" t="s">
        <v>1602</v>
      </c>
      <c r="G43" t="s">
        <v>1602</v>
      </c>
      <c r="H43" t="s">
        <v>1869</v>
      </c>
      <c r="I43" t="s">
        <v>1609</v>
      </c>
      <c r="J43" t="s">
        <v>148</v>
      </c>
      <c r="K43" t="s">
        <v>148</v>
      </c>
      <c r="L43" t="s">
        <v>148</v>
      </c>
      <c r="M43" t="s">
        <v>148</v>
      </c>
      <c r="N43" t="s">
        <v>148</v>
      </c>
      <c r="O43" t="s">
        <v>148</v>
      </c>
      <c r="P43" t="s">
        <v>148</v>
      </c>
      <c r="Q43" t="s">
        <v>148</v>
      </c>
      <c r="R43" t="s">
        <v>148</v>
      </c>
      <c r="S43" t="s">
        <v>148</v>
      </c>
      <c r="T43" t="s">
        <v>148</v>
      </c>
      <c r="U43" t="s">
        <v>148</v>
      </c>
      <c r="V43" t="s">
        <v>148</v>
      </c>
      <c r="W43" t="s">
        <v>148</v>
      </c>
      <c r="X43" t="s">
        <v>148</v>
      </c>
      <c r="Y43" t="s">
        <v>148</v>
      </c>
      <c r="Z43" t="s">
        <v>148</v>
      </c>
      <c r="AA43" t="s">
        <v>148</v>
      </c>
      <c r="AB43" t="s">
        <v>148</v>
      </c>
      <c r="AC43" t="s">
        <v>148</v>
      </c>
      <c r="AD43" t="s">
        <v>148</v>
      </c>
      <c r="AE43" t="s">
        <v>148</v>
      </c>
      <c r="AF43" t="s">
        <v>148</v>
      </c>
      <c r="AG43" t="s">
        <v>148</v>
      </c>
      <c r="AH43" t="s">
        <v>148</v>
      </c>
      <c r="AI43" t="s">
        <v>148</v>
      </c>
      <c r="AJ43" t="s">
        <v>148</v>
      </c>
    </row>
    <row r="44" spans="1:36" x14ac:dyDescent="0.2">
      <c r="A44" t="s">
        <v>229</v>
      </c>
      <c r="B44" t="s">
        <v>230</v>
      </c>
      <c r="C44" t="s">
        <v>19</v>
      </c>
      <c r="D44" t="s">
        <v>232</v>
      </c>
      <c r="E44" t="str">
        <f>HYPERLINK("/pdf/2025_10.1109_tsusc.2024.3409329_Safeguarding_Patient_Data-Sharing__Blockchain-Enabled_Federated_Learning_in_Medical_Diagnostics.pdf","open")</f>
        <v>open</v>
      </c>
      <c r="F44" t="s">
        <v>1606</v>
      </c>
      <c r="G44" t="s">
        <v>1602</v>
      </c>
      <c r="H44" t="s">
        <v>1870</v>
      </c>
      <c r="I44" t="s">
        <v>148</v>
      </c>
      <c r="J44" t="s">
        <v>148</v>
      </c>
      <c r="K44" t="s">
        <v>148</v>
      </c>
      <c r="L44" t="s">
        <v>148</v>
      </c>
      <c r="M44" t="s">
        <v>1871</v>
      </c>
      <c r="N44" t="s">
        <v>148</v>
      </c>
      <c r="O44" t="s">
        <v>148</v>
      </c>
      <c r="P44" t="s">
        <v>148</v>
      </c>
      <c r="Q44" t="s">
        <v>148</v>
      </c>
      <c r="R44" t="s">
        <v>148</v>
      </c>
      <c r="S44" t="s">
        <v>1655</v>
      </c>
      <c r="T44" t="s">
        <v>1872</v>
      </c>
      <c r="U44" t="s">
        <v>148</v>
      </c>
      <c r="V44" t="s">
        <v>148</v>
      </c>
      <c r="W44" t="s">
        <v>148</v>
      </c>
      <c r="X44" t="s">
        <v>148</v>
      </c>
      <c r="Y44" t="s">
        <v>148</v>
      </c>
      <c r="Z44" t="s">
        <v>148</v>
      </c>
      <c r="AA44" t="s">
        <v>1873</v>
      </c>
      <c r="AB44" t="s">
        <v>1604</v>
      </c>
      <c r="AC44" t="s">
        <v>1874</v>
      </c>
      <c r="AD44" t="s">
        <v>148</v>
      </c>
      <c r="AE44" t="s">
        <v>148</v>
      </c>
      <c r="AF44" t="s">
        <v>1875</v>
      </c>
      <c r="AG44" t="s">
        <v>1614</v>
      </c>
      <c r="AH44" t="s">
        <v>1876</v>
      </c>
      <c r="AI44" t="s">
        <v>957</v>
      </c>
      <c r="AJ44" t="s">
        <v>148</v>
      </c>
    </row>
    <row r="45" spans="1:36" x14ac:dyDescent="0.2">
      <c r="A45" t="s">
        <v>234</v>
      </c>
      <c r="B45" t="s">
        <v>235</v>
      </c>
      <c r="C45" t="s">
        <v>36</v>
      </c>
      <c r="D45" t="s">
        <v>237</v>
      </c>
      <c r="E45" t="str">
        <f>HYPERLINK("/pdf/2021_10.1016_j.heliyon.2021.e06016_Measuring_the_level_of_cyber-security_awareness_for_cybercrime_in_Saudi_Arabia.pdf","open")</f>
        <v>open</v>
      </c>
      <c r="F45" t="s">
        <v>1602</v>
      </c>
      <c r="G45" t="s">
        <v>1602</v>
      </c>
      <c r="H45" t="s">
        <v>1877</v>
      </c>
      <c r="I45" t="s">
        <v>1609</v>
      </c>
      <c r="J45" t="s">
        <v>148</v>
      </c>
      <c r="K45" t="s">
        <v>148</v>
      </c>
      <c r="L45" t="s">
        <v>148</v>
      </c>
      <c r="M45" t="s">
        <v>148</v>
      </c>
      <c r="N45" t="s">
        <v>148</v>
      </c>
      <c r="O45" t="s">
        <v>148</v>
      </c>
      <c r="P45" t="s">
        <v>148</v>
      </c>
      <c r="Q45" t="s">
        <v>148</v>
      </c>
      <c r="R45" t="s">
        <v>148</v>
      </c>
      <c r="S45" t="s">
        <v>148</v>
      </c>
      <c r="T45" t="s">
        <v>148</v>
      </c>
      <c r="U45" t="s">
        <v>148</v>
      </c>
      <c r="V45" t="s">
        <v>148</v>
      </c>
      <c r="W45" t="s">
        <v>148</v>
      </c>
      <c r="X45" t="s">
        <v>1602</v>
      </c>
      <c r="Y45" t="s">
        <v>148</v>
      </c>
      <c r="Z45" t="s">
        <v>148</v>
      </c>
      <c r="AA45" t="s">
        <v>1878</v>
      </c>
      <c r="AB45" t="s">
        <v>1604</v>
      </c>
      <c r="AC45" t="s">
        <v>1879</v>
      </c>
      <c r="AD45" t="s">
        <v>148</v>
      </c>
      <c r="AE45" t="s">
        <v>148</v>
      </c>
      <c r="AF45" t="s">
        <v>1880</v>
      </c>
      <c r="AG45" t="s">
        <v>1881</v>
      </c>
      <c r="AH45" t="s">
        <v>148</v>
      </c>
      <c r="AI45" t="s">
        <v>1882</v>
      </c>
      <c r="AJ45" t="s">
        <v>1883</v>
      </c>
    </row>
    <row r="46" spans="1:36" x14ac:dyDescent="0.2">
      <c r="A46" t="s">
        <v>239</v>
      </c>
      <c r="B46" t="s">
        <v>240</v>
      </c>
      <c r="C46" t="s">
        <v>60</v>
      </c>
      <c r="D46" t="s">
        <v>242</v>
      </c>
      <c r="E46" t="str">
        <f>HYPERLINK("/pdf/2024_10.1109_iccr61006.2024.10532886_Feed-forward_ANN_with_Random_Forest_Technique_for_Identifying_Malicious_Internet_of_Things_Network_Intrusion.pdf","open")</f>
        <v>open</v>
      </c>
      <c r="F46" t="s">
        <v>1607</v>
      </c>
      <c r="G46" t="s">
        <v>1607</v>
      </c>
      <c r="H46" t="s">
        <v>1884</v>
      </c>
      <c r="I46" t="s">
        <v>1609</v>
      </c>
      <c r="J46" t="s">
        <v>148</v>
      </c>
      <c r="K46" t="s">
        <v>148</v>
      </c>
      <c r="L46" t="s">
        <v>148</v>
      </c>
      <c r="M46" t="s">
        <v>1636</v>
      </c>
      <c r="N46" t="s">
        <v>1611</v>
      </c>
      <c r="O46" t="s">
        <v>1604</v>
      </c>
      <c r="P46" t="s">
        <v>1885</v>
      </c>
      <c r="Q46" t="s">
        <v>1886</v>
      </c>
      <c r="R46" t="s">
        <v>1887</v>
      </c>
      <c r="S46" t="s">
        <v>1655</v>
      </c>
      <c r="T46" t="s">
        <v>1888</v>
      </c>
      <c r="U46" t="s">
        <v>1609</v>
      </c>
      <c r="V46" t="s">
        <v>1609</v>
      </c>
      <c r="W46" t="s">
        <v>1604</v>
      </c>
      <c r="X46" t="s">
        <v>148</v>
      </c>
      <c r="Y46" t="s">
        <v>148</v>
      </c>
      <c r="Z46" t="s">
        <v>148</v>
      </c>
      <c r="AA46" t="s">
        <v>1889</v>
      </c>
      <c r="AB46" t="s">
        <v>1604</v>
      </c>
      <c r="AC46" t="s">
        <v>148</v>
      </c>
      <c r="AD46" t="s">
        <v>1609</v>
      </c>
      <c r="AE46" t="s">
        <v>148</v>
      </c>
      <c r="AF46" t="s">
        <v>1890</v>
      </c>
      <c r="AG46" t="s">
        <v>1614</v>
      </c>
      <c r="AH46" t="s">
        <v>1891</v>
      </c>
      <c r="AI46" t="s">
        <v>44</v>
      </c>
      <c r="AJ46" t="s">
        <v>1892</v>
      </c>
    </row>
    <row r="47" spans="1:36" x14ac:dyDescent="0.2">
      <c r="A47" t="s">
        <v>244</v>
      </c>
      <c r="B47" t="s">
        <v>245</v>
      </c>
      <c r="C47" t="s">
        <v>100</v>
      </c>
      <c r="D47" t="s">
        <v>247</v>
      </c>
      <c r="E47" t="str">
        <f>HYPERLINK("/pdf/2022_10.1049_cmu2.12401_Trust_management_and_data_protection_for_online_social_networks.pdf","open")</f>
        <v>open</v>
      </c>
      <c r="F47" t="s">
        <v>1618</v>
      </c>
      <c r="G47" t="s">
        <v>1602</v>
      </c>
      <c r="H47" t="s">
        <v>1893</v>
      </c>
      <c r="I47" t="s">
        <v>1894</v>
      </c>
      <c r="J47" t="s">
        <v>1602</v>
      </c>
      <c r="K47" t="s">
        <v>1653</v>
      </c>
      <c r="L47" t="s">
        <v>1895</v>
      </c>
      <c r="M47" t="s">
        <v>148</v>
      </c>
      <c r="N47" t="s">
        <v>148</v>
      </c>
      <c r="O47" t="s">
        <v>148</v>
      </c>
      <c r="P47" t="s">
        <v>148</v>
      </c>
      <c r="Q47" t="s">
        <v>148</v>
      </c>
      <c r="R47" t="s">
        <v>148</v>
      </c>
      <c r="S47" t="s">
        <v>148</v>
      </c>
      <c r="T47" t="s">
        <v>148</v>
      </c>
      <c r="U47" t="s">
        <v>148</v>
      </c>
      <c r="V47" t="s">
        <v>148</v>
      </c>
      <c r="W47" t="s">
        <v>148</v>
      </c>
      <c r="X47" t="s">
        <v>148</v>
      </c>
      <c r="Y47" t="s">
        <v>148</v>
      </c>
      <c r="Z47" t="s">
        <v>148</v>
      </c>
      <c r="AA47" t="s">
        <v>1896</v>
      </c>
      <c r="AB47" t="s">
        <v>1895</v>
      </c>
      <c r="AC47" t="s">
        <v>1897</v>
      </c>
      <c r="AD47" t="s">
        <v>148</v>
      </c>
      <c r="AE47" t="s">
        <v>148</v>
      </c>
      <c r="AF47" t="s">
        <v>1898</v>
      </c>
      <c r="AG47" t="s">
        <v>1899</v>
      </c>
      <c r="AH47" t="s">
        <v>1900</v>
      </c>
      <c r="AI47" t="s">
        <v>44</v>
      </c>
      <c r="AJ47" t="s">
        <v>1901</v>
      </c>
    </row>
    <row r="48" spans="1:36" x14ac:dyDescent="0.2">
      <c r="A48" t="s">
        <v>249</v>
      </c>
      <c r="B48" t="s">
        <v>250</v>
      </c>
      <c r="C48" t="s">
        <v>190</v>
      </c>
      <c r="D48" t="s">
        <v>252</v>
      </c>
      <c r="E48" t="str">
        <f>HYPERLINK("/pdf/2017_10.1109_dasc-picom-datacom-cyberscitec.2017.112_Combating_data_leakage_trojans_in_sequential_circuits_through_randomized_encoding.pdf","open")</f>
        <v>open</v>
      </c>
      <c r="F48" t="s">
        <v>1602</v>
      </c>
      <c r="G48" t="s">
        <v>1602</v>
      </c>
      <c r="H48" t="s">
        <v>1902</v>
      </c>
      <c r="I48" t="s">
        <v>148</v>
      </c>
      <c r="J48" t="s">
        <v>148</v>
      </c>
      <c r="K48" t="s">
        <v>148</v>
      </c>
      <c r="L48" t="s">
        <v>148</v>
      </c>
      <c r="M48" t="s">
        <v>148</v>
      </c>
      <c r="N48" t="s">
        <v>148</v>
      </c>
      <c r="O48" t="s">
        <v>148</v>
      </c>
      <c r="P48" t="s">
        <v>148</v>
      </c>
      <c r="Q48" t="s">
        <v>148</v>
      </c>
      <c r="R48" t="s">
        <v>148</v>
      </c>
      <c r="S48" t="s">
        <v>148</v>
      </c>
      <c r="T48" t="s">
        <v>148</v>
      </c>
      <c r="U48" t="s">
        <v>148</v>
      </c>
      <c r="V48" t="s">
        <v>148</v>
      </c>
      <c r="W48" t="s">
        <v>148</v>
      </c>
      <c r="X48" t="s">
        <v>148</v>
      </c>
      <c r="Y48" t="s">
        <v>148</v>
      </c>
      <c r="Z48" t="s">
        <v>148</v>
      </c>
      <c r="AA48" t="s">
        <v>1903</v>
      </c>
      <c r="AB48" t="s">
        <v>148</v>
      </c>
      <c r="AC48" t="s">
        <v>148</v>
      </c>
      <c r="AD48" t="s">
        <v>148</v>
      </c>
      <c r="AE48" t="s">
        <v>148</v>
      </c>
      <c r="AF48" t="s">
        <v>1904</v>
      </c>
      <c r="AG48" t="s">
        <v>1905</v>
      </c>
      <c r="AH48" t="s">
        <v>1906</v>
      </c>
      <c r="AI48" t="s">
        <v>148</v>
      </c>
      <c r="AJ48" t="s">
        <v>148</v>
      </c>
    </row>
    <row r="49" spans="1:36" x14ac:dyDescent="0.2">
      <c r="A49" t="s">
        <v>254</v>
      </c>
      <c r="B49" t="s">
        <v>255</v>
      </c>
      <c r="C49" t="s">
        <v>36</v>
      </c>
      <c r="D49" t="s">
        <v>257</v>
      </c>
      <c r="E49" t="str">
        <f>HYPERLINK("/pdf/2021_10.1109_ddecs52668.2021.9417061_A_Benchmark_Suite_of_RT-level_Hardware_Trojans_for_Pipelined_Microprocessor_Cores.pdf","open")</f>
        <v>open</v>
      </c>
      <c r="F49" t="s">
        <v>1602</v>
      </c>
      <c r="G49" t="s">
        <v>1602</v>
      </c>
      <c r="H49" t="s">
        <v>1907</v>
      </c>
      <c r="I49" t="s">
        <v>148</v>
      </c>
      <c r="J49" t="s">
        <v>148</v>
      </c>
      <c r="K49" t="s">
        <v>148</v>
      </c>
      <c r="L49" t="s">
        <v>148</v>
      </c>
      <c r="M49" t="s">
        <v>148</v>
      </c>
      <c r="N49" t="s">
        <v>148</v>
      </c>
      <c r="O49" t="s">
        <v>148</v>
      </c>
      <c r="P49" t="s">
        <v>148</v>
      </c>
      <c r="Q49" t="s">
        <v>148</v>
      </c>
      <c r="R49" t="s">
        <v>148</v>
      </c>
      <c r="S49" t="s">
        <v>148</v>
      </c>
      <c r="T49" t="s">
        <v>148</v>
      </c>
      <c r="U49" t="s">
        <v>148</v>
      </c>
      <c r="V49" t="s">
        <v>148</v>
      </c>
      <c r="W49" t="s">
        <v>148</v>
      </c>
      <c r="X49" t="s">
        <v>148</v>
      </c>
      <c r="Y49" t="s">
        <v>148</v>
      </c>
      <c r="Z49" t="s">
        <v>148</v>
      </c>
      <c r="AA49" t="s">
        <v>1908</v>
      </c>
      <c r="AB49" t="s">
        <v>1604</v>
      </c>
      <c r="AC49" t="s">
        <v>1909</v>
      </c>
      <c r="AD49" t="s">
        <v>148</v>
      </c>
      <c r="AE49" t="s">
        <v>148</v>
      </c>
      <c r="AF49" t="s">
        <v>1910</v>
      </c>
      <c r="AG49" t="s">
        <v>148</v>
      </c>
      <c r="AH49" t="s">
        <v>148</v>
      </c>
      <c r="AI49" t="s">
        <v>15</v>
      </c>
      <c r="AJ49" t="s">
        <v>1911</v>
      </c>
    </row>
    <row r="50" spans="1:36" x14ac:dyDescent="0.2">
      <c r="A50" t="s">
        <v>259</v>
      </c>
      <c r="B50" t="s">
        <v>75</v>
      </c>
      <c r="C50" t="s">
        <v>25</v>
      </c>
      <c r="D50" t="s">
        <v>74</v>
      </c>
      <c r="E50" t="str">
        <f>HYPERLINK("/pdf/2024_10_1109_access_2024_3363640_how_can_credit_supervision_mechanism_improve_security_crowdsourcing_ecosystem_governance.pdf","open")</f>
        <v>open</v>
      </c>
      <c r="F50" t="s">
        <v>1602</v>
      </c>
      <c r="G50" t="s">
        <v>1602</v>
      </c>
      <c r="H50" t="s">
        <v>1912</v>
      </c>
      <c r="I50" t="s">
        <v>1609</v>
      </c>
      <c r="J50" t="s">
        <v>148</v>
      </c>
      <c r="K50" t="s">
        <v>148</v>
      </c>
      <c r="L50" t="s">
        <v>148</v>
      </c>
      <c r="M50" t="s">
        <v>148</v>
      </c>
      <c r="N50" t="s">
        <v>148</v>
      </c>
      <c r="O50" t="s">
        <v>148</v>
      </c>
      <c r="P50" t="s">
        <v>148</v>
      </c>
      <c r="Q50" t="s">
        <v>148</v>
      </c>
      <c r="R50" t="s">
        <v>148</v>
      </c>
      <c r="S50" t="s">
        <v>148</v>
      </c>
      <c r="T50" t="s">
        <v>148</v>
      </c>
      <c r="U50" t="s">
        <v>148</v>
      </c>
      <c r="V50" t="s">
        <v>148</v>
      </c>
      <c r="W50" t="s">
        <v>148</v>
      </c>
      <c r="X50" t="s">
        <v>148</v>
      </c>
      <c r="Y50" t="s">
        <v>148</v>
      </c>
      <c r="Z50" t="s">
        <v>148</v>
      </c>
      <c r="AA50" t="s">
        <v>1913</v>
      </c>
      <c r="AB50" t="s">
        <v>1609</v>
      </c>
      <c r="AC50" t="s">
        <v>148</v>
      </c>
      <c r="AD50" t="s">
        <v>148</v>
      </c>
      <c r="AE50" t="s">
        <v>148</v>
      </c>
      <c r="AF50" t="s">
        <v>1914</v>
      </c>
      <c r="AG50" t="s">
        <v>1681</v>
      </c>
      <c r="AH50" t="s">
        <v>148</v>
      </c>
      <c r="AI50" t="s">
        <v>590</v>
      </c>
      <c r="AJ50" t="s">
        <v>148</v>
      </c>
    </row>
    <row r="51" spans="1:36" x14ac:dyDescent="0.2">
      <c r="A51" t="s">
        <v>261</v>
      </c>
      <c r="B51" t="s">
        <v>262</v>
      </c>
      <c r="C51" t="s">
        <v>36</v>
      </c>
      <c r="D51" t="s">
        <v>264</v>
      </c>
      <c r="E51" t="str">
        <f>HYPERLINK("/pdf/2021_10.1109_bigdatasecurityhpscids52275.2021.00038_Toward_Pinpointing_Data_Leakage_from_Advanced_Persistent_Threats.pdf","open")</f>
        <v>open</v>
      </c>
      <c r="F51" t="s">
        <v>1602</v>
      </c>
      <c r="G51" t="s">
        <v>1691</v>
      </c>
      <c r="H51" t="s">
        <v>1915</v>
      </c>
      <c r="I51" t="s">
        <v>148</v>
      </c>
      <c r="J51" t="s">
        <v>148</v>
      </c>
      <c r="K51" t="s">
        <v>148</v>
      </c>
      <c r="L51" t="s">
        <v>148</v>
      </c>
      <c r="M51" t="s">
        <v>148</v>
      </c>
      <c r="N51" t="s">
        <v>148</v>
      </c>
      <c r="O51" t="s">
        <v>148</v>
      </c>
      <c r="P51" t="s">
        <v>148</v>
      </c>
      <c r="Q51" t="s">
        <v>148</v>
      </c>
      <c r="R51" t="s">
        <v>148</v>
      </c>
      <c r="S51" t="s">
        <v>1624</v>
      </c>
      <c r="T51" t="s">
        <v>1625</v>
      </c>
      <c r="U51" t="s">
        <v>1604</v>
      </c>
      <c r="V51" t="s">
        <v>148</v>
      </c>
      <c r="W51" t="s">
        <v>1604</v>
      </c>
      <c r="X51" t="s">
        <v>1916</v>
      </c>
      <c r="Y51" t="s">
        <v>148</v>
      </c>
      <c r="Z51" t="s">
        <v>148</v>
      </c>
      <c r="AA51" t="s">
        <v>1917</v>
      </c>
      <c r="AB51" t="s">
        <v>1604</v>
      </c>
      <c r="AC51" t="s">
        <v>148</v>
      </c>
      <c r="AD51" t="s">
        <v>1604</v>
      </c>
      <c r="AE51" t="s">
        <v>1918</v>
      </c>
      <c r="AF51" t="s">
        <v>1919</v>
      </c>
      <c r="AG51" t="s">
        <v>1920</v>
      </c>
      <c r="AH51" t="s">
        <v>1921</v>
      </c>
      <c r="AI51" t="s">
        <v>1922</v>
      </c>
      <c r="AJ51" t="s">
        <v>1923</v>
      </c>
    </row>
    <row r="52" spans="1:36" x14ac:dyDescent="0.2">
      <c r="A52" t="s">
        <v>266</v>
      </c>
      <c r="B52" t="s">
        <v>267</v>
      </c>
      <c r="C52" t="s">
        <v>268</v>
      </c>
      <c r="D52" t="s">
        <v>148</v>
      </c>
      <c r="E52" t="str">
        <f>HYPERLINK("/pdf/2010_10.1109_cnsm.2010.5691292_User_identification_in_encrypted_network_communications.pdf","open")</f>
        <v>open</v>
      </c>
      <c r="F52" t="s">
        <v>1606</v>
      </c>
      <c r="G52" t="s">
        <v>1607</v>
      </c>
      <c r="H52" t="s">
        <v>1924</v>
      </c>
      <c r="I52" t="s">
        <v>1609</v>
      </c>
      <c r="J52" t="s">
        <v>148</v>
      </c>
      <c r="K52" t="s">
        <v>148</v>
      </c>
      <c r="L52" t="s">
        <v>148</v>
      </c>
      <c r="M52" t="s">
        <v>1925</v>
      </c>
      <c r="N52" t="s">
        <v>148</v>
      </c>
      <c r="O52" t="s">
        <v>148</v>
      </c>
      <c r="P52" t="s">
        <v>148</v>
      </c>
      <c r="Q52" t="s">
        <v>148</v>
      </c>
      <c r="R52" t="s">
        <v>148</v>
      </c>
      <c r="S52" t="s">
        <v>148</v>
      </c>
      <c r="T52" t="s">
        <v>148</v>
      </c>
      <c r="U52" t="s">
        <v>148</v>
      </c>
      <c r="V52" t="s">
        <v>148</v>
      </c>
      <c r="W52" t="s">
        <v>148</v>
      </c>
      <c r="X52" t="s">
        <v>148</v>
      </c>
      <c r="Y52" t="s">
        <v>148</v>
      </c>
      <c r="Z52" t="s">
        <v>148</v>
      </c>
      <c r="AA52" t="s">
        <v>1926</v>
      </c>
      <c r="AB52" t="s">
        <v>1609</v>
      </c>
      <c r="AC52" t="s">
        <v>148</v>
      </c>
      <c r="AD52" t="s">
        <v>1609</v>
      </c>
      <c r="AE52" t="s">
        <v>148</v>
      </c>
      <c r="AF52" t="s">
        <v>1927</v>
      </c>
      <c r="AG52" t="s">
        <v>1928</v>
      </c>
      <c r="AH52" t="s">
        <v>148</v>
      </c>
      <c r="AI52" t="s">
        <v>44</v>
      </c>
      <c r="AJ52" t="s">
        <v>1929</v>
      </c>
    </row>
    <row r="53" spans="1:36" x14ac:dyDescent="0.2">
      <c r="A53" t="s">
        <v>271</v>
      </c>
      <c r="B53" t="s">
        <v>272</v>
      </c>
      <c r="C53" t="s">
        <v>60</v>
      </c>
      <c r="D53" t="s">
        <v>274</v>
      </c>
      <c r="E53" t="str">
        <f>HYPERLINK("/pdf/2024_10_4108_eetsis_5028_determining_intrusion_attacks_against_online_applications_using_cloud_based_data_security.pdf","open")</f>
        <v>open</v>
      </c>
      <c r="F53" t="s">
        <v>1602</v>
      </c>
      <c r="G53" t="s">
        <v>1607</v>
      </c>
      <c r="H53" t="s">
        <v>1930</v>
      </c>
      <c r="I53" t="s">
        <v>148</v>
      </c>
      <c r="J53" t="s">
        <v>148</v>
      </c>
      <c r="K53" t="s">
        <v>148</v>
      </c>
      <c r="L53" t="s">
        <v>148</v>
      </c>
      <c r="M53" t="s">
        <v>148</v>
      </c>
      <c r="N53" t="s">
        <v>148</v>
      </c>
      <c r="O53" t="s">
        <v>148</v>
      </c>
      <c r="P53" t="s">
        <v>148</v>
      </c>
      <c r="Q53" t="s">
        <v>148</v>
      </c>
      <c r="R53" t="s">
        <v>148</v>
      </c>
      <c r="S53" t="s">
        <v>148</v>
      </c>
      <c r="T53" t="s">
        <v>148</v>
      </c>
      <c r="U53" t="s">
        <v>148</v>
      </c>
      <c r="V53" t="s">
        <v>148</v>
      </c>
      <c r="W53" t="s">
        <v>148</v>
      </c>
      <c r="X53" t="s">
        <v>148</v>
      </c>
      <c r="Y53" t="s">
        <v>148</v>
      </c>
      <c r="Z53" t="s">
        <v>148</v>
      </c>
      <c r="AA53" t="s">
        <v>148</v>
      </c>
      <c r="AB53" t="s">
        <v>148</v>
      </c>
      <c r="AC53" t="s">
        <v>148</v>
      </c>
      <c r="AD53" t="s">
        <v>148</v>
      </c>
      <c r="AE53" t="s">
        <v>148</v>
      </c>
      <c r="AF53" t="s">
        <v>148</v>
      </c>
      <c r="AG53" t="s">
        <v>148</v>
      </c>
      <c r="AH53" t="s">
        <v>148</v>
      </c>
      <c r="AI53" t="s">
        <v>148</v>
      </c>
      <c r="AJ53" t="s">
        <v>148</v>
      </c>
    </row>
    <row r="54" spans="1:36" x14ac:dyDescent="0.2">
      <c r="A54" t="s">
        <v>276</v>
      </c>
      <c r="B54" t="s">
        <v>277</v>
      </c>
      <c r="C54" t="s">
        <v>190</v>
      </c>
      <c r="D54" t="s">
        <v>279</v>
      </c>
      <c r="E54" t="str">
        <f>HYPERLINK("/pdf/2017_10_1109_netsoft_2017_8004195_automated_verification_of_security_chains_in_software_defined_networks_with_synaptic.pdf","open")</f>
        <v>open</v>
      </c>
      <c r="F54" t="s">
        <v>1602</v>
      </c>
      <c r="G54" t="s">
        <v>1602</v>
      </c>
      <c r="H54" t="s">
        <v>1931</v>
      </c>
      <c r="I54" t="s">
        <v>1604</v>
      </c>
      <c r="J54" t="s">
        <v>1602</v>
      </c>
      <c r="K54" t="s">
        <v>1664</v>
      </c>
      <c r="L54" t="s">
        <v>1609</v>
      </c>
      <c r="M54" t="s">
        <v>1602</v>
      </c>
      <c r="N54" t="s">
        <v>148</v>
      </c>
      <c r="O54" t="s">
        <v>148</v>
      </c>
      <c r="P54" t="s">
        <v>148</v>
      </c>
      <c r="Q54" t="s">
        <v>148</v>
      </c>
      <c r="R54" t="s">
        <v>148</v>
      </c>
      <c r="S54" t="s">
        <v>148</v>
      </c>
      <c r="T54" t="s">
        <v>148</v>
      </c>
      <c r="U54" t="s">
        <v>148</v>
      </c>
      <c r="V54" t="s">
        <v>148</v>
      </c>
      <c r="W54" t="s">
        <v>148</v>
      </c>
      <c r="X54" t="s">
        <v>148</v>
      </c>
      <c r="Y54" t="s">
        <v>148</v>
      </c>
      <c r="Z54" t="s">
        <v>148</v>
      </c>
      <c r="AA54" t="s">
        <v>1932</v>
      </c>
      <c r="AB54" t="s">
        <v>1609</v>
      </c>
      <c r="AC54" t="s">
        <v>148</v>
      </c>
      <c r="AD54" t="s">
        <v>148</v>
      </c>
      <c r="AE54" t="s">
        <v>148</v>
      </c>
      <c r="AF54" t="s">
        <v>1933</v>
      </c>
      <c r="AG54" t="s">
        <v>1934</v>
      </c>
      <c r="AH54" t="s">
        <v>1935</v>
      </c>
      <c r="AI54" t="s">
        <v>1936</v>
      </c>
      <c r="AJ54" t="s">
        <v>148</v>
      </c>
    </row>
    <row r="55" spans="1:36" x14ac:dyDescent="0.2">
      <c r="A55" t="s">
        <v>281</v>
      </c>
      <c r="B55" t="s">
        <v>282</v>
      </c>
      <c r="C55" t="s">
        <v>36</v>
      </c>
      <c r="D55" t="s">
        <v>284</v>
      </c>
      <c r="E55" t="str">
        <f>HYPERLINK("/pdf/2021_10.1109_vts50974.2021.9441032_Special_session__CAD_for_hardware_security_-_Automation_is_key_to_adoption_of_solutions.pdf","open")</f>
        <v>open</v>
      </c>
      <c r="F55" t="s">
        <v>1602</v>
      </c>
      <c r="G55" t="s">
        <v>1602</v>
      </c>
      <c r="H55" t="s">
        <v>1937</v>
      </c>
      <c r="I55" t="s">
        <v>1609</v>
      </c>
      <c r="J55" t="s">
        <v>148</v>
      </c>
      <c r="K55" t="s">
        <v>148</v>
      </c>
      <c r="L55" t="s">
        <v>148</v>
      </c>
      <c r="M55" t="s">
        <v>148</v>
      </c>
      <c r="N55" t="s">
        <v>148</v>
      </c>
      <c r="O55" t="s">
        <v>148</v>
      </c>
      <c r="P55" t="s">
        <v>148</v>
      </c>
      <c r="Q55" t="s">
        <v>148</v>
      </c>
      <c r="R55" t="s">
        <v>148</v>
      </c>
      <c r="S55" t="s">
        <v>148</v>
      </c>
      <c r="T55" t="s">
        <v>148</v>
      </c>
      <c r="U55" t="s">
        <v>148</v>
      </c>
      <c r="V55" t="s">
        <v>148</v>
      </c>
      <c r="W55" t="s">
        <v>148</v>
      </c>
      <c r="X55" t="s">
        <v>148</v>
      </c>
      <c r="Y55" t="s">
        <v>148</v>
      </c>
      <c r="Z55" t="s">
        <v>148</v>
      </c>
      <c r="AA55" t="s">
        <v>1938</v>
      </c>
      <c r="AB55" t="s">
        <v>148</v>
      </c>
      <c r="AC55" t="s">
        <v>148</v>
      </c>
      <c r="AD55" t="s">
        <v>148</v>
      </c>
      <c r="AE55" t="s">
        <v>148</v>
      </c>
      <c r="AF55" t="s">
        <v>1939</v>
      </c>
      <c r="AG55" t="s">
        <v>1940</v>
      </c>
      <c r="AH55" t="s">
        <v>148</v>
      </c>
      <c r="AI55" t="s">
        <v>148</v>
      </c>
      <c r="AJ55" t="s">
        <v>148</v>
      </c>
    </row>
    <row r="56" spans="1:36" x14ac:dyDescent="0.2">
      <c r="A56" t="s">
        <v>286</v>
      </c>
      <c r="B56" t="s">
        <v>287</v>
      </c>
      <c r="C56" t="s">
        <v>60</v>
      </c>
      <c r="D56" t="s">
        <v>289</v>
      </c>
      <c r="E56" t="str">
        <f>HYPERLINK("/pdf/2024_10.1109_tifs.2024.3420233_SGD3QN__Joint_Stochastic_Games_and_Dueling_Double_Deep_Q-Networks_for_Defending_Malware_Propagation_in_Edge_In.pdf","open")</f>
        <v>open</v>
      </c>
      <c r="F56" t="s">
        <v>1602</v>
      </c>
      <c r="G56" t="s">
        <v>1651</v>
      </c>
      <c r="H56" t="s">
        <v>1941</v>
      </c>
      <c r="I56" t="s">
        <v>148</v>
      </c>
      <c r="J56" t="s">
        <v>1602</v>
      </c>
      <c r="K56" t="s">
        <v>1664</v>
      </c>
      <c r="L56" t="s">
        <v>1609</v>
      </c>
      <c r="M56" t="s">
        <v>1942</v>
      </c>
      <c r="N56" t="s">
        <v>148</v>
      </c>
      <c r="O56" t="s">
        <v>148</v>
      </c>
      <c r="P56" t="s">
        <v>148</v>
      </c>
      <c r="Q56" t="s">
        <v>148</v>
      </c>
      <c r="R56" t="s">
        <v>148</v>
      </c>
      <c r="S56" t="s">
        <v>1602</v>
      </c>
      <c r="T56" t="s">
        <v>1602</v>
      </c>
      <c r="U56" t="s">
        <v>148</v>
      </c>
      <c r="V56" t="s">
        <v>148</v>
      </c>
      <c r="W56" t="s">
        <v>148</v>
      </c>
      <c r="X56" t="s">
        <v>1943</v>
      </c>
      <c r="Y56" t="s">
        <v>148</v>
      </c>
      <c r="Z56" t="s">
        <v>148</v>
      </c>
      <c r="AA56" t="s">
        <v>1944</v>
      </c>
      <c r="AB56" t="s">
        <v>1604</v>
      </c>
      <c r="AC56" t="s">
        <v>1945</v>
      </c>
      <c r="AD56" t="s">
        <v>148</v>
      </c>
      <c r="AE56" t="s">
        <v>148</v>
      </c>
      <c r="AF56" t="s">
        <v>1946</v>
      </c>
      <c r="AG56" t="s">
        <v>1947</v>
      </c>
      <c r="AH56" t="s">
        <v>1948</v>
      </c>
      <c r="AI56" t="s">
        <v>590</v>
      </c>
      <c r="AJ56" t="s">
        <v>1949</v>
      </c>
    </row>
    <row r="57" spans="1:36" x14ac:dyDescent="0.2">
      <c r="A57" t="s">
        <v>291</v>
      </c>
      <c r="B57" t="s">
        <v>292</v>
      </c>
      <c r="C57" t="s">
        <v>60</v>
      </c>
      <c r="D57" t="s">
        <v>294</v>
      </c>
      <c r="E57" t="str">
        <f>HYPERLINK("/pdf/2024_10.1007_s10115-024-02184-6_An_online_ensemble_classification_algorithm_for_multi-class_imbalanced_data_stream.pdf","open")</f>
        <v>open</v>
      </c>
      <c r="F57" t="s">
        <v>1606</v>
      </c>
      <c r="G57" t="s">
        <v>1607</v>
      </c>
      <c r="H57" t="s">
        <v>148</v>
      </c>
      <c r="I57" t="s">
        <v>148</v>
      </c>
      <c r="J57" t="s">
        <v>148</v>
      </c>
      <c r="K57" t="s">
        <v>148</v>
      </c>
      <c r="L57" t="s">
        <v>148</v>
      </c>
      <c r="M57" t="s">
        <v>1950</v>
      </c>
      <c r="N57" t="s">
        <v>1611</v>
      </c>
      <c r="O57" t="s">
        <v>148</v>
      </c>
      <c r="P57" t="s">
        <v>148</v>
      </c>
      <c r="Q57" t="s">
        <v>148</v>
      </c>
      <c r="R57" t="s">
        <v>148</v>
      </c>
      <c r="S57" t="s">
        <v>1951</v>
      </c>
      <c r="T57" t="s">
        <v>1952</v>
      </c>
      <c r="U57" t="s">
        <v>1604</v>
      </c>
      <c r="V57" t="s">
        <v>148</v>
      </c>
      <c r="W57" t="s">
        <v>148</v>
      </c>
      <c r="X57" t="s">
        <v>1953</v>
      </c>
      <c r="Y57" t="s">
        <v>148</v>
      </c>
      <c r="Z57" t="s">
        <v>148</v>
      </c>
      <c r="AA57" t="s">
        <v>1954</v>
      </c>
      <c r="AB57" t="s">
        <v>1604</v>
      </c>
      <c r="AC57" t="s">
        <v>148</v>
      </c>
      <c r="AD57" t="s">
        <v>148</v>
      </c>
      <c r="AE57" t="s">
        <v>148</v>
      </c>
      <c r="AF57" t="s">
        <v>1955</v>
      </c>
      <c r="AG57" t="s">
        <v>1956</v>
      </c>
      <c r="AH57" t="s">
        <v>1957</v>
      </c>
      <c r="AI57" t="s">
        <v>590</v>
      </c>
      <c r="AJ57" t="s">
        <v>1958</v>
      </c>
    </row>
    <row r="58" spans="1:36" x14ac:dyDescent="0.2">
      <c r="A58" t="s">
        <v>296</v>
      </c>
      <c r="B58" t="s">
        <v>297</v>
      </c>
      <c r="C58" t="s">
        <v>19</v>
      </c>
      <c r="D58" t="s">
        <v>296</v>
      </c>
      <c r="E58" t="str">
        <f>HYPERLINK("/pdf/2025_10.1109_icimia67127.2025.11200972_An_Intelligent_Data_Leakage_Prevention_in_Cloud_Computing_using_Golden_Jackal_Optimization.pdf.pdf","open")</f>
        <v>open</v>
      </c>
      <c r="F58" t="s">
        <v>1606</v>
      </c>
      <c r="G58" t="s">
        <v>1607</v>
      </c>
      <c r="H58" t="s">
        <v>1959</v>
      </c>
      <c r="I58" t="s">
        <v>1609</v>
      </c>
      <c r="J58" t="s">
        <v>148</v>
      </c>
      <c r="K58" t="s">
        <v>148</v>
      </c>
      <c r="L58" t="s">
        <v>148</v>
      </c>
      <c r="M58" t="s">
        <v>1960</v>
      </c>
      <c r="N58" t="s">
        <v>1611</v>
      </c>
      <c r="O58" t="s">
        <v>148</v>
      </c>
      <c r="P58" t="s">
        <v>148</v>
      </c>
      <c r="Q58" t="s">
        <v>148</v>
      </c>
      <c r="R58" t="s">
        <v>148</v>
      </c>
      <c r="S58" t="s">
        <v>1654</v>
      </c>
      <c r="T58" t="s">
        <v>1783</v>
      </c>
      <c r="U58" t="s">
        <v>1609</v>
      </c>
      <c r="V58" t="s">
        <v>1609</v>
      </c>
      <c r="W58" t="s">
        <v>1604</v>
      </c>
      <c r="X58" t="s">
        <v>148</v>
      </c>
      <c r="Y58" t="s">
        <v>148</v>
      </c>
      <c r="Z58" t="s">
        <v>148</v>
      </c>
      <c r="AA58" t="s">
        <v>1866</v>
      </c>
      <c r="AB58" t="s">
        <v>1604</v>
      </c>
      <c r="AC58" t="s">
        <v>148</v>
      </c>
      <c r="AD58" t="s">
        <v>1609</v>
      </c>
      <c r="AE58" t="s">
        <v>148</v>
      </c>
      <c r="AF58" t="s">
        <v>1961</v>
      </c>
      <c r="AG58" t="s">
        <v>1962</v>
      </c>
      <c r="AH58" t="s">
        <v>1963</v>
      </c>
      <c r="AI58" t="s">
        <v>1964</v>
      </c>
      <c r="AJ58" t="s">
        <v>1965</v>
      </c>
    </row>
    <row r="59" spans="1:36" x14ac:dyDescent="0.2">
      <c r="A59" t="s">
        <v>300</v>
      </c>
      <c r="B59" t="s">
        <v>301</v>
      </c>
      <c r="C59" t="s">
        <v>60</v>
      </c>
      <c r="D59" t="s">
        <v>303</v>
      </c>
      <c r="E59" t="str">
        <f>HYPERLINK("/pdf/2024_10.1109_host55342.2024.10545402_NoiseHopper__Emission_Hopping_Air-Gap_Covert_Side_Channel_with_Lower_Probability_of_Detection.pdf","open")</f>
        <v>open</v>
      </c>
      <c r="F59" t="s">
        <v>1602</v>
      </c>
      <c r="G59" t="s">
        <v>1602</v>
      </c>
      <c r="H59" t="s">
        <v>1966</v>
      </c>
      <c r="I59" t="s">
        <v>1609</v>
      </c>
      <c r="J59" t="s">
        <v>148</v>
      </c>
      <c r="K59" t="s">
        <v>148</v>
      </c>
      <c r="L59" t="s">
        <v>148</v>
      </c>
      <c r="M59" t="s">
        <v>148</v>
      </c>
      <c r="N59" t="s">
        <v>148</v>
      </c>
      <c r="O59" t="s">
        <v>148</v>
      </c>
      <c r="P59" t="s">
        <v>148</v>
      </c>
      <c r="Q59" t="s">
        <v>148</v>
      </c>
      <c r="R59" t="s">
        <v>148</v>
      </c>
      <c r="S59" t="s">
        <v>148</v>
      </c>
      <c r="T59" t="s">
        <v>148</v>
      </c>
      <c r="U59" t="s">
        <v>148</v>
      </c>
      <c r="V59" t="s">
        <v>148</v>
      </c>
      <c r="W59" t="s">
        <v>148</v>
      </c>
      <c r="X59" t="s">
        <v>148</v>
      </c>
      <c r="Y59" t="s">
        <v>148</v>
      </c>
      <c r="Z59" t="s">
        <v>148</v>
      </c>
      <c r="AA59" t="s">
        <v>1967</v>
      </c>
      <c r="AB59" t="s">
        <v>1604</v>
      </c>
      <c r="AC59" t="s">
        <v>1968</v>
      </c>
      <c r="AD59" t="s">
        <v>148</v>
      </c>
      <c r="AE59" t="s">
        <v>148</v>
      </c>
      <c r="AF59" t="s">
        <v>1969</v>
      </c>
      <c r="AG59" t="s">
        <v>1970</v>
      </c>
      <c r="AH59" t="s">
        <v>1971</v>
      </c>
      <c r="AI59" t="s">
        <v>957</v>
      </c>
      <c r="AJ59" t="s">
        <v>148</v>
      </c>
    </row>
    <row r="60" spans="1:36" x14ac:dyDescent="0.2">
      <c r="A60" t="s">
        <v>305</v>
      </c>
      <c r="B60" t="s">
        <v>306</v>
      </c>
      <c r="C60" t="s">
        <v>100</v>
      </c>
      <c r="D60" t="s">
        <v>148</v>
      </c>
      <c r="E60" t="str">
        <f>HYPERLINK("/pdf/2023_10_1109_mobilsoft59058_2023_00016_sensitive_and_personal_data_what_exactly_are_you_talking_about.pdf","open")</f>
        <v>open</v>
      </c>
      <c r="F60" t="s">
        <v>1602</v>
      </c>
      <c r="G60" t="s">
        <v>1651</v>
      </c>
      <c r="H60" t="s">
        <v>1972</v>
      </c>
      <c r="I60" t="s">
        <v>148</v>
      </c>
      <c r="J60" t="s">
        <v>148</v>
      </c>
      <c r="K60" t="s">
        <v>148</v>
      </c>
      <c r="L60" t="s">
        <v>148</v>
      </c>
      <c r="M60" t="s">
        <v>148</v>
      </c>
      <c r="N60" t="s">
        <v>148</v>
      </c>
      <c r="O60" t="s">
        <v>148</v>
      </c>
      <c r="P60" t="s">
        <v>148</v>
      </c>
      <c r="Q60" t="s">
        <v>148</v>
      </c>
      <c r="R60" t="s">
        <v>148</v>
      </c>
      <c r="S60" t="s">
        <v>148</v>
      </c>
      <c r="T60" t="s">
        <v>148</v>
      </c>
      <c r="U60" t="s">
        <v>148</v>
      </c>
      <c r="V60" t="s">
        <v>148</v>
      </c>
      <c r="W60" t="s">
        <v>148</v>
      </c>
      <c r="X60" t="s">
        <v>148</v>
      </c>
      <c r="Y60" t="s">
        <v>148</v>
      </c>
      <c r="Z60" t="s">
        <v>148</v>
      </c>
      <c r="AA60" t="s">
        <v>148</v>
      </c>
      <c r="AB60" t="s">
        <v>148</v>
      </c>
      <c r="AC60" t="s">
        <v>1973</v>
      </c>
      <c r="AD60" t="s">
        <v>148</v>
      </c>
      <c r="AE60" t="s">
        <v>148</v>
      </c>
      <c r="AF60" t="s">
        <v>148</v>
      </c>
      <c r="AG60" t="s">
        <v>148</v>
      </c>
      <c r="AH60" t="s">
        <v>148</v>
      </c>
      <c r="AI60" t="s">
        <v>148</v>
      </c>
      <c r="AJ60" t="s">
        <v>148</v>
      </c>
    </row>
    <row r="61" spans="1:36" x14ac:dyDescent="0.2">
      <c r="A61" t="s">
        <v>308</v>
      </c>
      <c r="B61" t="s">
        <v>309</v>
      </c>
      <c r="C61" t="s">
        <v>36</v>
      </c>
      <c r="D61" t="s">
        <v>311</v>
      </c>
      <c r="E61" t="str">
        <f>HYPERLINK("/pdf/2022_10_1016_j_neucom_2021_01_144_a_real_time_dynamic_concept_adaptive_learning_algorithm_for_exploitability_prediction.pdf","open")</f>
        <v>open</v>
      </c>
      <c r="F61" t="s">
        <v>1606</v>
      </c>
      <c r="G61" t="s">
        <v>1661</v>
      </c>
      <c r="H61" t="s">
        <v>1974</v>
      </c>
      <c r="I61" t="s">
        <v>1609</v>
      </c>
      <c r="J61" t="s">
        <v>148</v>
      </c>
      <c r="K61" t="s">
        <v>148</v>
      </c>
      <c r="L61" t="s">
        <v>148</v>
      </c>
      <c r="M61" t="s">
        <v>1975</v>
      </c>
      <c r="N61" t="s">
        <v>1611</v>
      </c>
      <c r="O61" t="s">
        <v>1604</v>
      </c>
      <c r="P61" t="s">
        <v>1827</v>
      </c>
      <c r="Q61" t="s">
        <v>1976</v>
      </c>
      <c r="R61" t="s">
        <v>1977</v>
      </c>
      <c r="S61" t="s">
        <v>1624</v>
      </c>
      <c r="T61" t="s">
        <v>1978</v>
      </c>
      <c r="U61" t="s">
        <v>1604</v>
      </c>
      <c r="V61" t="s">
        <v>148</v>
      </c>
      <c r="W61" t="s">
        <v>148</v>
      </c>
      <c r="X61" t="s">
        <v>1979</v>
      </c>
      <c r="Y61" t="s">
        <v>1980</v>
      </c>
      <c r="Z61" t="s">
        <v>148</v>
      </c>
      <c r="AA61" t="s">
        <v>1981</v>
      </c>
      <c r="AB61" t="s">
        <v>1604</v>
      </c>
      <c r="AC61" t="s">
        <v>1982</v>
      </c>
      <c r="AD61" t="s">
        <v>148</v>
      </c>
      <c r="AE61" t="s">
        <v>148</v>
      </c>
      <c r="AF61" t="s">
        <v>1983</v>
      </c>
      <c r="AG61" t="s">
        <v>1984</v>
      </c>
      <c r="AH61" t="s">
        <v>1985</v>
      </c>
      <c r="AI61" t="s">
        <v>590</v>
      </c>
      <c r="AJ61" t="s">
        <v>1986</v>
      </c>
    </row>
    <row r="62" spans="1:36" x14ac:dyDescent="0.2">
      <c r="A62" t="s">
        <v>313</v>
      </c>
      <c r="B62" t="s">
        <v>314</v>
      </c>
      <c r="C62" t="s">
        <v>36</v>
      </c>
      <c r="D62" t="s">
        <v>316</v>
      </c>
      <c r="E62" t="str">
        <f>HYPERLINK("/pdf/2022_10_1080_0144929x_2021_1953597_the_relationship_between_online_political_participation_and_privacy_protection_evidence_f.pdf","open")</f>
        <v>open</v>
      </c>
      <c r="F62" t="s">
        <v>1602</v>
      </c>
      <c r="G62" t="s">
        <v>1602</v>
      </c>
      <c r="H62" t="s">
        <v>148</v>
      </c>
      <c r="I62" t="s">
        <v>148</v>
      </c>
      <c r="J62" t="s">
        <v>148</v>
      </c>
      <c r="K62" t="s">
        <v>148</v>
      </c>
      <c r="L62" t="s">
        <v>148</v>
      </c>
      <c r="M62" t="s">
        <v>148</v>
      </c>
      <c r="N62" t="s">
        <v>148</v>
      </c>
      <c r="O62" t="s">
        <v>148</v>
      </c>
      <c r="P62" t="s">
        <v>148</v>
      </c>
      <c r="Q62" t="s">
        <v>148</v>
      </c>
      <c r="R62" t="s">
        <v>148</v>
      </c>
      <c r="S62" t="s">
        <v>148</v>
      </c>
      <c r="T62" t="s">
        <v>148</v>
      </c>
      <c r="U62" t="s">
        <v>148</v>
      </c>
      <c r="V62" t="s">
        <v>148</v>
      </c>
      <c r="W62" t="s">
        <v>148</v>
      </c>
      <c r="X62" t="s">
        <v>148</v>
      </c>
      <c r="Y62" t="s">
        <v>148</v>
      </c>
      <c r="Z62" t="s">
        <v>148</v>
      </c>
      <c r="AA62" t="s">
        <v>1987</v>
      </c>
      <c r="AB62" t="s">
        <v>1609</v>
      </c>
      <c r="AC62" t="s">
        <v>148</v>
      </c>
      <c r="AD62" t="s">
        <v>148</v>
      </c>
      <c r="AE62" t="s">
        <v>148</v>
      </c>
      <c r="AF62" t="s">
        <v>1988</v>
      </c>
      <c r="AG62" t="s">
        <v>1989</v>
      </c>
      <c r="AH62" t="s">
        <v>148</v>
      </c>
      <c r="AI62" t="s">
        <v>148</v>
      </c>
      <c r="AJ62" t="s">
        <v>148</v>
      </c>
    </row>
    <row r="63" spans="1:36" x14ac:dyDescent="0.2">
      <c r="A63" t="s">
        <v>318</v>
      </c>
      <c r="B63" t="s">
        <v>319</v>
      </c>
      <c r="C63" t="s">
        <v>25</v>
      </c>
      <c r="D63" t="s">
        <v>321</v>
      </c>
      <c r="E63" t="str">
        <f>HYPERLINK("/pdf/2023_10_1007_s40747_021_00456_0_deep_learning_framework_for_handling_concept_drift_and_class_imbalanced_complex_decision_m.pdf","open")</f>
        <v>open</v>
      </c>
      <c r="F63" t="s">
        <v>1606</v>
      </c>
      <c r="G63" t="s">
        <v>1607</v>
      </c>
      <c r="H63" t="s">
        <v>1990</v>
      </c>
      <c r="I63" t="s">
        <v>1609</v>
      </c>
      <c r="J63" t="s">
        <v>148</v>
      </c>
      <c r="K63" t="s">
        <v>148</v>
      </c>
      <c r="L63" t="s">
        <v>148</v>
      </c>
      <c r="M63" t="s">
        <v>1991</v>
      </c>
      <c r="N63" t="s">
        <v>1611</v>
      </c>
      <c r="O63" t="s">
        <v>148</v>
      </c>
      <c r="P63" t="s">
        <v>1992</v>
      </c>
      <c r="Q63" t="s">
        <v>1993</v>
      </c>
      <c r="R63" t="s">
        <v>148</v>
      </c>
      <c r="S63" t="s">
        <v>1654</v>
      </c>
      <c r="T63" t="s">
        <v>1655</v>
      </c>
      <c r="U63" t="s">
        <v>1609</v>
      </c>
      <c r="V63" t="s">
        <v>148</v>
      </c>
      <c r="W63" t="s">
        <v>148</v>
      </c>
      <c r="X63" t="s">
        <v>1994</v>
      </c>
      <c r="Y63" t="s">
        <v>148</v>
      </c>
      <c r="Z63" t="s">
        <v>148</v>
      </c>
      <c r="AA63" t="s">
        <v>1995</v>
      </c>
      <c r="AB63" t="s">
        <v>1604</v>
      </c>
      <c r="AC63" t="s">
        <v>1639</v>
      </c>
      <c r="AD63" t="s">
        <v>148</v>
      </c>
      <c r="AE63" t="s">
        <v>148</v>
      </c>
      <c r="AF63" t="s">
        <v>1996</v>
      </c>
      <c r="AG63" t="s">
        <v>1614</v>
      </c>
      <c r="AH63" t="s">
        <v>1997</v>
      </c>
      <c r="AI63" t="s">
        <v>1998</v>
      </c>
      <c r="AJ63" t="s">
        <v>1999</v>
      </c>
    </row>
    <row r="64" spans="1:36" x14ac:dyDescent="0.2">
      <c r="A64" t="s">
        <v>323</v>
      </c>
      <c r="B64" t="s">
        <v>323</v>
      </c>
      <c r="C64" t="s">
        <v>19</v>
      </c>
      <c r="D64" t="s">
        <v>324</v>
      </c>
      <c r="E64" t="str">
        <f>HYPERLINK("/pdf/2025_10.1109_access.2025.3569356_FEXGBIDS__Federated_XGBoost-Based_Intrusion_Detection_System_for_In-Vehicle_Network.pdf","open")</f>
        <v>open</v>
      </c>
      <c r="F64" t="s">
        <v>1606</v>
      </c>
      <c r="G64" t="s">
        <v>1607</v>
      </c>
      <c r="H64" t="s">
        <v>2000</v>
      </c>
      <c r="I64" t="s">
        <v>1609</v>
      </c>
      <c r="J64" t="s">
        <v>1602</v>
      </c>
      <c r="K64" t="s">
        <v>148</v>
      </c>
      <c r="L64" t="s">
        <v>148</v>
      </c>
      <c r="M64" t="s">
        <v>2001</v>
      </c>
      <c r="N64" t="s">
        <v>1611</v>
      </c>
      <c r="O64" t="s">
        <v>2002</v>
      </c>
      <c r="P64" t="s">
        <v>1694</v>
      </c>
      <c r="Q64" t="s">
        <v>148</v>
      </c>
      <c r="R64" t="s">
        <v>148</v>
      </c>
      <c r="S64" t="s">
        <v>1602</v>
      </c>
      <c r="T64" t="s">
        <v>2003</v>
      </c>
      <c r="U64" t="s">
        <v>148</v>
      </c>
      <c r="V64" t="s">
        <v>148</v>
      </c>
      <c r="W64" t="s">
        <v>148</v>
      </c>
      <c r="X64" t="s">
        <v>2004</v>
      </c>
      <c r="Y64" t="s">
        <v>148</v>
      </c>
      <c r="Z64" t="s">
        <v>148</v>
      </c>
      <c r="AA64" t="s">
        <v>2005</v>
      </c>
      <c r="AB64" t="s">
        <v>1604</v>
      </c>
      <c r="AC64" t="s">
        <v>148</v>
      </c>
      <c r="AD64" t="s">
        <v>148</v>
      </c>
      <c r="AE64" t="s">
        <v>148</v>
      </c>
      <c r="AF64" t="s">
        <v>2006</v>
      </c>
      <c r="AG64" t="s">
        <v>1614</v>
      </c>
      <c r="AH64" t="s">
        <v>2007</v>
      </c>
      <c r="AI64" t="s">
        <v>2008</v>
      </c>
      <c r="AJ64" t="s">
        <v>148</v>
      </c>
    </row>
    <row r="65" spans="1:36" x14ac:dyDescent="0.2">
      <c r="A65" t="s">
        <v>326</v>
      </c>
      <c r="B65" t="s">
        <v>327</v>
      </c>
      <c r="C65" t="s">
        <v>190</v>
      </c>
      <c r="D65" t="s">
        <v>329</v>
      </c>
      <c r="E65" t="str">
        <f>HYPERLINK("/pdf/2017_10.1109_iccsn.2017.8230197_EddLeak__Enhancing_precision_of_detecting_inter-app_data_leakage_in_Android_applications.pdf","open")</f>
        <v>open</v>
      </c>
      <c r="F65" t="s">
        <v>1602</v>
      </c>
      <c r="G65" t="s">
        <v>1602</v>
      </c>
      <c r="H65" t="s">
        <v>2009</v>
      </c>
      <c r="I65" t="s">
        <v>1604</v>
      </c>
      <c r="J65" t="s">
        <v>1602</v>
      </c>
      <c r="K65" t="s">
        <v>1653</v>
      </c>
      <c r="L65" t="s">
        <v>1609</v>
      </c>
      <c r="M65" t="s">
        <v>1602</v>
      </c>
      <c r="N65" t="s">
        <v>148</v>
      </c>
      <c r="O65" t="s">
        <v>148</v>
      </c>
      <c r="P65" t="s">
        <v>1694</v>
      </c>
      <c r="Q65" t="s">
        <v>148</v>
      </c>
      <c r="R65" t="s">
        <v>148</v>
      </c>
      <c r="S65" t="s">
        <v>1602</v>
      </c>
      <c r="T65" t="s">
        <v>148</v>
      </c>
      <c r="U65" t="s">
        <v>148</v>
      </c>
      <c r="V65" t="s">
        <v>148</v>
      </c>
      <c r="W65" t="s">
        <v>148</v>
      </c>
      <c r="X65" t="s">
        <v>148</v>
      </c>
      <c r="Y65" t="s">
        <v>148</v>
      </c>
      <c r="Z65" t="s">
        <v>148</v>
      </c>
      <c r="AA65" t="s">
        <v>2010</v>
      </c>
      <c r="AB65" t="s">
        <v>1604</v>
      </c>
      <c r="AC65" t="s">
        <v>148</v>
      </c>
      <c r="AD65" t="s">
        <v>148</v>
      </c>
      <c r="AE65" t="s">
        <v>148</v>
      </c>
      <c r="AF65" t="s">
        <v>2011</v>
      </c>
      <c r="AG65" t="s">
        <v>2012</v>
      </c>
      <c r="AH65" t="s">
        <v>2013</v>
      </c>
      <c r="AI65" t="s">
        <v>957</v>
      </c>
      <c r="AJ65" t="s">
        <v>148</v>
      </c>
    </row>
    <row r="66" spans="1:36" x14ac:dyDescent="0.2">
      <c r="A66" t="s">
        <v>331</v>
      </c>
      <c r="B66" t="s">
        <v>332</v>
      </c>
      <c r="C66" t="s">
        <v>25</v>
      </c>
      <c r="D66" t="s">
        <v>334</v>
      </c>
      <c r="E66" t="str">
        <f>HYPERLINK("/pdf/2023_10.1109_3ict60104.2023.10391475_Enhancing_Mobile_Security__A_Systematic_Review_of_AI_and_Blockchain_Integration_Strategies_for_Effective_Analy.pdf","open")</f>
        <v>open</v>
      </c>
      <c r="F66" t="s">
        <v>1602</v>
      </c>
      <c r="G66" t="s">
        <v>1602</v>
      </c>
      <c r="H66" t="s">
        <v>2014</v>
      </c>
      <c r="I66" t="s">
        <v>1609</v>
      </c>
      <c r="J66" t="s">
        <v>148</v>
      </c>
      <c r="K66" t="s">
        <v>148</v>
      </c>
      <c r="L66" t="s">
        <v>148</v>
      </c>
      <c r="M66" t="s">
        <v>148</v>
      </c>
      <c r="N66" t="s">
        <v>148</v>
      </c>
      <c r="O66" t="s">
        <v>148</v>
      </c>
      <c r="P66" t="s">
        <v>148</v>
      </c>
      <c r="Q66" t="s">
        <v>148</v>
      </c>
      <c r="R66" t="s">
        <v>148</v>
      </c>
      <c r="S66" t="s">
        <v>148</v>
      </c>
      <c r="T66" t="s">
        <v>148</v>
      </c>
      <c r="U66" t="s">
        <v>148</v>
      </c>
      <c r="V66" t="s">
        <v>148</v>
      </c>
      <c r="W66" t="s">
        <v>148</v>
      </c>
      <c r="X66" t="s">
        <v>148</v>
      </c>
      <c r="Y66" t="s">
        <v>148</v>
      </c>
      <c r="Z66" t="s">
        <v>148</v>
      </c>
      <c r="AA66" t="s">
        <v>148</v>
      </c>
      <c r="AB66" t="s">
        <v>148</v>
      </c>
      <c r="AC66" t="s">
        <v>148</v>
      </c>
      <c r="AD66" t="s">
        <v>148</v>
      </c>
      <c r="AE66" t="s">
        <v>148</v>
      </c>
      <c r="AF66" t="s">
        <v>148</v>
      </c>
      <c r="AG66" t="s">
        <v>148</v>
      </c>
      <c r="AH66" t="s">
        <v>148</v>
      </c>
      <c r="AI66" t="s">
        <v>148</v>
      </c>
      <c r="AJ66" t="s">
        <v>2015</v>
      </c>
    </row>
    <row r="67" spans="1:36" x14ac:dyDescent="0.2">
      <c r="A67" t="s">
        <v>336</v>
      </c>
      <c r="B67" t="s">
        <v>337</v>
      </c>
      <c r="C67" t="s">
        <v>19</v>
      </c>
      <c r="D67" t="s">
        <v>339</v>
      </c>
      <c r="E67" t="str">
        <f>HYPERLINK("/pdf/2025_10.1007_s13198-025-03013-x_Mobile_network_intelligent_recommendation_based_on_data_mining_and_network_security_application_in_college_stu.pdf","open")</f>
        <v>open</v>
      </c>
      <c r="F67" t="s">
        <v>1602</v>
      </c>
      <c r="G67" t="s">
        <v>1602</v>
      </c>
      <c r="H67" t="s">
        <v>148</v>
      </c>
      <c r="I67" t="s">
        <v>1609</v>
      </c>
      <c r="J67" t="s">
        <v>148</v>
      </c>
      <c r="K67" t="s">
        <v>148</v>
      </c>
      <c r="L67" t="s">
        <v>148</v>
      </c>
      <c r="M67" t="s">
        <v>1636</v>
      </c>
      <c r="N67" t="s">
        <v>148</v>
      </c>
      <c r="O67" t="s">
        <v>148</v>
      </c>
      <c r="P67" t="s">
        <v>148</v>
      </c>
      <c r="Q67" t="s">
        <v>148</v>
      </c>
      <c r="R67" t="s">
        <v>148</v>
      </c>
      <c r="S67" t="s">
        <v>1602</v>
      </c>
      <c r="T67" t="s">
        <v>148</v>
      </c>
      <c r="U67" t="s">
        <v>1609</v>
      </c>
      <c r="V67" t="s">
        <v>148</v>
      </c>
      <c r="W67" t="s">
        <v>148</v>
      </c>
      <c r="X67" t="s">
        <v>1602</v>
      </c>
      <c r="Y67" t="s">
        <v>148</v>
      </c>
      <c r="Z67" t="s">
        <v>148</v>
      </c>
      <c r="AA67" t="s">
        <v>2016</v>
      </c>
      <c r="AB67" t="s">
        <v>1609</v>
      </c>
      <c r="AC67" t="s">
        <v>148</v>
      </c>
      <c r="AD67" t="s">
        <v>1609</v>
      </c>
      <c r="AE67" t="s">
        <v>148</v>
      </c>
      <c r="AF67" t="s">
        <v>2017</v>
      </c>
      <c r="AG67" t="s">
        <v>2018</v>
      </c>
      <c r="AH67" t="s">
        <v>2019</v>
      </c>
      <c r="AI67" t="s">
        <v>44</v>
      </c>
      <c r="AJ67" t="s">
        <v>148</v>
      </c>
    </row>
    <row r="68" spans="1:36" x14ac:dyDescent="0.2">
      <c r="A68" t="s">
        <v>341</v>
      </c>
      <c r="B68" t="s">
        <v>342</v>
      </c>
      <c r="C68" t="s">
        <v>12</v>
      </c>
      <c r="D68" t="s">
        <v>344</v>
      </c>
      <c r="E68" t="str">
        <f>HYPERLINK("/pdf/2018_10.1109_isvlsi.2018.00105_Security-driven_task_scheduling_for_multiprocessor_system-on-chips_with_performance_constraints.pdf","open")</f>
        <v>open</v>
      </c>
      <c r="F68" t="s">
        <v>1602</v>
      </c>
      <c r="G68" t="s">
        <v>1602</v>
      </c>
      <c r="H68" t="s">
        <v>2020</v>
      </c>
      <c r="I68" t="s">
        <v>2021</v>
      </c>
      <c r="J68" t="s">
        <v>1602</v>
      </c>
      <c r="K68" t="s">
        <v>1653</v>
      </c>
      <c r="L68" t="s">
        <v>1609</v>
      </c>
      <c r="M68" t="s">
        <v>148</v>
      </c>
      <c r="N68" t="s">
        <v>148</v>
      </c>
      <c r="O68" t="s">
        <v>148</v>
      </c>
      <c r="P68" t="s">
        <v>148</v>
      </c>
      <c r="Q68" t="s">
        <v>148</v>
      </c>
      <c r="R68" t="s">
        <v>148</v>
      </c>
      <c r="S68" t="s">
        <v>148</v>
      </c>
      <c r="T68" t="s">
        <v>148</v>
      </c>
      <c r="U68" t="s">
        <v>148</v>
      </c>
      <c r="V68" t="s">
        <v>148</v>
      </c>
      <c r="W68" t="s">
        <v>148</v>
      </c>
      <c r="X68" t="s">
        <v>1602</v>
      </c>
      <c r="Y68" t="s">
        <v>148</v>
      </c>
      <c r="Z68" t="s">
        <v>148</v>
      </c>
      <c r="AA68" t="s">
        <v>2022</v>
      </c>
      <c r="AB68" t="s">
        <v>1604</v>
      </c>
      <c r="AC68" t="s">
        <v>2023</v>
      </c>
      <c r="AD68" t="s">
        <v>148</v>
      </c>
      <c r="AE68" t="s">
        <v>148</v>
      </c>
      <c r="AF68" t="s">
        <v>2024</v>
      </c>
      <c r="AG68" t="s">
        <v>2025</v>
      </c>
      <c r="AH68" t="s">
        <v>2026</v>
      </c>
      <c r="AI68" t="s">
        <v>2027</v>
      </c>
      <c r="AJ68" t="s">
        <v>148</v>
      </c>
    </row>
    <row r="69" spans="1:36" x14ac:dyDescent="0.2">
      <c r="A69" t="s">
        <v>346</v>
      </c>
      <c r="B69" t="s">
        <v>347</v>
      </c>
      <c r="C69" t="s">
        <v>54</v>
      </c>
      <c r="D69" t="s">
        <v>349</v>
      </c>
      <c r="E69" t="str">
        <f>HYPERLINK("/pdf/2020_10.1145_3407023.3409216_Exploring_data_leakage_in_encrypted_payload_using_supervised_machine_learning.pdf","open")</f>
        <v>open</v>
      </c>
      <c r="F69" t="s">
        <v>1606</v>
      </c>
      <c r="G69" t="s">
        <v>1602</v>
      </c>
      <c r="H69" t="s">
        <v>2028</v>
      </c>
      <c r="I69" t="s">
        <v>1609</v>
      </c>
      <c r="J69" t="s">
        <v>148</v>
      </c>
      <c r="K69" t="s">
        <v>148</v>
      </c>
      <c r="L69" t="s">
        <v>148</v>
      </c>
      <c r="M69" t="s">
        <v>1636</v>
      </c>
      <c r="N69" t="s">
        <v>1611</v>
      </c>
      <c r="O69" t="s">
        <v>1604</v>
      </c>
      <c r="P69" t="s">
        <v>1602</v>
      </c>
      <c r="Q69" t="s">
        <v>2029</v>
      </c>
      <c r="R69" t="s">
        <v>2030</v>
      </c>
      <c r="S69" t="s">
        <v>1655</v>
      </c>
      <c r="T69" t="s">
        <v>2031</v>
      </c>
      <c r="U69" t="s">
        <v>1609</v>
      </c>
      <c r="V69" t="s">
        <v>1609</v>
      </c>
      <c r="W69" t="s">
        <v>1609</v>
      </c>
      <c r="X69" t="s">
        <v>2032</v>
      </c>
      <c r="Y69" t="s">
        <v>148</v>
      </c>
      <c r="Z69" t="s">
        <v>148</v>
      </c>
      <c r="AA69" t="s">
        <v>2033</v>
      </c>
      <c r="AB69" t="s">
        <v>1604</v>
      </c>
      <c r="AC69" t="s">
        <v>2034</v>
      </c>
      <c r="AD69" t="s">
        <v>148</v>
      </c>
      <c r="AE69" t="s">
        <v>148</v>
      </c>
      <c r="AF69" t="s">
        <v>2035</v>
      </c>
      <c r="AG69" t="s">
        <v>2036</v>
      </c>
      <c r="AH69" t="s">
        <v>2037</v>
      </c>
      <c r="AI69" t="s">
        <v>590</v>
      </c>
      <c r="AJ69" t="s">
        <v>2038</v>
      </c>
    </row>
    <row r="70" spans="1:36" x14ac:dyDescent="0.2">
      <c r="A70" t="s">
        <v>351</v>
      </c>
      <c r="B70" t="s">
        <v>352</v>
      </c>
      <c r="C70" t="s">
        <v>54</v>
      </c>
      <c r="D70" t="s">
        <v>354</v>
      </c>
      <c r="E70" t="str">
        <f>HYPERLINK("/pdf/2020_10.1109_tvlsi.2020.2982188_Cache-Out__Leaking_Cache_Memory_Using_Hardware_Trojan.pdf","open")</f>
        <v>open</v>
      </c>
      <c r="F70" t="s">
        <v>1602</v>
      </c>
      <c r="G70" t="s">
        <v>1602</v>
      </c>
      <c r="H70" t="s">
        <v>2039</v>
      </c>
      <c r="I70" t="s">
        <v>1609</v>
      </c>
      <c r="J70" t="s">
        <v>148</v>
      </c>
      <c r="K70" t="s">
        <v>148</v>
      </c>
      <c r="L70" t="s">
        <v>148</v>
      </c>
      <c r="M70" t="s">
        <v>148</v>
      </c>
      <c r="N70" t="s">
        <v>148</v>
      </c>
      <c r="O70" t="s">
        <v>148</v>
      </c>
      <c r="P70" t="s">
        <v>148</v>
      </c>
      <c r="Q70" t="s">
        <v>148</v>
      </c>
      <c r="R70" t="s">
        <v>148</v>
      </c>
      <c r="S70" t="s">
        <v>148</v>
      </c>
      <c r="T70" t="s">
        <v>148</v>
      </c>
      <c r="U70" t="s">
        <v>148</v>
      </c>
      <c r="V70" t="s">
        <v>148</v>
      </c>
      <c r="W70" t="s">
        <v>148</v>
      </c>
      <c r="X70" t="s">
        <v>148</v>
      </c>
      <c r="Y70" t="s">
        <v>148</v>
      </c>
      <c r="Z70" t="s">
        <v>148</v>
      </c>
      <c r="AA70" t="s">
        <v>2040</v>
      </c>
      <c r="AB70" t="s">
        <v>1609</v>
      </c>
      <c r="AC70" t="s">
        <v>148</v>
      </c>
      <c r="AD70" t="s">
        <v>1609</v>
      </c>
      <c r="AE70" t="s">
        <v>148</v>
      </c>
      <c r="AF70" t="s">
        <v>2041</v>
      </c>
      <c r="AG70" t="s">
        <v>148</v>
      </c>
      <c r="AH70" t="s">
        <v>148</v>
      </c>
      <c r="AI70" t="s">
        <v>44</v>
      </c>
      <c r="AJ70" t="s">
        <v>148</v>
      </c>
    </row>
    <row r="71" spans="1:36" x14ac:dyDescent="0.2">
      <c r="A71" t="s">
        <v>356</v>
      </c>
      <c r="B71" t="s">
        <v>357</v>
      </c>
      <c r="C71" t="s">
        <v>25</v>
      </c>
      <c r="D71" t="s">
        <v>359</v>
      </c>
      <c r="E71" t="str">
        <f>HYPERLINK("/pdf/2023_10.1109_isctech60480.2023.00028_An_attack-aware_shipping_enterprise_cybersecurity_framework_based_on_deep_learning.pdf","open")</f>
        <v>open</v>
      </c>
      <c r="F71" t="s">
        <v>1633</v>
      </c>
      <c r="G71" t="s">
        <v>1607</v>
      </c>
      <c r="H71" t="s">
        <v>2042</v>
      </c>
      <c r="I71" t="s">
        <v>1609</v>
      </c>
      <c r="J71" t="s">
        <v>148</v>
      </c>
      <c r="K71" t="s">
        <v>148</v>
      </c>
      <c r="L71" t="s">
        <v>148</v>
      </c>
      <c r="M71" t="s">
        <v>1636</v>
      </c>
      <c r="N71" t="s">
        <v>1611</v>
      </c>
      <c r="O71" t="s">
        <v>148</v>
      </c>
      <c r="P71" t="s">
        <v>148</v>
      </c>
      <c r="Q71" t="s">
        <v>148</v>
      </c>
      <c r="R71" t="s">
        <v>148</v>
      </c>
      <c r="S71" t="s">
        <v>148</v>
      </c>
      <c r="T71" t="s">
        <v>148</v>
      </c>
      <c r="U71" t="s">
        <v>148</v>
      </c>
      <c r="V71" t="s">
        <v>148</v>
      </c>
      <c r="W71" t="s">
        <v>148</v>
      </c>
      <c r="X71" t="s">
        <v>2043</v>
      </c>
      <c r="Y71" t="s">
        <v>2044</v>
      </c>
      <c r="Z71" t="s">
        <v>148</v>
      </c>
      <c r="AA71" t="s">
        <v>2045</v>
      </c>
      <c r="AB71" t="s">
        <v>1609</v>
      </c>
      <c r="AC71" t="s">
        <v>148</v>
      </c>
      <c r="AD71" t="s">
        <v>148</v>
      </c>
      <c r="AE71" t="s">
        <v>148</v>
      </c>
      <c r="AF71" t="s">
        <v>2046</v>
      </c>
      <c r="AG71" t="s">
        <v>2047</v>
      </c>
      <c r="AH71" t="s">
        <v>148</v>
      </c>
      <c r="AI71" t="s">
        <v>44</v>
      </c>
      <c r="AJ71" t="s">
        <v>2048</v>
      </c>
    </row>
    <row r="72" spans="1:36" x14ac:dyDescent="0.2">
      <c r="A72" t="s">
        <v>361</v>
      </c>
      <c r="B72" t="s">
        <v>362</v>
      </c>
      <c r="C72" t="s">
        <v>363</v>
      </c>
      <c r="D72" t="s">
        <v>365</v>
      </c>
      <c r="E72" t="str">
        <f>HYPERLINK("/pdf/2016_10.1016_j.jnca.2016.01.008_A_survey_on_data_leakage_prevention_systems.pdf","open")</f>
        <v>open</v>
      </c>
      <c r="F72" t="s">
        <v>1602</v>
      </c>
      <c r="G72" t="s">
        <v>1602</v>
      </c>
      <c r="H72" t="s">
        <v>2049</v>
      </c>
      <c r="I72" t="s">
        <v>1604</v>
      </c>
      <c r="J72" t="s">
        <v>1602</v>
      </c>
      <c r="K72" t="s">
        <v>148</v>
      </c>
      <c r="L72" t="s">
        <v>148</v>
      </c>
      <c r="M72" t="s">
        <v>148</v>
      </c>
      <c r="N72" t="s">
        <v>148</v>
      </c>
      <c r="O72" t="s">
        <v>148</v>
      </c>
      <c r="P72" t="s">
        <v>148</v>
      </c>
      <c r="Q72" t="s">
        <v>148</v>
      </c>
      <c r="R72" t="s">
        <v>148</v>
      </c>
      <c r="S72" t="s">
        <v>148</v>
      </c>
      <c r="T72" t="s">
        <v>148</v>
      </c>
      <c r="U72" t="s">
        <v>148</v>
      </c>
      <c r="V72" t="s">
        <v>148</v>
      </c>
      <c r="W72" t="s">
        <v>148</v>
      </c>
      <c r="X72" t="s">
        <v>148</v>
      </c>
      <c r="Y72" t="s">
        <v>148</v>
      </c>
      <c r="Z72" t="s">
        <v>148</v>
      </c>
      <c r="AA72" t="s">
        <v>2050</v>
      </c>
      <c r="AB72" t="s">
        <v>1604</v>
      </c>
      <c r="AC72" t="s">
        <v>148</v>
      </c>
      <c r="AD72" t="s">
        <v>148</v>
      </c>
      <c r="AE72" t="s">
        <v>148</v>
      </c>
      <c r="AF72" t="s">
        <v>2051</v>
      </c>
      <c r="AG72" t="s">
        <v>148</v>
      </c>
      <c r="AH72" t="s">
        <v>148</v>
      </c>
      <c r="AI72" t="s">
        <v>148</v>
      </c>
      <c r="AJ72" t="s">
        <v>2052</v>
      </c>
    </row>
    <row r="73" spans="1:36" x14ac:dyDescent="0.2">
      <c r="A73" t="s">
        <v>367</v>
      </c>
      <c r="B73" t="s">
        <v>368</v>
      </c>
      <c r="C73" t="s">
        <v>60</v>
      </c>
      <c r="D73" t="s">
        <v>370</v>
      </c>
      <c r="E73" t="str">
        <f>HYPERLINK("/pdf/2024_10.1002_9781394200801.ch32_Risks_for_conversational_AI_security.pdf","open")</f>
        <v>open</v>
      </c>
      <c r="F73" t="s">
        <v>1618</v>
      </c>
      <c r="G73" t="s">
        <v>2053</v>
      </c>
      <c r="H73" t="s">
        <v>2054</v>
      </c>
      <c r="I73" t="s">
        <v>1609</v>
      </c>
      <c r="J73" t="s">
        <v>1657</v>
      </c>
      <c r="K73" t="s">
        <v>1657</v>
      </c>
      <c r="L73" t="s">
        <v>1657</v>
      </c>
      <c r="M73" t="s">
        <v>2055</v>
      </c>
      <c r="N73" t="s">
        <v>148</v>
      </c>
      <c r="O73" t="s">
        <v>148</v>
      </c>
      <c r="P73" t="s">
        <v>148</v>
      </c>
      <c r="Q73" t="s">
        <v>148</v>
      </c>
      <c r="R73" t="s">
        <v>148</v>
      </c>
      <c r="S73" t="s">
        <v>148</v>
      </c>
      <c r="T73" t="s">
        <v>148</v>
      </c>
      <c r="U73" t="s">
        <v>148</v>
      </c>
      <c r="V73" t="s">
        <v>148</v>
      </c>
      <c r="W73" t="s">
        <v>148</v>
      </c>
      <c r="X73" t="s">
        <v>148</v>
      </c>
      <c r="Y73" t="s">
        <v>148</v>
      </c>
      <c r="Z73" t="s">
        <v>148</v>
      </c>
      <c r="AA73" t="s">
        <v>148</v>
      </c>
      <c r="AB73" t="s">
        <v>148</v>
      </c>
      <c r="AC73" t="s">
        <v>148</v>
      </c>
      <c r="AD73" t="s">
        <v>148</v>
      </c>
      <c r="AE73" t="s">
        <v>148</v>
      </c>
      <c r="AF73" t="s">
        <v>2056</v>
      </c>
      <c r="AG73" t="s">
        <v>148</v>
      </c>
      <c r="AH73" t="s">
        <v>148</v>
      </c>
      <c r="AI73" t="s">
        <v>2057</v>
      </c>
      <c r="AJ73" t="s">
        <v>148</v>
      </c>
    </row>
    <row r="74" spans="1:36" x14ac:dyDescent="0.2">
      <c r="A74" t="s">
        <v>372</v>
      </c>
      <c r="B74" t="s">
        <v>373</v>
      </c>
      <c r="C74" t="s">
        <v>363</v>
      </c>
      <c r="D74" t="s">
        <v>375</v>
      </c>
      <c r="E74" t="str">
        <f>HYPERLINK("/pdf/2016_10.1109_hicss.2016.679_Utilizing_the_cloud_to_store_hijacked_camera_images.pdf","open")</f>
        <v>open</v>
      </c>
      <c r="F74" t="s">
        <v>1602</v>
      </c>
      <c r="G74" t="s">
        <v>1651</v>
      </c>
      <c r="H74" t="s">
        <v>2058</v>
      </c>
      <c r="I74" t="s">
        <v>1609</v>
      </c>
      <c r="J74" t="s">
        <v>148</v>
      </c>
      <c r="K74" t="s">
        <v>148</v>
      </c>
      <c r="L74" t="s">
        <v>148</v>
      </c>
      <c r="M74" t="s">
        <v>148</v>
      </c>
      <c r="N74" t="s">
        <v>148</v>
      </c>
      <c r="O74" t="s">
        <v>148</v>
      </c>
      <c r="P74" t="s">
        <v>148</v>
      </c>
      <c r="Q74" t="s">
        <v>148</v>
      </c>
      <c r="R74" t="s">
        <v>148</v>
      </c>
      <c r="S74" t="s">
        <v>148</v>
      </c>
      <c r="T74" t="s">
        <v>148</v>
      </c>
      <c r="U74" t="s">
        <v>148</v>
      </c>
      <c r="V74" t="s">
        <v>148</v>
      </c>
      <c r="W74" t="s">
        <v>148</v>
      </c>
      <c r="X74" t="s">
        <v>148</v>
      </c>
      <c r="Y74" t="s">
        <v>148</v>
      </c>
      <c r="Z74" t="s">
        <v>148</v>
      </c>
      <c r="AA74" t="s">
        <v>2059</v>
      </c>
      <c r="AB74" t="s">
        <v>1609</v>
      </c>
      <c r="AC74" t="s">
        <v>148</v>
      </c>
      <c r="AD74" t="s">
        <v>148</v>
      </c>
      <c r="AE74" t="s">
        <v>148</v>
      </c>
      <c r="AF74" t="s">
        <v>2060</v>
      </c>
      <c r="AG74" t="s">
        <v>2061</v>
      </c>
      <c r="AH74" t="s">
        <v>2062</v>
      </c>
      <c r="AI74" t="s">
        <v>2063</v>
      </c>
      <c r="AJ74" t="s">
        <v>2064</v>
      </c>
    </row>
    <row r="75" spans="1:36" x14ac:dyDescent="0.2">
      <c r="A75" t="s">
        <v>140</v>
      </c>
      <c r="B75" t="s">
        <v>141</v>
      </c>
      <c r="C75" t="s">
        <v>25</v>
      </c>
      <c r="D75" t="s">
        <v>143</v>
      </c>
      <c r="E75" t="str">
        <f>HYPERLINK("/pdf/2023_10_11591_ijece_v13i5_pp5560_5568_concept_drift_and_machine_learning_model_for_detecting_fraudulent_transactions_i.pdf","open")</f>
        <v>open</v>
      </c>
      <c r="F75" t="s">
        <v>1606</v>
      </c>
      <c r="G75" t="s">
        <v>1759</v>
      </c>
      <c r="H75" t="s">
        <v>1760</v>
      </c>
      <c r="I75" t="s">
        <v>1609</v>
      </c>
      <c r="J75" t="s">
        <v>148</v>
      </c>
      <c r="K75" t="s">
        <v>1635</v>
      </c>
      <c r="L75" t="s">
        <v>148</v>
      </c>
      <c r="M75" t="s">
        <v>1636</v>
      </c>
      <c r="N75" t="s">
        <v>1611</v>
      </c>
      <c r="O75" t="s">
        <v>1604</v>
      </c>
      <c r="P75" t="s">
        <v>2065</v>
      </c>
      <c r="Q75" t="s">
        <v>1827</v>
      </c>
      <c r="R75" t="s">
        <v>2066</v>
      </c>
      <c r="S75" t="s">
        <v>1654</v>
      </c>
      <c r="T75" t="s">
        <v>1765</v>
      </c>
      <c r="U75" t="s">
        <v>1604</v>
      </c>
      <c r="V75" t="s">
        <v>148</v>
      </c>
      <c r="W75" t="s">
        <v>148</v>
      </c>
      <c r="X75" t="s">
        <v>2067</v>
      </c>
      <c r="Y75" t="s">
        <v>148</v>
      </c>
      <c r="Z75" t="s">
        <v>148</v>
      </c>
      <c r="AA75" t="s">
        <v>2068</v>
      </c>
      <c r="AB75" t="s">
        <v>1604</v>
      </c>
      <c r="AC75" t="s">
        <v>1768</v>
      </c>
      <c r="AD75" t="s">
        <v>148</v>
      </c>
      <c r="AE75" t="s">
        <v>148</v>
      </c>
      <c r="AF75" t="s">
        <v>1769</v>
      </c>
      <c r="AG75" t="s">
        <v>1629</v>
      </c>
      <c r="AH75" t="s">
        <v>2069</v>
      </c>
      <c r="AI75" t="s">
        <v>590</v>
      </c>
      <c r="AJ75" t="s">
        <v>2070</v>
      </c>
    </row>
    <row r="76" spans="1:36" x14ac:dyDescent="0.2">
      <c r="A76" t="s">
        <v>378</v>
      </c>
      <c r="B76" t="s">
        <v>379</v>
      </c>
      <c r="C76" t="s">
        <v>25</v>
      </c>
      <c r="D76" t="s">
        <v>378</v>
      </c>
      <c r="E76" t="str">
        <f>HYPERLINK("/pdf/2024_10_1587_transfun_2023eap1049_real_time_monitoring_systems_that_provide_m2m_communication_between_machines.pdf","open")</f>
        <v>open</v>
      </c>
      <c r="F76" t="s">
        <v>2071</v>
      </c>
      <c r="G76" t="s">
        <v>2072</v>
      </c>
      <c r="H76" t="s">
        <v>2073</v>
      </c>
      <c r="I76" t="s">
        <v>1604</v>
      </c>
      <c r="J76" t="s">
        <v>1733</v>
      </c>
      <c r="K76" t="s">
        <v>1664</v>
      </c>
      <c r="L76" t="s">
        <v>1609</v>
      </c>
      <c r="M76" t="s">
        <v>148</v>
      </c>
      <c r="N76" t="s">
        <v>148</v>
      </c>
      <c r="O76" t="s">
        <v>148</v>
      </c>
      <c r="P76" t="s">
        <v>148</v>
      </c>
      <c r="Q76" t="s">
        <v>148</v>
      </c>
      <c r="R76" t="s">
        <v>148</v>
      </c>
      <c r="S76" t="s">
        <v>148</v>
      </c>
      <c r="T76" t="s">
        <v>148</v>
      </c>
      <c r="U76" t="s">
        <v>148</v>
      </c>
      <c r="V76" t="s">
        <v>148</v>
      </c>
      <c r="W76" t="s">
        <v>148</v>
      </c>
      <c r="X76" t="s">
        <v>148</v>
      </c>
      <c r="Y76" t="s">
        <v>148</v>
      </c>
      <c r="Z76" t="s">
        <v>148</v>
      </c>
      <c r="AA76" t="s">
        <v>2074</v>
      </c>
      <c r="AB76" t="s">
        <v>1609</v>
      </c>
      <c r="AC76" t="s">
        <v>148</v>
      </c>
      <c r="AD76" t="s">
        <v>1609</v>
      </c>
      <c r="AE76" t="s">
        <v>148</v>
      </c>
      <c r="AF76" t="s">
        <v>2075</v>
      </c>
      <c r="AG76" t="s">
        <v>2076</v>
      </c>
      <c r="AH76" t="s">
        <v>148</v>
      </c>
      <c r="AI76" t="s">
        <v>44</v>
      </c>
      <c r="AJ76" t="s">
        <v>148</v>
      </c>
    </row>
    <row r="77" spans="1:36" x14ac:dyDescent="0.2">
      <c r="A77" t="s">
        <v>382</v>
      </c>
      <c r="B77" t="s">
        <v>383</v>
      </c>
      <c r="C77" t="s">
        <v>48</v>
      </c>
      <c r="D77" t="s">
        <v>385</v>
      </c>
      <c r="E77" t="str">
        <f>HYPERLINK("/pdf/2026_10_37394_23209_2026_23_6_intrusion_detection_system_iids.pdf","open")</f>
        <v>open</v>
      </c>
      <c r="F77" t="s">
        <v>1606</v>
      </c>
      <c r="G77" t="s">
        <v>2077</v>
      </c>
      <c r="H77" t="s">
        <v>2078</v>
      </c>
      <c r="I77" t="s">
        <v>1609</v>
      </c>
      <c r="J77" t="s">
        <v>148</v>
      </c>
      <c r="K77" t="s">
        <v>148</v>
      </c>
      <c r="L77" t="s">
        <v>148</v>
      </c>
      <c r="M77" t="s">
        <v>2079</v>
      </c>
      <c r="N77" t="s">
        <v>1611</v>
      </c>
      <c r="O77" t="s">
        <v>1604</v>
      </c>
      <c r="P77" t="s">
        <v>2080</v>
      </c>
      <c r="Q77" t="s">
        <v>2081</v>
      </c>
      <c r="R77" t="s">
        <v>2082</v>
      </c>
      <c r="S77" t="s">
        <v>1655</v>
      </c>
      <c r="T77" t="s">
        <v>1783</v>
      </c>
      <c r="U77" t="s">
        <v>1609</v>
      </c>
      <c r="V77" t="s">
        <v>1609</v>
      </c>
      <c r="W77" t="s">
        <v>1604</v>
      </c>
      <c r="X77" t="s">
        <v>2083</v>
      </c>
      <c r="Y77" t="s">
        <v>148</v>
      </c>
      <c r="Z77" t="s">
        <v>148</v>
      </c>
      <c r="AA77" t="s">
        <v>2084</v>
      </c>
      <c r="AB77" t="s">
        <v>1604</v>
      </c>
      <c r="AC77" t="s">
        <v>2085</v>
      </c>
      <c r="AD77" t="s">
        <v>148</v>
      </c>
      <c r="AE77" t="s">
        <v>148</v>
      </c>
      <c r="AF77" t="s">
        <v>2086</v>
      </c>
      <c r="AG77" t="s">
        <v>1614</v>
      </c>
      <c r="AH77" t="s">
        <v>2087</v>
      </c>
      <c r="AI77" t="s">
        <v>2088</v>
      </c>
      <c r="AJ77" t="s">
        <v>2089</v>
      </c>
    </row>
    <row r="78" spans="1:36" x14ac:dyDescent="0.2">
      <c r="A78" t="s">
        <v>387</v>
      </c>
      <c r="B78" t="s">
        <v>388</v>
      </c>
      <c r="C78" t="s">
        <v>25</v>
      </c>
      <c r="D78" t="s">
        <v>390</v>
      </c>
      <c r="E78" t="str">
        <f>HYPERLINK("/pdf/2023_10_3390_fi15090296_fredy_federated_resilience_enhanced_with_differential_privacy.pdf","open")</f>
        <v>open</v>
      </c>
      <c r="F78" t="s">
        <v>1606</v>
      </c>
      <c r="G78" t="s">
        <v>1602</v>
      </c>
      <c r="H78" t="s">
        <v>2090</v>
      </c>
      <c r="I78" t="s">
        <v>1609</v>
      </c>
      <c r="J78" t="s">
        <v>148</v>
      </c>
      <c r="K78" t="s">
        <v>148</v>
      </c>
      <c r="L78" t="s">
        <v>148</v>
      </c>
      <c r="M78" t="s">
        <v>1871</v>
      </c>
      <c r="N78" t="s">
        <v>1611</v>
      </c>
      <c r="O78" t="s">
        <v>1604</v>
      </c>
      <c r="P78" t="s">
        <v>2091</v>
      </c>
      <c r="Q78" t="s">
        <v>2092</v>
      </c>
      <c r="R78" t="s">
        <v>2093</v>
      </c>
      <c r="S78" t="s">
        <v>1655</v>
      </c>
      <c r="T78" t="s">
        <v>1750</v>
      </c>
      <c r="U78" t="s">
        <v>1609</v>
      </c>
      <c r="V78" t="s">
        <v>148</v>
      </c>
      <c r="W78" t="s">
        <v>148</v>
      </c>
      <c r="X78" t="s">
        <v>2094</v>
      </c>
      <c r="Y78" t="s">
        <v>148</v>
      </c>
      <c r="Z78" t="s">
        <v>148</v>
      </c>
      <c r="AA78" t="s">
        <v>2095</v>
      </c>
      <c r="AB78" t="s">
        <v>1604</v>
      </c>
      <c r="AC78" t="s">
        <v>2096</v>
      </c>
      <c r="AD78" t="s">
        <v>148</v>
      </c>
      <c r="AE78" t="s">
        <v>148</v>
      </c>
      <c r="AF78" t="s">
        <v>1613</v>
      </c>
      <c r="AG78" t="s">
        <v>1614</v>
      </c>
      <c r="AH78" t="s">
        <v>2097</v>
      </c>
      <c r="AI78" t="s">
        <v>590</v>
      </c>
      <c r="AJ78" t="s">
        <v>2098</v>
      </c>
    </row>
    <row r="79" spans="1:36" x14ac:dyDescent="0.2">
      <c r="A79" t="s">
        <v>392</v>
      </c>
      <c r="B79" t="s">
        <v>393</v>
      </c>
      <c r="C79" t="s">
        <v>19</v>
      </c>
      <c r="D79" t="s">
        <v>395</v>
      </c>
      <c r="E79" t="str">
        <f>HYPERLINK("/pdf/2025_10.1109_isctt66403.2025.11137906_Distributed_Network_Intrusion_Detection_Model_Based_on_Multi-Feature_Fusion_Generative_Adversarial_Network_and.pdf","open")</f>
        <v>open</v>
      </c>
      <c r="F79" t="s">
        <v>1607</v>
      </c>
      <c r="G79" t="s">
        <v>1607</v>
      </c>
      <c r="H79" t="s">
        <v>2099</v>
      </c>
      <c r="I79" t="s">
        <v>148</v>
      </c>
      <c r="J79" t="s">
        <v>148</v>
      </c>
      <c r="K79" t="s">
        <v>148</v>
      </c>
      <c r="L79" t="s">
        <v>148</v>
      </c>
      <c r="M79" t="s">
        <v>2100</v>
      </c>
      <c r="N79" t="s">
        <v>1611</v>
      </c>
      <c r="O79" t="s">
        <v>148</v>
      </c>
      <c r="P79" t="s">
        <v>148</v>
      </c>
      <c r="Q79" t="s">
        <v>148</v>
      </c>
      <c r="R79" t="s">
        <v>148</v>
      </c>
      <c r="S79" t="s">
        <v>148</v>
      </c>
      <c r="T79" t="s">
        <v>148</v>
      </c>
      <c r="U79" t="s">
        <v>148</v>
      </c>
      <c r="V79" t="s">
        <v>148</v>
      </c>
      <c r="W79" t="s">
        <v>148</v>
      </c>
      <c r="X79" t="s">
        <v>2101</v>
      </c>
      <c r="Y79" t="s">
        <v>148</v>
      </c>
      <c r="Z79" t="s">
        <v>148</v>
      </c>
      <c r="AA79" t="s">
        <v>2102</v>
      </c>
      <c r="AB79" t="s">
        <v>1604</v>
      </c>
      <c r="AC79" t="s">
        <v>148</v>
      </c>
      <c r="AD79" t="s">
        <v>148</v>
      </c>
      <c r="AE79" t="s">
        <v>148</v>
      </c>
      <c r="AF79" t="s">
        <v>2103</v>
      </c>
      <c r="AG79" t="s">
        <v>1614</v>
      </c>
      <c r="AH79" t="s">
        <v>2104</v>
      </c>
      <c r="AI79" t="s">
        <v>44</v>
      </c>
      <c r="AJ79" t="s">
        <v>2105</v>
      </c>
    </row>
    <row r="80" spans="1:36" x14ac:dyDescent="0.2">
      <c r="A80" t="s">
        <v>397</v>
      </c>
      <c r="B80" t="s">
        <v>398</v>
      </c>
      <c r="C80" t="s">
        <v>25</v>
      </c>
      <c r="D80" t="s">
        <v>400</v>
      </c>
      <c r="E80" t="str">
        <f>HYPERLINK("/pdf/2023_10_3390_en16134838_a_review_of_cybersecurity_concerns_for_transactive_energy_markets.pdf","open")</f>
        <v>open</v>
      </c>
      <c r="F80" t="s">
        <v>1643</v>
      </c>
      <c r="G80" t="s">
        <v>1643</v>
      </c>
      <c r="H80" t="s">
        <v>148</v>
      </c>
      <c r="I80" t="s">
        <v>1609</v>
      </c>
      <c r="J80" t="s">
        <v>148</v>
      </c>
      <c r="K80" t="s">
        <v>148</v>
      </c>
      <c r="L80" t="s">
        <v>148</v>
      </c>
      <c r="M80" t="s">
        <v>148</v>
      </c>
      <c r="N80" t="s">
        <v>148</v>
      </c>
      <c r="O80" t="s">
        <v>148</v>
      </c>
      <c r="P80" t="s">
        <v>148</v>
      </c>
      <c r="Q80" t="s">
        <v>148</v>
      </c>
      <c r="R80" t="s">
        <v>148</v>
      </c>
      <c r="S80" t="s">
        <v>148</v>
      </c>
      <c r="T80" t="s">
        <v>148</v>
      </c>
      <c r="U80" t="s">
        <v>148</v>
      </c>
      <c r="V80" t="s">
        <v>148</v>
      </c>
      <c r="W80" t="s">
        <v>148</v>
      </c>
      <c r="X80" t="s">
        <v>148</v>
      </c>
      <c r="Y80" t="s">
        <v>148</v>
      </c>
      <c r="Z80" t="s">
        <v>148</v>
      </c>
      <c r="AA80" t="s">
        <v>148</v>
      </c>
      <c r="AB80" t="s">
        <v>148</v>
      </c>
      <c r="AC80" t="s">
        <v>148</v>
      </c>
      <c r="AD80" t="s">
        <v>148</v>
      </c>
      <c r="AE80" t="s">
        <v>148</v>
      </c>
      <c r="AF80" t="s">
        <v>148</v>
      </c>
      <c r="AG80" t="s">
        <v>148</v>
      </c>
      <c r="AH80" t="s">
        <v>148</v>
      </c>
      <c r="AI80" t="s">
        <v>148</v>
      </c>
      <c r="AJ80" t="s">
        <v>148</v>
      </c>
    </row>
    <row r="81" spans="1:36" x14ac:dyDescent="0.2">
      <c r="A81" t="s">
        <v>402</v>
      </c>
      <c r="B81" t="s">
        <v>403</v>
      </c>
      <c r="C81" t="s">
        <v>136</v>
      </c>
      <c r="D81" t="s">
        <v>405</v>
      </c>
      <c r="E81" t="str">
        <f>HYPERLINK("/pdf/2019_10_1109_compsac_2019_00118_ctrl_alt_led_leaking_data_from_air_gapped_computers_via_keyboard_leds.pdf","open")</f>
        <v>open</v>
      </c>
      <c r="F81" t="s">
        <v>1602</v>
      </c>
      <c r="G81" t="s">
        <v>1691</v>
      </c>
      <c r="H81" t="s">
        <v>2106</v>
      </c>
      <c r="I81" t="s">
        <v>1609</v>
      </c>
      <c r="J81" t="s">
        <v>148</v>
      </c>
      <c r="K81" t="s">
        <v>148</v>
      </c>
      <c r="L81" t="s">
        <v>148</v>
      </c>
      <c r="M81" t="s">
        <v>148</v>
      </c>
      <c r="N81" t="s">
        <v>148</v>
      </c>
      <c r="O81" t="s">
        <v>148</v>
      </c>
      <c r="P81" t="s">
        <v>148</v>
      </c>
      <c r="Q81" t="s">
        <v>148</v>
      </c>
      <c r="R81" t="s">
        <v>148</v>
      </c>
      <c r="S81" t="s">
        <v>148</v>
      </c>
      <c r="T81" t="s">
        <v>148</v>
      </c>
      <c r="U81" t="s">
        <v>148</v>
      </c>
      <c r="V81" t="s">
        <v>148</v>
      </c>
      <c r="W81" t="s">
        <v>148</v>
      </c>
      <c r="X81" t="s">
        <v>148</v>
      </c>
      <c r="Y81" t="s">
        <v>148</v>
      </c>
      <c r="Z81" t="s">
        <v>148</v>
      </c>
      <c r="AA81" t="s">
        <v>2107</v>
      </c>
      <c r="AB81" t="s">
        <v>1609</v>
      </c>
      <c r="AC81" t="s">
        <v>148</v>
      </c>
      <c r="AD81" t="s">
        <v>148</v>
      </c>
      <c r="AE81" t="s">
        <v>148</v>
      </c>
      <c r="AF81" t="s">
        <v>2108</v>
      </c>
      <c r="AG81" t="s">
        <v>2109</v>
      </c>
      <c r="AH81" t="s">
        <v>148</v>
      </c>
      <c r="AI81" t="s">
        <v>2110</v>
      </c>
      <c r="AJ81" t="s">
        <v>2111</v>
      </c>
    </row>
    <row r="82" spans="1:36" x14ac:dyDescent="0.2">
      <c r="A82" t="s">
        <v>407</v>
      </c>
      <c r="B82" t="s">
        <v>408</v>
      </c>
      <c r="C82" t="s">
        <v>12</v>
      </c>
      <c r="D82" t="s">
        <v>410</v>
      </c>
      <c r="E82" t="str">
        <f>HYPERLINK("/pdf/2018_10.1109_iccnc.2018.8390242_Don't_Be_Surprised__I_See_Your_Mobile_App_Stealing_Your_Data.pdf","open")</f>
        <v>open</v>
      </c>
      <c r="F82" t="s">
        <v>1618</v>
      </c>
      <c r="G82" t="s">
        <v>1651</v>
      </c>
      <c r="H82" t="s">
        <v>2112</v>
      </c>
      <c r="I82" t="s">
        <v>1604</v>
      </c>
      <c r="J82" t="s">
        <v>2113</v>
      </c>
      <c r="K82" t="s">
        <v>1653</v>
      </c>
      <c r="L82" t="s">
        <v>1609</v>
      </c>
      <c r="M82" t="s">
        <v>2114</v>
      </c>
      <c r="N82" t="s">
        <v>1611</v>
      </c>
      <c r="O82" t="s">
        <v>148</v>
      </c>
      <c r="P82" t="s">
        <v>148</v>
      </c>
      <c r="Q82" t="s">
        <v>148</v>
      </c>
      <c r="R82" t="s">
        <v>148</v>
      </c>
      <c r="S82" t="s">
        <v>148</v>
      </c>
      <c r="T82" t="s">
        <v>148</v>
      </c>
      <c r="U82" t="s">
        <v>148</v>
      </c>
      <c r="V82" t="s">
        <v>148</v>
      </c>
      <c r="W82" t="s">
        <v>148</v>
      </c>
      <c r="X82" t="s">
        <v>148</v>
      </c>
      <c r="Y82" t="s">
        <v>148</v>
      </c>
      <c r="Z82" t="s">
        <v>148</v>
      </c>
      <c r="AA82" t="s">
        <v>2115</v>
      </c>
      <c r="AB82" t="s">
        <v>1604</v>
      </c>
      <c r="AC82" t="s">
        <v>148</v>
      </c>
      <c r="AD82" t="s">
        <v>1604</v>
      </c>
      <c r="AE82" t="s">
        <v>148</v>
      </c>
      <c r="AF82" t="s">
        <v>2116</v>
      </c>
      <c r="AG82" t="s">
        <v>148</v>
      </c>
      <c r="AH82" t="s">
        <v>2117</v>
      </c>
      <c r="AI82" t="s">
        <v>590</v>
      </c>
      <c r="AJ82" t="s">
        <v>148</v>
      </c>
    </row>
    <row r="83" spans="1:36" x14ac:dyDescent="0.2">
      <c r="A83" t="s">
        <v>412</v>
      </c>
      <c r="B83" t="s">
        <v>11</v>
      </c>
      <c r="C83" t="s">
        <v>12</v>
      </c>
      <c r="D83" t="s">
        <v>14</v>
      </c>
      <c r="E83" t="str">
        <f>HYPERLINK("/pdf/2018_10_1007_978_1_4842_3700_7_defending_iot_infrastructures_with_the_raspberry_pi_monitoring_and_detecting_nefarious_be.pdf","open")</f>
        <v>open</v>
      </c>
      <c r="F83" t="s">
        <v>1602</v>
      </c>
      <c r="G83" t="s">
        <v>1602</v>
      </c>
      <c r="H83" t="s">
        <v>2118</v>
      </c>
      <c r="I83" t="s">
        <v>148</v>
      </c>
      <c r="J83" t="s">
        <v>148</v>
      </c>
      <c r="K83" t="s">
        <v>148</v>
      </c>
      <c r="L83" t="s">
        <v>148</v>
      </c>
      <c r="M83" t="s">
        <v>148</v>
      </c>
      <c r="N83" t="s">
        <v>148</v>
      </c>
      <c r="O83" t="s">
        <v>148</v>
      </c>
      <c r="P83" t="s">
        <v>148</v>
      </c>
      <c r="Q83" t="s">
        <v>148</v>
      </c>
      <c r="R83" t="s">
        <v>148</v>
      </c>
      <c r="S83" t="s">
        <v>148</v>
      </c>
      <c r="T83" t="s">
        <v>148</v>
      </c>
      <c r="U83" t="s">
        <v>148</v>
      </c>
      <c r="V83" t="s">
        <v>148</v>
      </c>
      <c r="W83" t="s">
        <v>148</v>
      </c>
      <c r="X83" t="s">
        <v>148</v>
      </c>
      <c r="Y83" t="s">
        <v>148</v>
      </c>
      <c r="Z83" t="s">
        <v>148</v>
      </c>
      <c r="AA83" t="s">
        <v>2119</v>
      </c>
      <c r="AB83" t="s">
        <v>148</v>
      </c>
      <c r="AC83" t="s">
        <v>148</v>
      </c>
      <c r="AD83" t="s">
        <v>2120</v>
      </c>
      <c r="AE83" t="s">
        <v>2121</v>
      </c>
      <c r="AF83" t="s">
        <v>148</v>
      </c>
      <c r="AG83" t="s">
        <v>148</v>
      </c>
      <c r="AH83" t="s">
        <v>148</v>
      </c>
      <c r="AI83" t="s">
        <v>2122</v>
      </c>
      <c r="AJ83" t="s">
        <v>148</v>
      </c>
    </row>
    <row r="84" spans="1:36" x14ac:dyDescent="0.2">
      <c r="A84" t="s">
        <v>415</v>
      </c>
      <c r="B84" t="s">
        <v>416</v>
      </c>
      <c r="C84" t="s">
        <v>19</v>
      </c>
      <c r="D84" t="s">
        <v>418</v>
      </c>
      <c r="E84" t="str">
        <f>HYPERLINK("/pdf/2025_10.1007_s10586-025-05591-8_RF-FedAvg__Federated_learning-based_random_forest_model_for_intrusion_detection_in_wireless_sensor_networks.pdf","open")</f>
        <v>open</v>
      </c>
      <c r="F84" t="s">
        <v>1606</v>
      </c>
      <c r="G84" t="s">
        <v>1607</v>
      </c>
      <c r="H84" t="s">
        <v>2123</v>
      </c>
      <c r="I84" t="s">
        <v>1609</v>
      </c>
      <c r="J84" t="s">
        <v>148</v>
      </c>
      <c r="K84" t="s">
        <v>148</v>
      </c>
      <c r="L84" t="s">
        <v>148</v>
      </c>
      <c r="M84" t="s">
        <v>1871</v>
      </c>
      <c r="N84" t="s">
        <v>1611</v>
      </c>
      <c r="O84" t="s">
        <v>1604</v>
      </c>
      <c r="P84" t="s">
        <v>148</v>
      </c>
      <c r="Q84" t="s">
        <v>148</v>
      </c>
      <c r="R84" t="s">
        <v>2124</v>
      </c>
      <c r="S84" t="s">
        <v>1655</v>
      </c>
      <c r="T84" t="s">
        <v>2125</v>
      </c>
      <c r="U84" t="s">
        <v>1609</v>
      </c>
      <c r="V84" t="s">
        <v>1609</v>
      </c>
      <c r="W84" t="s">
        <v>148</v>
      </c>
      <c r="X84" t="s">
        <v>2126</v>
      </c>
      <c r="Y84" t="s">
        <v>148</v>
      </c>
      <c r="Z84" t="s">
        <v>148</v>
      </c>
      <c r="AA84" t="s">
        <v>2127</v>
      </c>
      <c r="AB84" t="s">
        <v>1604</v>
      </c>
      <c r="AC84" t="s">
        <v>2128</v>
      </c>
      <c r="AD84" t="s">
        <v>148</v>
      </c>
      <c r="AE84" t="s">
        <v>148</v>
      </c>
      <c r="AF84" t="s">
        <v>2129</v>
      </c>
      <c r="AG84" t="s">
        <v>1614</v>
      </c>
      <c r="AH84" t="s">
        <v>2130</v>
      </c>
      <c r="AI84" t="s">
        <v>590</v>
      </c>
      <c r="AJ84" t="s">
        <v>2131</v>
      </c>
    </row>
    <row r="85" spans="1:36" x14ac:dyDescent="0.2">
      <c r="A85" t="s">
        <v>420</v>
      </c>
      <c r="B85" t="s">
        <v>421</v>
      </c>
      <c r="C85" t="s">
        <v>19</v>
      </c>
      <c r="D85" t="s">
        <v>423</v>
      </c>
      <c r="E85" t="str">
        <f>HYPERLINK("/pdf/2025_10.1109_tifs.2025.3607271_The_Gradient_Puppeteer__Adversarial_Domination_in_Gradient_Leakage_Attacks_Through_Model_Poisoning.pdf","open")</f>
        <v>open</v>
      </c>
      <c r="F85" t="s">
        <v>1602</v>
      </c>
      <c r="G85" t="s">
        <v>1602</v>
      </c>
      <c r="H85" t="s">
        <v>2132</v>
      </c>
      <c r="I85" t="s">
        <v>1609</v>
      </c>
      <c r="J85" t="s">
        <v>148</v>
      </c>
      <c r="K85" t="s">
        <v>148</v>
      </c>
      <c r="L85" t="s">
        <v>148</v>
      </c>
      <c r="M85" t="s">
        <v>1871</v>
      </c>
      <c r="N85" t="s">
        <v>1611</v>
      </c>
      <c r="O85" t="s">
        <v>1604</v>
      </c>
      <c r="P85" t="s">
        <v>1694</v>
      </c>
      <c r="Q85" t="s">
        <v>148</v>
      </c>
      <c r="R85" t="s">
        <v>2133</v>
      </c>
      <c r="S85" t="s">
        <v>1602</v>
      </c>
      <c r="T85" t="s">
        <v>2134</v>
      </c>
      <c r="U85" t="s">
        <v>148</v>
      </c>
      <c r="V85" t="s">
        <v>148</v>
      </c>
      <c r="W85" t="s">
        <v>148</v>
      </c>
      <c r="X85" t="s">
        <v>2135</v>
      </c>
      <c r="Y85" t="s">
        <v>148</v>
      </c>
      <c r="Z85" t="s">
        <v>148</v>
      </c>
      <c r="AA85" t="s">
        <v>2136</v>
      </c>
      <c r="AB85" t="s">
        <v>1604</v>
      </c>
      <c r="AC85" t="s">
        <v>148</v>
      </c>
      <c r="AD85" t="s">
        <v>148</v>
      </c>
      <c r="AE85" t="s">
        <v>148</v>
      </c>
      <c r="AF85" t="s">
        <v>2137</v>
      </c>
      <c r="AG85" t="s">
        <v>2138</v>
      </c>
      <c r="AH85" t="s">
        <v>2139</v>
      </c>
      <c r="AI85" t="s">
        <v>590</v>
      </c>
      <c r="AJ85" t="s">
        <v>2140</v>
      </c>
    </row>
    <row r="86" spans="1:36" x14ac:dyDescent="0.2">
      <c r="A86" t="s">
        <v>425</v>
      </c>
      <c r="B86" t="s">
        <v>426</v>
      </c>
      <c r="C86" t="s">
        <v>210</v>
      </c>
      <c r="D86" t="s">
        <v>428</v>
      </c>
      <c r="E86" t="str">
        <f>HYPERLINK("/pdf/2015_10.1109_ictc.2015.7354766_Mobile_security_technology_for_smart_devices.pdf","open")</f>
        <v>open</v>
      </c>
      <c r="F86" t="s">
        <v>1618</v>
      </c>
      <c r="G86" t="s">
        <v>1651</v>
      </c>
      <c r="H86" t="s">
        <v>2141</v>
      </c>
      <c r="I86" t="s">
        <v>1609</v>
      </c>
      <c r="J86" t="s">
        <v>148</v>
      </c>
      <c r="K86" t="s">
        <v>148</v>
      </c>
      <c r="L86" t="s">
        <v>148</v>
      </c>
      <c r="M86" t="s">
        <v>148</v>
      </c>
      <c r="N86" t="s">
        <v>148</v>
      </c>
      <c r="O86" t="s">
        <v>148</v>
      </c>
      <c r="P86" t="s">
        <v>148</v>
      </c>
      <c r="Q86" t="s">
        <v>148</v>
      </c>
      <c r="R86" t="s">
        <v>148</v>
      </c>
      <c r="S86" t="s">
        <v>148</v>
      </c>
      <c r="T86" t="s">
        <v>148</v>
      </c>
      <c r="U86" t="s">
        <v>148</v>
      </c>
      <c r="V86" t="s">
        <v>148</v>
      </c>
      <c r="W86" t="s">
        <v>148</v>
      </c>
      <c r="X86" t="s">
        <v>148</v>
      </c>
      <c r="Y86" t="s">
        <v>148</v>
      </c>
      <c r="Z86" t="s">
        <v>148</v>
      </c>
      <c r="AA86" t="s">
        <v>148</v>
      </c>
      <c r="AB86" t="s">
        <v>148</v>
      </c>
      <c r="AC86" t="s">
        <v>148</v>
      </c>
      <c r="AD86" t="s">
        <v>148</v>
      </c>
      <c r="AE86" t="s">
        <v>148</v>
      </c>
      <c r="AF86" t="s">
        <v>2142</v>
      </c>
      <c r="AG86" t="s">
        <v>148</v>
      </c>
      <c r="AH86" t="s">
        <v>2143</v>
      </c>
      <c r="AI86" t="s">
        <v>44</v>
      </c>
      <c r="AJ86" t="s">
        <v>148</v>
      </c>
    </row>
    <row r="87" spans="1:36" x14ac:dyDescent="0.2">
      <c r="A87" t="s">
        <v>430</v>
      </c>
      <c r="B87" t="s">
        <v>431</v>
      </c>
      <c r="C87" t="s">
        <v>60</v>
      </c>
      <c r="D87" t="s">
        <v>433</v>
      </c>
      <c r="E87" t="str">
        <f>HYPERLINK("/pdf/2024_10.1109_icees61253.2024.10776873_A_Comparative_Study_on_the_Impacts_of_Data_Leakage_During_Feature_Selection_using_the_CIC-IoT_2023_Intrusion_D.pdf","open")</f>
        <v>open</v>
      </c>
      <c r="F87" t="s">
        <v>1606</v>
      </c>
      <c r="G87" t="s">
        <v>1607</v>
      </c>
      <c r="H87" t="s">
        <v>2144</v>
      </c>
      <c r="I87" t="s">
        <v>1609</v>
      </c>
      <c r="J87" t="s">
        <v>148</v>
      </c>
      <c r="K87" t="s">
        <v>148</v>
      </c>
      <c r="L87" t="s">
        <v>148</v>
      </c>
      <c r="M87" t="s">
        <v>1636</v>
      </c>
      <c r="N87" t="s">
        <v>148</v>
      </c>
      <c r="O87" t="s">
        <v>1604</v>
      </c>
      <c r="P87" t="s">
        <v>2145</v>
      </c>
      <c r="Q87" t="s">
        <v>2146</v>
      </c>
      <c r="R87" t="s">
        <v>2147</v>
      </c>
      <c r="S87" t="s">
        <v>1655</v>
      </c>
      <c r="T87" t="s">
        <v>1865</v>
      </c>
      <c r="U87" t="s">
        <v>1609</v>
      </c>
      <c r="V87" t="s">
        <v>148</v>
      </c>
      <c r="W87" t="s">
        <v>148</v>
      </c>
      <c r="X87" t="s">
        <v>2148</v>
      </c>
      <c r="Y87" t="s">
        <v>148</v>
      </c>
      <c r="Z87" t="s">
        <v>148</v>
      </c>
      <c r="AA87" t="s">
        <v>2149</v>
      </c>
      <c r="AB87" t="s">
        <v>1604</v>
      </c>
      <c r="AC87" t="s">
        <v>148</v>
      </c>
      <c r="AD87" t="s">
        <v>148</v>
      </c>
      <c r="AE87" t="s">
        <v>148</v>
      </c>
      <c r="AF87" t="s">
        <v>2150</v>
      </c>
      <c r="AG87" t="s">
        <v>1614</v>
      </c>
      <c r="AH87" t="s">
        <v>2151</v>
      </c>
      <c r="AI87" t="s">
        <v>2152</v>
      </c>
      <c r="AJ87" t="s">
        <v>2153</v>
      </c>
    </row>
    <row r="88" spans="1:36" x14ac:dyDescent="0.2">
      <c r="A88" t="s">
        <v>435</v>
      </c>
      <c r="B88" t="s">
        <v>436</v>
      </c>
      <c r="C88" t="s">
        <v>25</v>
      </c>
      <c r="D88" t="s">
        <v>438</v>
      </c>
      <c r="E88" t="str">
        <f>HYPERLINK("/pdf/2023_10.1109_tnet.2022.3215549_Packet_Chunking_for_File_Detection.pdf","open")</f>
        <v>open</v>
      </c>
      <c r="F88" t="s">
        <v>1602</v>
      </c>
      <c r="G88" t="s">
        <v>2154</v>
      </c>
      <c r="H88" t="s">
        <v>2155</v>
      </c>
      <c r="I88" t="s">
        <v>1609</v>
      </c>
      <c r="J88" t="s">
        <v>148</v>
      </c>
      <c r="K88" t="s">
        <v>148</v>
      </c>
      <c r="L88" t="s">
        <v>148</v>
      </c>
      <c r="M88" t="s">
        <v>2156</v>
      </c>
      <c r="N88" t="s">
        <v>148</v>
      </c>
      <c r="O88" t="s">
        <v>148</v>
      </c>
      <c r="P88" t="s">
        <v>148</v>
      </c>
      <c r="Q88" t="s">
        <v>148</v>
      </c>
      <c r="R88" t="s">
        <v>148</v>
      </c>
      <c r="S88" t="s">
        <v>1602</v>
      </c>
      <c r="T88" t="s">
        <v>2157</v>
      </c>
      <c r="U88" t="s">
        <v>2158</v>
      </c>
      <c r="V88" t="s">
        <v>1604</v>
      </c>
      <c r="W88" t="s">
        <v>148</v>
      </c>
      <c r="X88" t="s">
        <v>2159</v>
      </c>
      <c r="Y88" t="s">
        <v>2160</v>
      </c>
      <c r="Z88" t="s">
        <v>2161</v>
      </c>
      <c r="AA88" t="s">
        <v>2162</v>
      </c>
      <c r="AB88" t="s">
        <v>1604</v>
      </c>
      <c r="AC88" t="s">
        <v>148</v>
      </c>
      <c r="AD88" t="s">
        <v>148</v>
      </c>
      <c r="AE88" t="s">
        <v>148</v>
      </c>
      <c r="AF88" t="s">
        <v>2163</v>
      </c>
      <c r="AG88" t="s">
        <v>2164</v>
      </c>
      <c r="AH88" t="s">
        <v>2165</v>
      </c>
      <c r="AI88" t="s">
        <v>2166</v>
      </c>
      <c r="AJ88" t="s">
        <v>2167</v>
      </c>
    </row>
    <row r="89" spans="1:36" x14ac:dyDescent="0.2">
      <c r="A89" t="s">
        <v>440</v>
      </c>
      <c r="B89" t="s">
        <v>441</v>
      </c>
      <c r="C89" t="s">
        <v>54</v>
      </c>
      <c r="D89" t="s">
        <v>443</v>
      </c>
      <c r="E89" t="str">
        <f>HYPERLINK("/pdf/2020_10.1109_tvlsi.2019.2961358_HarTBleed__Using_Hardware_Trojans_for_Data_Leakage_Exploits.pdf","open")</f>
        <v>open</v>
      </c>
      <c r="F89" t="s">
        <v>1602</v>
      </c>
      <c r="G89" t="s">
        <v>1602</v>
      </c>
      <c r="H89" t="s">
        <v>2168</v>
      </c>
      <c r="I89" t="s">
        <v>1609</v>
      </c>
      <c r="J89" t="s">
        <v>148</v>
      </c>
      <c r="K89" t="s">
        <v>148</v>
      </c>
      <c r="L89" t="s">
        <v>148</v>
      </c>
      <c r="M89" t="s">
        <v>148</v>
      </c>
      <c r="N89" t="s">
        <v>148</v>
      </c>
      <c r="O89" t="s">
        <v>148</v>
      </c>
      <c r="P89" t="s">
        <v>148</v>
      </c>
      <c r="Q89" t="s">
        <v>148</v>
      </c>
      <c r="R89" t="s">
        <v>148</v>
      </c>
      <c r="S89" t="s">
        <v>148</v>
      </c>
      <c r="T89" t="s">
        <v>148</v>
      </c>
      <c r="U89" t="s">
        <v>148</v>
      </c>
      <c r="V89" t="s">
        <v>148</v>
      </c>
      <c r="W89" t="s">
        <v>148</v>
      </c>
      <c r="X89" t="s">
        <v>148</v>
      </c>
      <c r="Y89" t="s">
        <v>148</v>
      </c>
      <c r="Z89" t="s">
        <v>148</v>
      </c>
      <c r="AA89" t="s">
        <v>2169</v>
      </c>
      <c r="AB89" t="s">
        <v>1609</v>
      </c>
      <c r="AC89" t="s">
        <v>148</v>
      </c>
      <c r="AD89" t="s">
        <v>148</v>
      </c>
      <c r="AE89" t="s">
        <v>148</v>
      </c>
      <c r="AF89" t="s">
        <v>2170</v>
      </c>
      <c r="AG89" t="s">
        <v>148</v>
      </c>
      <c r="AH89" t="s">
        <v>148</v>
      </c>
      <c r="AI89" t="s">
        <v>2171</v>
      </c>
      <c r="AJ89" t="s">
        <v>148</v>
      </c>
    </row>
    <row r="90" spans="1:36" x14ac:dyDescent="0.2">
      <c r="A90" t="s">
        <v>445</v>
      </c>
      <c r="B90" t="s">
        <v>446</v>
      </c>
      <c r="C90" t="s">
        <v>19</v>
      </c>
      <c r="D90" t="s">
        <v>448</v>
      </c>
      <c r="E90" t="str">
        <f>HYPERLINK("/pdf/2025_10_3991_ijep_v15i4_53127_integration_of_cybersecurity_into_computer_science_teachers_training_a_systematic_review.pdf","open")</f>
        <v>open</v>
      </c>
      <c r="F90" t="s">
        <v>148</v>
      </c>
      <c r="G90" t="s">
        <v>1643</v>
      </c>
      <c r="H90" t="s">
        <v>148</v>
      </c>
      <c r="I90" t="s">
        <v>148</v>
      </c>
      <c r="J90" t="s">
        <v>148</v>
      </c>
      <c r="K90" t="s">
        <v>148</v>
      </c>
      <c r="L90" t="s">
        <v>148</v>
      </c>
      <c r="M90" t="s">
        <v>148</v>
      </c>
      <c r="N90" t="s">
        <v>148</v>
      </c>
      <c r="O90" t="s">
        <v>148</v>
      </c>
      <c r="P90" t="s">
        <v>148</v>
      </c>
      <c r="Q90" t="s">
        <v>148</v>
      </c>
      <c r="R90" t="s">
        <v>148</v>
      </c>
      <c r="S90" t="s">
        <v>148</v>
      </c>
      <c r="T90" t="s">
        <v>148</v>
      </c>
      <c r="U90" t="s">
        <v>148</v>
      </c>
      <c r="V90" t="s">
        <v>148</v>
      </c>
      <c r="W90" t="s">
        <v>148</v>
      </c>
      <c r="X90" t="s">
        <v>148</v>
      </c>
      <c r="Y90" t="s">
        <v>148</v>
      </c>
      <c r="Z90" t="s">
        <v>148</v>
      </c>
      <c r="AA90" t="s">
        <v>148</v>
      </c>
      <c r="AB90" t="s">
        <v>148</v>
      </c>
      <c r="AC90" t="s">
        <v>148</v>
      </c>
      <c r="AD90" t="s">
        <v>148</v>
      </c>
      <c r="AE90" t="s">
        <v>148</v>
      </c>
      <c r="AF90" t="s">
        <v>148</v>
      </c>
      <c r="AG90" t="s">
        <v>148</v>
      </c>
      <c r="AH90" t="s">
        <v>148</v>
      </c>
      <c r="AI90" t="s">
        <v>148</v>
      </c>
      <c r="AJ90" t="s">
        <v>148</v>
      </c>
    </row>
    <row r="91" spans="1:36" x14ac:dyDescent="0.2">
      <c r="A91" t="s">
        <v>450</v>
      </c>
      <c r="B91" t="s">
        <v>451</v>
      </c>
      <c r="C91" t="s">
        <v>19</v>
      </c>
      <c r="D91" t="s">
        <v>453</v>
      </c>
      <c r="E91" t="str">
        <f>HYPERLINK("/pdf/2025_10.1109_iccad66269.2025.11240658_Invited_Paper__2025_ICCAD_CAD_Contest_Problem_A__Hardware_Trojan_Detection_on_Gate-Level_Netlist.pdf","open")</f>
        <v>open</v>
      </c>
      <c r="F91" t="s">
        <v>2071</v>
      </c>
      <c r="G91" t="s">
        <v>1602</v>
      </c>
      <c r="H91" t="s">
        <v>2172</v>
      </c>
      <c r="I91" t="s">
        <v>1604</v>
      </c>
      <c r="J91" t="s">
        <v>1602</v>
      </c>
      <c r="K91" t="s">
        <v>1653</v>
      </c>
      <c r="L91" t="s">
        <v>1609</v>
      </c>
      <c r="M91" t="s">
        <v>148</v>
      </c>
      <c r="N91" t="s">
        <v>148</v>
      </c>
      <c r="O91" t="s">
        <v>148</v>
      </c>
      <c r="P91" t="s">
        <v>148</v>
      </c>
      <c r="Q91" t="s">
        <v>148</v>
      </c>
      <c r="R91" t="s">
        <v>148</v>
      </c>
      <c r="S91" t="s">
        <v>1602</v>
      </c>
      <c r="T91" t="s">
        <v>2173</v>
      </c>
      <c r="U91" t="s">
        <v>1609</v>
      </c>
      <c r="V91" t="s">
        <v>148</v>
      </c>
      <c r="W91" t="s">
        <v>148</v>
      </c>
      <c r="X91" t="s">
        <v>2174</v>
      </c>
      <c r="Y91" t="s">
        <v>148</v>
      </c>
      <c r="Z91" t="s">
        <v>148</v>
      </c>
      <c r="AA91" t="s">
        <v>2175</v>
      </c>
      <c r="AB91" t="s">
        <v>1604</v>
      </c>
      <c r="AC91" t="s">
        <v>2176</v>
      </c>
      <c r="AD91" t="s">
        <v>1604</v>
      </c>
      <c r="AE91" t="s">
        <v>2177</v>
      </c>
      <c r="AF91" t="s">
        <v>2178</v>
      </c>
      <c r="AG91" t="s">
        <v>2036</v>
      </c>
      <c r="AH91" t="s">
        <v>148</v>
      </c>
      <c r="AI91" t="s">
        <v>15</v>
      </c>
      <c r="AJ91" t="s">
        <v>2179</v>
      </c>
    </row>
    <row r="92" spans="1:36" x14ac:dyDescent="0.2">
      <c r="A92" t="s">
        <v>455</v>
      </c>
      <c r="B92" t="s">
        <v>456</v>
      </c>
      <c r="C92" t="s">
        <v>136</v>
      </c>
      <c r="D92" t="s">
        <v>148</v>
      </c>
      <c r="E92" t="str">
        <f>HYPERLINK("/pdf/2019_Testing_the_human_backdoor__organizational_response_to_a_phishing_campaign.pdf","open")</f>
        <v>open</v>
      </c>
      <c r="F92" t="s">
        <v>1602</v>
      </c>
      <c r="G92" t="s">
        <v>2180</v>
      </c>
      <c r="H92" t="s">
        <v>2181</v>
      </c>
      <c r="I92" t="s">
        <v>1609</v>
      </c>
      <c r="J92" t="s">
        <v>148</v>
      </c>
      <c r="K92" t="s">
        <v>148</v>
      </c>
      <c r="L92" t="s">
        <v>148</v>
      </c>
      <c r="M92" t="s">
        <v>148</v>
      </c>
      <c r="N92" t="s">
        <v>148</v>
      </c>
      <c r="O92" t="s">
        <v>148</v>
      </c>
      <c r="P92" t="s">
        <v>148</v>
      </c>
      <c r="Q92" t="s">
        <v>148</v>
      </c>
      <c r="R92" t="s">
        <v>148</v>
      </c>
      <c r="S92" t="s">
        <v>148</v>
      </c>
      <c r="T92" t="s">
        <v>148</v>
      </c>
      <c r="U92" t="s">
        <v>148</v>
      </c>
      <c r="V92" t="s">
        <v>148</v>
      </c>
      <c r="W92" t="s">
        <v>148</v>
      </c>
      <c r="X92" t="s">
        <v>148</v>
      </c>
      <c r="Y92" t="s">
        <v>148</v>
      </c>
      <c r="Z92" t="s">
        <v>148</v>
      </c>
      <c r="AA92" t="s">
        <v>2182</v>
      </c>
      <c r="AB92" t="s">
        <v>1609</v>
      </c>
      <c r="AC92" t="s">
        <v>148</v>
      </c>
      <c r="AD92" t="s">
        <v>148</v>
      </c>
      <c r="AE92" t="s">
        <v>148</v>
      </c>
      <c r="AF92" t="s">
        <v>2183</v>
      </c>
      <c r="AG92" t="s">
        <v>2184</v>
      </c>
      <c r="AH92" t="s">
        <v>148</v>
      </c>
      <c r="AI92" t="s">
        <v>2185</v>
      </c>
      <c r="AJ92" t="s">
        <v>2186</v>
      </c>
    </row>
    <row r="93" spans="1:36" x14ac:dyDescent="0.2">
      <c r="A93" t="s">
        <v>459</v>
      </c>
      <c r="B93" t="s">
        <v>460</v>
      </c>
      <c r="C93" t="s">
        <v>156</v>
      </c>
      <c r="D93" t="s">
        <v>148</v>
      </c>
      <c r="E93" t="str">
        <f>HYPERLINK("/pdf/2013_10_15837_ijccc_2013_1_173_managing_information_technology_security_in_the_context_of_cyber_crime_trends.pdf","open")</f>
        <v>open</v>
      </c>
      <c r="F93" t="s">
        <v>1602</v>
      </c>
      <c r="G93" t="s">
        <v>1661</v>
      </c>
      <c r="H93" t="s">
        <v>2187</v>
      </c>
      <c r="I93" t="s">
        <v>1609</v>
      </c>
      <c r="J93" t="s">
        <v>148</v>
      </c>
      <c r="K93" t="s">
        <v>148</v>
      </c>
      <c r="L93" t="s">
        <v>148</v>
      </c>
      <c r="M93" t="s">
        <v>148</v>
      </c>
      <c r="N93" t="s">
        <v>148</v>
      </c>
      <c r="O93" t="s">
        <v>148</v>
      </c>
      <c r="P93" t="s">
        <v>148</v>
      </c>
      <c r="Q93" t="s">
        <v>148</v>
      </c>
      <c r="R93" t="s">
        <v>148</v>
      </c>
      <c r="S93" t="s">
        <v>148</v>
      </c>
      <c r="T93" t="s">
        <v>148</v>
      </c>
      <c r="U93" t="s">
        <v>148</v>
      </c>
      <c r="V93" t="s">
        <v>148</v>
      </c>
      <c r="W93" t="s">
        <v>148</v>
      </c>
      <c r="X93" t="s">
        <v>148</v>
      </c>
      <c r="Y93" t="s">
        <v>148</v>
      </c>
      <c r="Z93" t="s">
        <v>148</v>
      </c>
      <c r="AA93" t="s">
        <v>148</v>
      </c>
      <c r="AB93" t="s">
        <v>148</v>
      </c>
      <c r="AC93" t="s">
        <v>148</v>
      </c>
      <c r="AD93" t="s">
        <v>148</v>
      </c>
      <c r="AE93" t="s">
        <v>148</v>
      </c>
      <c r="AF93" t="s">
        <v>148</v>
      </c>
      <c r="AG93" t="s">
        <v>148</v>
      </c>
      <c r="AH93" t="s">
        <v>148</v>
      </c>
      <c r="AI93" t="s">
        <v>148</v>
      </c>
      <c r="AJ93" t="s">
        <v>148</v>
      </c>
    </row>
    <row r="94" spans="1:36" x14ac:dyDescent="0.2">
      <c r="A94" t="s">
        <v>463</v>
      </c>
      <c r="B94" t="s">
        <v>464</v>
      </c>
      <c r="C94" t="s">
        <v>25</v>
      </c>
      <c r="D94" t="s">
        <v>466</v>
      </c>
      <c r="E94" t="str">
        <f>HYPERLINK("/pdf/2023_10.1109_cymaen57228.2023.10050996_Robotic_Process_Automation_and_Intelligent_Automation_Security_Challenges__A_Review.pdf","open")</f>
        <v>open</v>
      </c>
      <c r="F94" t="s">
        <v>1602</v>
      </c>
      <c r="G94" t="s">
        <v>1602</v>
      </c>
      <c r="H94" t="s">
        <v>2188</v>
      </c>
      <c r="I94" t="s">
        <v>148</v>
      </c>
      <c r="J94" t="s">
        <v>148</v>
      </c>
      <c r="K94" t="s">
        <v>148</v>
      </c>
      <c r="L94" t="s">
        <v>148</v>
      </c>
      <c r="M94" t="s">
        <v>148</v>
      </c>
      <c r="N94" t="s">
        <v>148</v>
      </c>
      <c r="O94" t="s">
        <v>148</v>
      </c>
      <c r="P94" t="s">
        <v>148</v>
      </c>
      <c r="Q94" t="s">
        <v>148</v>
      </c>
      <c r="R94" t="s">
        <v>148</v>
      </c>
      <c r="S94" t="s">
        <v>148</v>
      </c>
      <c r="T94" t="s">
        <v>148</v>
      </c>
      <c r="U94" t="s">
        <v>148</v>
      </c>
      <c r="V94" t="s">
        <v>148</v>
      </c>
      <c r="W94" t="s">
        <v>148</v>
      </c>
      <c r="X94" t="s">
        <v>148</v>
      </c>
      <c r="Y94" t="s">
        <v>148</v>
      </c>
      <c r="Z94" t="s">
        <v>148</v>
      </c>
      <c r="AA94" t="s">
        <v>148</v>
      </c>
      <c r="AB94" t="s">
        <v>148</v>
      </c>
      <c r="AC94" t="s">
        <v>148</v>
      </c>
      <c r="AD94" t="s">
        <v>148</v>
      </c>
      <c r="AE94" t="s">
        <v>148</v>
      </c>
      <c r="AF94" t="s">
        <v>148</v>
      </c>
      <c r="AG94" t="s">
        <v>148</v>
      </c>
      <c r="AH94" t="s">
        <v>148</v>
      </c>
      <c r="AI94" t="s">
        <v>148</v>
      </c>
      <c r="AJ94" t="s">
        <v>148</v>
      </c>
    </row>
    <row r="95" spans="1:36" x14ac:dyDescent="0.2">
      <c r="A95" t="s">
        <v>468</v>
      </c>
      <c r="B95" t="s">
        <v>469</v>
      </c>
      <c r="C95" t="s">
        <v>100</v>
      </c>
      <c r="D95" t="s">
        <v>471</v>
      </c>
      <c r="E95" t="str">
        <f>HYPERLINK("/pdf/2022_10.1109_globecom48099.2022.10001017_Intelligent_Ensemble_based_System_for_Rare_Attacks_Dectection_in_IoT_Networks.pdf","open")</f>
        <v>open</v>
      </c>
      <c r="F95" t="s">
        <v>1607</v>
      </c>
      <c r="G95" t="s">
        <v>2189</v>
      </c>
      <c r="H95" t="s">
        <v>2190</v>
      </c>
      <c r="I95" t="s">
        <v>1609</v>
      </c>
      <c r="J95" t="s">
        <v>148</v>
      </c>
      <c r="K95" t="s">
        <v>148</v>
      </c>
      <c r="L95" t="s">
        <v>148</v>
      </c>
      <c r="M95" t="s">
        <v>1636</v>
      </c>
      <c r="N95" t="s">
        <v>1611</v>
      </c>
      <c r="O95" t="s">
        <v>148</v>
      </c>
      <c r="P95" t="s">
        <v>148</v>
      </c>
      <c r="Q95" t="s">
        <v>148</v>
      </c>
      <c r="R95" t="s">
        <v>148</v>
      </c>
      <c r="S95" t="s">
        <v>2191</v>
      </c>
      <c r="T95" t="s">
        <v>1783</v>
      </c>
      <c r="U95" t="s">
        <v>1609</v>
      </c>
      <c r="V95" t="s">
        <v>1609</v>
      </c>
      <c r="W95" t="s">
        <v>148</v>
      </c>
      <c r="X95" t="s">
        <v>2192</v>
      </c>
      <c r="Y95" t="s">
        <v>148</v>
      </c>
      <c r="Z95" t="s">
        <v>148</v>
      </c>
      <c r="AA95" t="s">
        <v>1776</v>
      </c>
      <c r="AB95" t="s">
        <v>1604</v>
      </c>
      <c r="AC95" t="s">
        <v>2193</v>
      </c>
      <c r="AD95" t="s">
        <v>148</v>
      </c>
      <c r="AE95" t="s">
        <v>148</v>
      </c>
      <c r="AF95" t="s">
        <v>2194</v>
      </c>
      <c r="AG95" t="s">
        <v>2195</v>
      </c>
      <c r="AH95" t="s">
        <v>2196</v>
      </c>
      <c r="AI95" t="s">
        <v>590</v>
      </c>
      <c r="AJ95" t="s">
        <v>2197</v>
      </c>
    </row>
    <row r="96" spans="1:36" x14ac:dyDescent="0.2">
      <c r="A96" t="s">
        <v>473</v>
      </c>
      <c r="B96" t="s">
        <v>474</v>
      </c>
      <c r="C96" t="s">
        <v>36</v>
      </c>
      <c r="D96" t="s">
        <v>476</v>
      </c>
      <c r="E96" t="str">
        <f>HYPERLINK("/pdf/2022_10.1109_hpcc-dss-smartcity-dependsys53884.2021.00090_Detecting_Data_Leakage_in_DNS_Traffic_based_on_Time_Series_Anomaly_Detection.pdf","open")</f>
        <v>open</v>
      </c>
      <c r="F96" t="s">
        <v>1618</v>
      </c>
      <c r="G96" t="s">
        <v>1607</v>
      </c>
      <c r="H96" t="s">
        <v>2198</v>
      </c>
      <c r="I96" t="s">
        <v>1609</v>
      </c>
      <c r="J96" t="s">
        <v>148</v>
      </c>
      <c r="K96" t="s">
        <v>148</v>
      </c>
      <c r="L96" t="s">
        <v>148</v>
      </c>
      <c r="M96" t="s">
        <v>2199</v>
      </c>
      <c r="N96" t="s">
        <v>148</v>
      </c>
      <c r="O96" t="s">
        <v>148</v>
      </c>
      <c r="P96" t="s">
        <v>148</v>
      </c>
      <c r="Q96" t="s">
        <v>148</v>
      </c>
      <c r="R96" t="s">
        <v>148</v>
      </c>
      <c r="S96" t="s">
        <v>1602</v>
      </c>
      <c r="T96" t="s">
        <v>148</v>
      </c>
      <c r="U96" t="s">
        <v>148</v>
      </c>
      <c r="V96" t="s">
        <v>148</v>
      </c>
      <c r="W96" t="s">
        <v>148</v>
      </c>
      <c r="X96" t="s">
        <v>2200</v>
      </c>
      <c r="Y96" t="s">
        <v>148</v>
      </c>
      <c r="Z96" t="s">
        <v>148</v>
      </c>
      <c r="AA96" t="s">
        <v>2201</v>
      </c>
      <c r="AB96" t="s">
        <v>1609</v>
      </c>
      <c r="AC96" t="s">
        <v>148</v>
      </c>
      <c r="AD96" t="s">
        <v>148</v>
      </c>
      <c r="AE96" t="s">
        <v>148</v>
      </c>
      <c r="AF96" t="s">
        <v>2202</v>
      </c>
      <c r="AG96" t="s">
        <v>2203</v>
      </c>
      <c r="AH96" t="s">
        <v>2204</v>
      </c>
      <c r="AI96" t="s">
        <v>44</v>
      </c>
      <c r="AJ96" t="s">
        <v>148</v>
      </c>
    </row>
    <row r="97" spans="1:36" x14ac:dyDescent="0.2">
      <c r="A97" t="s">
        <v>478</v>
      </c>
      <c r="B97" t="s">
        <v>479</v>
      </c>
      <c r="C97" t="s">
        <v>136</v>
      </c>
      <c r="D97" t="s">
        <v>480</v>
      </c>
      <c r="E97" t="str">
        <f>HYPERLINK("/pdf/2019_10.1016_j.jnca.2019.07.006_Using_malware_for_the_greater_good__Mitigating_data_leakage.pdf","open")</f>
        <v>open</v>
      </c>
      <c r="F97" t="s">
        <v>1602</v>
      </c>
      <c r="G97" t="s">
        <v>1602</v>
      </c>
      <c r="H97" t="s">
        <v>2205</v>
      </c>
      <c r="I97" t="s">
        <v>1604</v>
      </c>
      <c r="J97" t="s">
        <v>1602</v>
      </c>
      <c r="K97" t="s">
        <v>1653</v>
      </c>
      <c r="L97" t="s">
        <v>1609</v>
      </c>
      <c r="M97" t="s">
        <v>148</v>
      </c>
      <c r="N97" t="s">
        <v>148</v>
      </c>
      <c r="O97" t="s">
        <v>148</v>
      </c>
      <c r="P97" t="s">
        <v>148</v>
      </c>
      <c r="Q97" t="s">
        <v>148</v>
      </c>
      <c r="R97" t="s">
        <v>148</v>
      </c>
      <c r="S97" t="s">
        <v>148</v>
      </c>
      <c r="T97" t="s">
        <v>148</v>
      </c>
      <c r="U97" t="s">
        <v>148</v>
      </c>
      <c r="V97" t="s">
        <v>148</v>
      </c>
      <c r="W97" t="s">
        <v>148</v>
      </c>
      <c r="X97" t="s">
        <v>1602</v>
      </c>
      <c r="Y97" t="s">
        <v>148</v>
      </c>
      <c r="Z97" t="s">
        <v>148</v>
      </c>
      <c r="AA97" t="s">
        <v>2206</v>
      </c>
      <c r="AB97" t="s">
        <v>1604</v>
      </c>
      <c r="AC97" t="s">
        <v>148</v>
      </c>
      <c r="AD97" t="s">
        <v>148</v>
      </c>
      <c r="AE97" t="s">
        <v>148</v>
      </c>
      <c r="AF97" t="s">
        <v>2207</v>
      </c>
      <c r="AG97" t="s">
        <v>2208</v>
      </c>
      <c r="AH97" t="s">
        <v>2209</v>
      </c>
      <c r="AI97" t="s">
        <v>590</v>
      </c>
      <c r="AJ97" t="s">
        <v>148</v>
      </c>
    </row>
    <row r="98" spans="1:36" x14ac:dyDescent="0.2">
      <c r="A98" t="s">
        <v>482</v>
      </c>
      <c r="B98" t="s">
        <v>483</v>
      </c>
      <c r="C98" t="s">
        <v>363</v>
      </c>
      <c r="D98" t="s">
        <v>482</v>
      </c>
      <c r="E98" t="str">
        <f>HYPERLINK("/pdf/2016_10.1002_sec.1531_DAT_detectors__uncovering_TCP_IP_covert_channels_by_descriptive_analytics.pdf","open")</f>
        <v>open</v>
      </c>
      <c r="F98" t="s">
        <v>1606</v>
      </c>
      <c r="G98" t="s">
        <v>2210</v>
      </c>
      <c r="H98" t="s">
        <v>2211</v>
      </c>
      <c r="I98" t="s">
        <v>1609</v>
      </c>
      <c r="J98" t="s">
        <v>148</v>
      </c>
      <c r="K98" t="s">
        <v>148</v>
      </c>
      <c r="L98" t="s">
        <v>148</v>
      </c>
      <c r="M98" t="s">
        <v>1636</v>
      </c>
      <c r="N98" t="s">
        <v>148</v>
      </c>
      <c r="O98" t="s">
        <v>1609</v>
      </c>
      <c r="P98" t="s">
        <v>1762</v>
      </c>
      <c r="Q98" t="s">
        <v>2212</v>
      </c>
      <c r="R98" t="s">
        <v>148</v>
      </c>
      <c r="S98" t="s">
        <v>148</v>
      </c>
      <c r="T98" t="s">
        <v>148</v>
      </c>
      <c r="U98" t="s">
        <v>148</v>
      </c>
      <c r="V98" t="s">
        <v>148</v>
      </c>
      <c r="W98" t="s">
        <v>148</v>
      </c>
      <c r="X98" t="s">
        <v>2213</v>
      </c>
      <c r="Y98" t="s">
        <v>148</v>
      </c>
      <c r="Z98" t="s">
        <v>148</v>
      </c>
      <c r="AA98" t="s">
        <v>2214</v>
      </c>
      <c r="AB98" t="s">
        <v>1604</v>
      </c>
      <c r="AC98" t="s">
        <v>2215</v>
      </c>
      <c r="AD98" t="s">
        <v>148</v>
      </c>
      <c r="AE98" t="s">
        <v>148</v>
      </c>
      <c r="AF98" t="s">
        <v>2216</v>
      </c>
      <c r="AG98" t="s">
        <v>2217</v>
      </c>
      <c r="AH98" t="s">
        <v>148</v>
      </c>
      <c r="AI98" t="s">
        <v>44</v>
      </c>
      <c r="AJ98" t="s">
        <v>2218</v>
      </c>
    </row>
    <row r="99" spans="1:36" x14ac:dyDescent="0.2">
      <c r="A99" t="s">
        <v>486</v>
      </c>
      <c r="B99" t="s">
        <v>487</v>
      </c>
      <c r="C99" t="s">
        <v>25</v>
      </c>
      <c r="D99" t="s">
        <v>489</v>
      </c>
      <c r="E99" t="str">
        <f>HYPERLINK("/pdf/2023_10.1007_s10207-022-00651-1_Random_resampling_algorithms_for_addressing_the_imbalanced_dataset_classes_in_insider_threat_detection.pdf","open")</f>
        <v>open</v>
      </c>
      <c r="F99" t="s">
        <v>1606</v>
      </c>
      <c r="G99" t="s">
        <v>2219</v>
      </c>
      <c r="H99" t="s">
        <v>2220</v>
      </c>
      <c r="I99" t="s">
        <v>148</v>
      </c>
      <c r="J99" t="s">
        <v>148</v>
      </c>
      <c r="K99" t="s">
        <v>148</v>
      </c>
      <c r="L99" t="s">
        <v>148</v>
      </c>
      <c r="M99" t="s">
        <v>1636</v>
      </c>
      <c r="N99" t="s">
        <v>148</v>
      </c>
      <c r="O99" t="s">
        <v>1604</v>
      </c>
      <c r="P99" t="s">
        <v>2221</v>
      </c>
      <c r="Q99" t="s">
        <v>2222</v>
      </c>
      <c r="R99" t="s">
        <v>2223</v>
      </c>
      <c r="S99" t="s">
        <v>1655</v>
      </c>
      <c r="T99" t="s">
        <v>2224</v>
      </c>
      <c r="U99" t="s">
        <v>1609</v>
      </c>
      <c r="V99" t="s">
        <v>1609</v>
      </c>
      <c r="W99" t="s">
        <v>148</v>
      </c>
      <c r="X99" t="s">
        <v>2225</v>
      </c>
      <c r="Y99" t="s">
        <v>148</v>
      </c>
      <c r="Z99" t="s">
        <v>148</v>
      </c>
      <c r="AA99" t="s">
        <v>2226</v>
      </c>
      <c r="AB99" t="s">
        <v>1604</v>
      </c>
      <c r="AC99" t="s">
        <v>2227</v>
      </c>
      <c r="AD99" t="s">
        <v>148</v>
      </c>
      <c r="AE99" t="s">
        <v>148</v>
      </c>
      <c r="AF99" t="s">
        <v>2228</v>
      </c>
      <c r="AG99" t="s">
        <v>2229</v>
      </c>
      <c r="AH99" t="s">
        <v>2230</v>
      </c>
      <c r="AI99" t="s">
        <v>2231</v>
      </c>
      <c r="AJ99" t="s">
        <v>2232</v>
      </c>
    </row>
    <row r="100" spans="1:36" x14ac:dyDescent="0.2">
      <c r="A100" t="s">
        <v>491</v>
      </c>
      <c r="B100" t="s">
        <v>492</v>
      </c>
      <c r="C100" t="s">
        <v>19</v>
      </c>
      <c r="D100" t="s">
        <v>494</v>
      </c>
      <c r="E100" t="str">
        <f>HYPERLINK("/pdf/2025_10_1038_s41598_025_88856_x_security_verification_framework_for_ndn_access_control.pdf","open")</f>
        <v>open</v>
      </c>
      <c r="F100" t="s">
        <v>1602</v>
      </c>
      <c r="G100" t="s">
        <v>1602</v>
      </c>
      <c r="H100" t="s">
        <v>2233</v>
      </c>
      <c r="I100" t="s">
        <v>148</v>
      </c>
      <c r="J100" t="s">
        <v>1602</v>
      </c>
      <c r="K100" t="s">
        <v>148</v>
      </c>
      <c r="L100" t="s">
        <v>148</v>
      </c>
      <c r="M100" t="s">
        <v>148</v>
      </c>
      <c r="N100" t="s">
        <v>148</v>
      </c>
      <c r="O100" t="s">
        <v>148</v>
      </c>
      <c r="P100" t="s">
        <v>148</v>
      </c>
      <c r="Q100" t="s">
        <v>148</v>
      </c>
      <c r="R100" t="s">
        <v>148</v>
      </c>
      <c r="S100" t="s">
        <v>148</v>
      </c>
      <c r="T100" t="s">
        <v>148</v>
      </c>
      <c r="U100" t="s">
        <v>148</v>
      </c>
      <c r="V100" t="s">
        <v>148</v>
      </c>
      <c r="W100" t="s">
        <v>148</v>
      </c>
      <c r="X100" t="s">
        <v>148</v>
      </c>
      <c r="Y100" t="s">
        <v>148</v>
      </c>
      <c r="Z100" t="s">
        <v>148</v>
      </c>
      <c r="AA100" t="s">
        <v>148</v>
      </c>
      <c r="AB100" t="s">
        <v>148</v>
      </c>
      <c r="AC100" t="s">
        <v>148</v>
      </c>
      <c r="AD100" t="s">
        <v>1604</v>
      </c>
      <c r="AE100" t="s">
        <v>2234</v>
      </c>
      <c r="AF100" t="s">
        <v>1602</v>
      </c>
      <c r="AG100" t="s">
        <v>2235</v>
      </c>
      <c r="AH100" t="s">
        <v>148</v>
      </c>
      <c r="AI100" t="s">
        <v>15</v>
      </c>
      <c r="AJ100" t="s">
        <v>148</v>
      </c>
    </row>
    <row r="101" spans="1:36" x14ac:dyDescent="0.2">
      <c r="A101" t="s">
        <v>496</v>
      </c>
      <c r="B101" t="s">
        <v>497</v>
      </c>
      <c r="C101" t="s">
        <v>12</v>
      </c>
      <c r="D101" t="s">
        <v>148</v>
      </c>
      <c r="E101" t="str">
        <f>HYPERLINK("/pdf/2018_10.1109_ntms.2018.8328709_On_the_detection_and_handling_of_security_incidents_and_perimeter_breaches_-_A_modular_and_flexible_honeytoken.pdf","open")</f>
        <v>open</v>
      </c>
      <c r="F101" t="s">
        <v>1607</v>
      </c>
      <c r="G101" t="s">
        <v>2236</v>
      </c>
      <c r="H101" t="s">
        <v>2237</v>
      </c>
      <c r="I101" t="s">
        <v>1609</v>
      </c>
      <c r="J101" t="s">
        <v>148</v>
      </c>
      <c r="K101" t="s">
        <v>148</v>
      </c>
      <c r="L101" t="s">
        <v>148</v>
      </c>
      <c r="M101" t="s">
        <v>148</v>
      </c>
      <c r="N101" t="s">
        <v>148</v>
      </c>
      <c r="O101" t="s">
        <v>148</v>
      </c>
      <c r="P101" t="s">
        <v>148</v>
      </c>
      <c r="Q101" t="s">
        <v>148</v>
      </c>
      <c r="R101" t="s">
        <v>148</v>
      </c>
      <c r="S101" t="s">
        <v>148</v>
      </c>
      <c r="T101" t="s">
        <v>148</v>
      </c>
      <c r="U101" t="s">
        <v>148</v>
      </c>
      <c r="V101" t="s">
        <v>148</v>
      </c>
      <c r="W101" t="s">
        <v>148</v>
      </c>
      <c r="X101" t="s">
        <v>148</v>
      </c>
      <c r="Y101" t="s">
        <v>148</v>
      </c>
      <c r="Z101" t="s">
        <v>148</v>
      </c>
      <c r="AA101" t="s">
        <v>2238</v>
      </c>
      <c r="AB101" t="s">
        <v>1609</v>
      </c>
      <c r="AC101" t="s">
        <v>148</v>
      </c>
      <c r="AD101" t="s">
        <v>1609</v>
      </c>
      <c r="AE101" t="s">
        <v>148</v>
      </c>
      <c r="AF101" t="s">
        <v>2239</v>
      </c>
      <c r="AG101" t="s">
        <v>2240</v>
      </c>
      <c r="AH101" t="s">
        <v>148</v>
      </c>
      <c r="AI101" t="s">
        <v>2241</v>
      </c>
      <c r="AJ101" t="s">
        <v>148</v>
      </c>
    </row>
    <row r="102" spans="1:36" x14ac:dyDescent="0.2">
      <c r="A102" t="s">
        <v>500</v>
      </c>
      <c r="B102" t="s">
        <v>501</v>
      </c>
      <c r="C102" t="s">
        <v>48</v>
      </c>
      <c r="D102" t="s">
        <v>503</v>
      </c>
      <c r="E102" t="str">
        <f>HYPERLINK("/pdf/2026_10.1007_s10922-026-10034-9_Robust_CNN-Based_Threat_Detection_in_SDN-Enabled_IoT_Networks.pdf","open")</f>
        <v>open</v>
      </c>
      <c r="F102" t="s">
        <v>2242</v>
      </c>
      <c r="G102" t="s">
        <v>1607</v>
      </c>
      <c r="H102" t="s">
        <v>2243</v>
      </c>
      <c r="I102" t="s">
        <v>1609</v>
      </c>
      <c r="J102" t="s">
        <v>148</v>
      </c>
      <c r="K102" t="s">
        <v>148</v>
      </c>
      <c r="L102" t="s">
        <v>148</v>
      </c>
      <c r="M102" t="s">
        <v>1636</v>
      </c>
      <c r="N102" t="s">
        <v>1611</v>
      </c>
      <c r="O102" t="s">
        <v>1604</v>
      </c>
      <c r="P102" t="s">
        <v>1694</v>
      </c>
      <c r="Q102" t="s">
        <v>148</v>
      </c>
      <c r="R102" t="s">
        <v>148</v>
      </c>
      <c r="S102" t="s">
        <v>1655</v>
      </c>
      <c r="T102" t="s">
        <v>2125</v>
      </c>
      <c r="U102" t="s">
        <v>1609</v>
      </c>
      <c r="V102" t="s">
        <v>1609</v>
      </c>
      <c r="W102" t="s">
        <v>148</v>
      </c>
      <c r="X102" t="s">
        <v>2244</v>
      </c>
      <c r="Y102" t="s">
        <v>148</v>
      </c>
      <c r="Z102" t="s">
        <v>148</v>
      </c>
      <c r="AA102" t="s">
        <v>2245</v>
      </c>
      <c r="AB102" t="s">
        <v>1604</v>
      </c>
      <c r="AC102" t="s">
        <v>148</v>
      </c>
      <c r="AD102" t="s">
        <v>148</v>
      </c>
      <c r="AE102" t="s">
        <v>148</v>
      </c>
      <c r="AF102" t="s">
        <v>2246</v>
      </c>
      <c r="AG102" t="s">
        <v>1614</v>
      </c>
      <c r="AH102" t="s">
        <v>2247</v>
      </c>
      <c r="AI102" t="s">
        <v>590</v>
      </c>
      <c r="AJ102" t="s">
        <v>2248</v>
      </c>
    </row>
    <row r="103" spans="1:36" x14ac:dyDescent="0.2">
      <c r="A103" t="s">
        <v>505</v>
      </c>
      <c r="B103" t="s">
        <v>506</v>
      </c>
      <c r="C103" t="s">
        <v>100</v>
      </c>
      <c r="D103" t="s">
        <v>508</v>
      </c>
      <c r="E103" t="str">
        <f>HYPERLINK("/pdf/2022_10.1109_aie57029.2022.00096_AI_in_Blockchain_Towards_Realizing_Cyber_Security.pdf","open")</f>
        <v>open</v>
      </c>
      <c r="F103" t="s">
        <v>1602</v>
      </c>
      <c r="G103" t="s">
        <v>1602</v>
      </c>
      <c r="H103" t="s">
        <v>2249</v>
      </c>
      <c r="I103" t="s">
        <v>148</v>
      </c>
      <c r="J103" t="s">
        <v>1602</v>
      </c>
      <c r="K103" t="s">
        <v>148</v>
      </c>
      <c r="L103" t="s">
        <v>148</v>
      </c>
      <c r="M103" t="s">
        <v>148</v>
      </c>
      <c r="N103" t="s">
        <v>148</v>
      </c>
      <c r="O103" t="s">
        <v>148</v>
      </c>
      <c r="P103" t="s">
        <v>148</v>
      </c>
      <c r="Q103" t="s">
        <v>148</v>
      </c>
      <c r="R103" t="s">
        <v>148</v>
      </c>
      <c r="S103" t="s">
        <v>148</v>
      </c>
      <c r="T103" t="s">
        <v>148</v>
      </c>
      <c r="U103" t="s">
        <v>148</v>
      </c>
      <c r="V103" t="s">
        <v>148</v>
      </c>
      <c r="W103" t="s">
        <v>148</v>
      </c>
      <c r="X103" t="s">
        <v>148</v>
      </c>
      <c r="Y103" t="s">
        <v>148</v>
      </c>
      <c r="Z103" t="s">
        <v>148</v>
      </c>
      <c r="AA103" t="s">
        <v>148</v>
      </c>
      <c r="AB103" t="s">
        <v>148</v>
      </c>
      <c r="AC103" t="s">
        <v>148</v>
      </c>
      <c r="AD103" t="s">
        <v>148</v>
      </c>
      <c r="AE103" t="s">
        <v>148</v>
      </c>
      <c r="AF103" t="s">
        <v>148</v>
      </c>
      <c r="AG103" t="s">
        <v>148</v>
      </c>
      <c r="AH103" t="s">
        <v>148</v>
      </c>
      <c r="AI103" t="s">
        <v>148</v>
      </c>
      <c r="AJ103" t="s">
        <v>148</v>
      </c>
    </row>
    <row r="104" spans="1:36" x14ac:dyDescent="0.2">
      <c r="A104" t="s">
        <v>510</v>
      </c>
      <c r="B104" t="s">
        <v>511</v>
      </c>
      <c r="C104" t="s">
        <v>210</v>
      </c>
      <c r="D104" t="s">
        <v>513</v>
      </c>
      <c r="E104" t="str">
        <f>HYPERLINK("/pdf/2015_10.1109_trustcom.2015.464_Detecting_data_semantic__A_data_leakage_prevention_approach.pdf","open")</f>
        <v>open</v>
      </c>
      <c r="F104" t="s">
        <v>1606</v>
      </c>
      <c r="G104" t="s">
        <v>1602</v>
      </c>
      <c r="H104" t="s">
        <v>2250</v>
      </c>
      <c r="I104" t="s">
        <v>1609</v>
      </c>
      <c r="J104" t="s">
        <v>148</v>
      </c>
      <c r="K104" t="s">
        <v>148</v>
      </c>
      <c r="L104" t="s">
        <v>148</v>
      </c>
      <c r="M104" t="s">
        <v>1636</v>
      </c>
      <c r="N104" t="s">
        <v>1611</v>
      </c>
      <c r="O104" t="s">
        <v>1604</v>
      </c>
      <c r="P104" t="s">
        <v>2251</v>
      </c>
      <c r="Q104" t="s">
        <v>1762</v>
      </c>
      <c r="R104" t="s">
        <v>1602</v>
      </c>
      <c r="S104" t="s">
        <v>1602</v>
      </c>
      <c r="T104" t="s">
        <v>2252</v>
      </c>
      <c r="U104" t="s">
        <v>1609</v>
      </c>
      <c r="V104" t="s">
        <v>1609</v>
      </c>
      <c r="W104" t="s">
        <v>148</v>
      </c>
      <c r="X104" t="s">
        <v>148</v>
      </c>
      <c r="Y104" t="s">
        <v>148</v>
      </c>
      <c r="Z104" t="s">
        <v>148</v>
      </c>
      <c r="AA104" t="s">
        <v>2253</v>
      </c>
      <c r="AB104" t="s">
        <v>1609</v>
      </c>
      <c r="AC104" t="s">
        <v>148</v>
      </c>
      <c r="AD104" t="s">
        <v>148</v>
      </c>
      <c r="AE104" t="s">
        <v>148</v>
      </c>
      <c r="AF104" t="s">
        <v>2254</v>
      </c>
      <c r="AG104" t="s">
        <v>2255</v>
      </c>
      <c r="AH104" t="s">
        <v>2256</v>
      </c>
      <c r="AI104" t="s">
        <v>44</v>
      </c>
      <c r="AJ104" t="s">
        <v>2257</v>
      </c>
    </row>
    <row r="105" spans="1:36" x14ac:dyDescent="0.2">
      <c r="A105" t="s">
        <v>271</v>
      </c>
      <c r="B105" t="s">
        <v>272</v>
      </c>
      <c r="C105" t="s">
        <v>60</v>
      </c>
      <c r="D105" t="s">
        <v>274</v>
      </c>
      <c r="E105" t="str">
        <f>HYPERLINK("/pdf/2024_10_4108_eetsis_5028_determining_intrusion_attacks_against_online_applications_using_cloud_based_data.pdf","open")</f>
        <v>open</v>
      </c>
      <c r="F105" t="s">
        <v>148</v>
      </c>
      <c r="G105" t="s">
        <v>1607</v>
      </c>
      <c r="H105" t="s">
        <v>2258</v>
      </c>
      <c r="I105" t="s">
        <v>1609</v>
      </c>
      <c r="J105" t="s">
        <v>148</v>
      </c>
      <c r="K105" t="s">
        <v>148</v>
      </c>
      <c r="L105" t="s">
        <v>148</v>
      </c>
      <c r="M105" t="s">
        <v>148</v>
      </c>
      <c r="N105" t="s">
        <v>148</v>
      </c>
      <c r="O105" t="s">
        <v>148</v>
      </c>
      <c r="P105" t="s">
        <v>148</v>
      </c>
      <c r="Q105" t="s">
        <v>148</v>
      </c>
      <c r="R105" t="s">
        <v>148</v>
      </c>
      <c r="S105" t="s">
        <v>148</v>
      </c>
      <c r="T105" t="s">
        <v>148</v>
      </c>
      <c r="U105" t="s">
        <v>148</v>
      </c>
      <c r="V105" t="s">
        <v>148</v>
      </c>
      <c r="W105" t="s">
        <v>148</v>
      </c>
      <c r="X105" t="s">
        <v>148</v>
      </c>
      <c r="Y105" t="s">
        <v>148</v>
      </c>
      <c r="Z105" t="s">
        <v>148</v>
      </c>
      <c r="AA105" t="s">
        <v>148</v>
      </c>
      <c r="AB105" t="s">
        <v>148</v>
      </c>
      <c r="AC105" t="s">
        <v>148</v>
      </c>
      <c r="AD105" t="s">
        <v>148</v>
      </c>
      <c r="AE105" t="s">
        <v>148</v>
      </c>
      <c r="AF105" t="s">
        <v>148</v>
      </c>
      <c r="AG105" t="s">
        <v>148</v>
      </c>
      <c r="AH105" t="s">
        <v>148</v>
      </c>
      <c r="AI105" t="s">
        <v>148</v>
      </c>
      <c r="AJ105" t="s">
        <v>148</v>
      </c>
    </row>
    <row r="106" spans="1:36" x14ac:dyDescent="0.2">
      <c r="A106" t="s">
        <v>516</v>
      </c>
      <c r="B106" t="s">
        <v>517</v>
      </c>
      <c r="C106" t="s">
        <v>518</v>
      </c>
      <c r="D106" t="s">
        <v>148</v>
      </c>
      <c r="E106" t="str">
        <f>HYPERLINK("/pdf/2021_Exploring_the_information_security_practices_on_the_smartphone_by_the_postgraduate_students_of_University_of_C.pdf","open")</f>
        <v>open</v>
      </c>
      <c r="F106" t="s">
        <v>1602</v>
      </c>
      <c r="G106" t="s">
        <v>1602</v>
      </c>
      <c r="H106" t="s">
        <v>148</v>
      </c>
      <c r="I106" t="s">
        <v>1609</v>
      </c>
      <c r="J106" t="s">
        <v>148</v>
      </c>
      <c r="K106" t="s">
        <v>148</v>
      </c>
      <c r="L106" t="s">
        <v>148</v>
      </c>
      <c r="M106" t="s">
        <v>148</v>
      </c>
      <c r="N106" t="s">
        <v>148</v>
      </c>
      <c r="O106" t="s">
        <v>148</v>
      </c>
      <c r="P106" t="s">
        <v>148</v>
      </c>
      <c r="Q106" t="s">
        <v>148</v>
      </c>
      <c r="R106" t="s">
        <v>148</v>
      </c>
      <c r="S106" t="s">
        <v>148</v>
      </c>
      <c r="T106" t="s">
        <v>148</v>
      </c>
      <c r="U106" t="s">
        <v>148</v>
      </c>
      <c r="V106" t="s">
        <v>148</v>
      </c>
      <c r="W106" t="s">
        <v>148</v>
      </c>
      <c r="X106" t="s">
        <v>148</v>
      </c>
      <c r="Y106" t="s">
        <v>148</v>
      </c>
      <c r="Z106" t="s">
        <v>148</v>
      </c>
      <c r="AA106" t="s">
        <v>2259</v>
      </c>
      <c r="AB106" t="s">
        <v>1609</v>
      </c>
      <c r="AC106" t="s">
        <v>148</v>
      </c>
      <c r="AD106" t="s">
        <v>1609</v>
      </c>
      <c r="AE106" t="s">
        <v>148</v>
      </c>
      <c r="AF106" t="s">
        <v>2260</v>
      </c>
      <c r="AG106" t="s">
        <v>148</v>
      </c>
      <c r="AH106" t="s">
        <v>148</v>
      </c>
      <c r="AI106" t="s">
        <v>2261</v>
      </c>
      <c r="AJ106" t="s">
        <v>148</v>
      </c>
    </row>
    <row r="107" spans="1:36" x14ac:dyDescent="0.2">
      <c r="A107" t="s">
        <v>521</v>
      </c>
      <c r="B107" t="s">
        <v>522</v>
      </c>
      <c r="C107" t="s">
        <v>25</v>
      </c>
      <c r="D107" t="s">
        <v>524</v>
      </c>
      <c r="E107" t="str">
        <f>HYPERLINK("/pdf/2023_10.1109_pcems58491.2023.10136083_Automated_Detection_of_Hardware_Trojans_using_Power_Side-Channel_Analysis_and_VGG-Net.pdf","open")</f>
        <v>open</v>
      </c>
      <c r="F107" t="s">
        <v>1606</v>
      </c>
      <c r="G107" t="s">
        <v>2262</v>
      </c>
      <c r="H107" t="s">
        <v>2263</v>
      </c>
      <c r="I107" t="s">
        <v>1609</v>
      </c>
      <c r="J107" t="s">
        <v>148</v>
      </c>
      <c r="K107" t="s">
        <v>148</v>
      </c>
      <c r="L107" t="s">
        <v>148</v>
      </c>
      <c r="M107" t="s">
        <v>1636</v>
      </c>
      <c r="N107" t="s">
        <v>148</v>
      </c>
      <c r="O107" t="s">
        <v>148</v>
      </c>
      <c r="P107" t="s">
        <v>148</v>
      </c>
      <c r="Q107" t="s">
        <v>148</v>
      </c>
      <c r="R107" t="s">
        <v>148</v>
      </c>
      <c r="S107" t="s">
        <v>1654</v>
      </c>
      <c r="T107" t="s">
        <v>148</v>
      </c>
      <c r="U107" t="s">
        <v>148</v>
      </c>
      <c r="V107" t="s">
        <v>148</v>
      </c>
      <c r="W107" t="s">
        <v>148</v>
      </c>
      <c r="X107" t="s">
        <v>148</v>
      </c>
      <c r="Y107" t="s">
        <v>148</v>
      </c>
      <c r="Z107" t="s">
        <v>148</v>
      </c>
      <c r="AA107" t="s">
        <v>2264</v>
      </c>
      <c r="AB107" t="s">
        <v>1604</v>
      </c>
      <c r="AC107" t="s">
        <v>2265</v>
      </c>
      <c r="AD107" t="s">
        <v>148</v>
      </c>
      <c r="AE107" t="s">
        <v>148</v>
      </c>
      <c r="AF107" t="s">
        <v>2266</v>
      </c>
      <c r="AG107" t="s">
        <v>1614</v>
      </c>
      <c r="AH107" t="s">
        <v>2267</v>
      </c>
      <c r="AI107" t="s">
        <v>590</v>
      </c>
      <c r="AJ107" t="s">
        <v>148</v>
      </c>
    </row>
    <row r="108" spans="1:36" x14ac:dyDescent="0.2">
      <c r="A108" t="s">
        <v>526</v>
      </c>
      <c r="B108" t="s">
        <v>527</v>
      </c>
      <c r="C108" t="s">
        <v>25</v>
      </c>
      <c r="D108" t="s">
        <v>529</v>
      </c>
      <c r="E108" t="str">
        <f>HYPERLINK("/pdf/2023_10.1109_sin60469.2023.10474998_Exploring_the_Evolving_Landscape_of_API_Security_Challenges_in_the_Healthcare_Industry__A_Comprehensive_Review.pdf","open")</f>
        <v>open</v>
      </c>
      <c r="F108" t="s">
        <v>1643</v>
      </c>
      <c r="G108" t="s">
        <v>2268</v>
      </c>
      <c r="H108" t="s">
        <v>2269</v>
      </c>
      <c r="I108" t="s">
        <v>148</v>
      </c>
      <c r="J108" t="s">
        <v>148</v>
      </c>
      <c r="K108" t="s">
        <v>148</v>
      </c>
      <c r="L108" t="s">
        <v>148</v>
      </c>
      <c r="M108" t="s">
        <v>148</v>
      </c>
      <c r="N108" t="s">
        <v>148</v>
      </c>
      <c r="O108" t="s">
        <v>148</v>
      </c>
      <c r="P108" t="s">
        <v>148</v>
      </c>
      <c r="Q108" t="s">
        <v>148</v>
      </c>
      <c r="R108" t="s">
        <v>148</v>
      </c>
      <c r="S108" t="s">
        <v>148</v>
      </c>
      <c r="T108" t="s">
        <v>148</v>
      </c>
      <c r="U108" t="s">
        <v>148</v>
      </c>
      <c r="V108" t="s">
        <v>148</v>
      </c>
      <c r="W108" t="s">
        <v>148</v>
      </c>
      <c r="X108" t="s">
        <v>148</v>
      </c>
      <c r="Y108" t="s">
        <v>148</v>
      </c>
      <c r="Z108" t="s">
        <v>148</v>
      </c>
      <c r="AA108" t="s">
        <v>148</v>
      </c>
      <c r="AB108" t="s">
        <v>148</v>
      </c>
      <c r="AC108" t="s">
        <v>148</v>
      </c>
      <c r="AD108" t="s">
        <v>148</v>
      </c>
      <c r="AE108" t="s">
        <v>148</v>
      </c>
      <c r="AF108" t="s">
        <v>148</v>
      </c>
      <c r="AG108" t="s">
        <v>148</v>
      </c>
      <c r="AH108" t="s">
        <v>148</v>
      </c>
      <c r="AI108" t="s">
        <v>148</v>
      </c>
      <c r="AJ108" t="s">
        <v>148</v>
      </c>
    </row>
    <row r="109" spans="1:36" x14ac:dyDescent="0.2">
      <c r="A109" t="s">
        <v>531</v>
      </c>
      <c r="B109" t="s">
        <v>532</v>
      </c>
      <c r="C109" t="s">
        <v>156</v>
      </c>
      <c r="D109" t="s">
        <v>148</v>
      </c>
      <c r="E109" t="str">
        <f>HYPERLINK("/pdf/2013_10_1109_icmla_2013_104_streaming_malware_classification_in_the_presence_of_concept_drift_and_class_imbalance.pdf","open")</f>
        <v>open</v>
      </c>
      <c r="F109" t="s">
        <v>1606</v>
      </c>
      <c r="G109" t="s">
        <v>1651</v>
      </c>
      <c r="H109" t="s">
        <v>2270</v>
      </c>
      <c r="I109" t="s">
        <v>1609</v>
      </c>
      <c r="J109" t="s">
        <v>148</v>
      </c>
      <c r="K109" t="s">
        <v>1635</v>
      </c>
      <c r="L109" t="s">
        <v>1609</v>
      </c>
      <c r="M109" t="s">
        <v>2271</v>
      </c>
      <c r="N109" t="s">
        <v>1611</v>
      </c>
      <c r="O109" t="s">
        <v>1604</v>
      </c>
      <c r="P109" t="s">
        <v>2272</v>
      </c>
      <c r="Q109" t="s">
        <v>2273</v>
      </c>
      <c r="R109" t="s">
        <v>2274</v>
      </c>
      <c r="S109" t="s">
        <v>1624</v>
      </c>
      <c r="T109" t="s">
        <v>2275</v>
      </c>
      <c r="U109" t="s">
        <v>1604</v>
      </c>
      <c r="V109" t="s">
        <v>148</v>
      </c>
      <c r="W109" t="s">
        <v>148</v>
      </c>
      <c r="X109" t="s">
        <v>2276</v>
      </c>
      <c r="Y109" t="s">
        <v>148</v>
      </c>
      <c r="Z109" t="s">
        <v>148</v>
      </c>
      <c r="AA109" t="s">
        <v>2277</v>
      </c>
      <c r="AB109" t="s">
        <v>1609</v>
      </c>
      <c r="AC109" t="s">
        <v>148</v>
      </c>
      <c r="AD109" t="s">
        <v>1609</v>
      </c>
      <c r="AE109" t="s">
        <v>148</v>
      </c>
      <c r="AF109" t="s">
        <v>2278</v>
      </c>
      <c r="AG109" t="s">
        <v>1614</v>
      </c>
      <c r="AH109" t="s">
        <v>2279</v>
      </c>
      <c r="AI109" t="s">
        <v>2280</v>
      </c>
      <c r="AJ109" t="s">
        <v>2281</v>
      </c>
    </row>
    <row r="110" spans="1:36" x14ac:dyDescent="0.2">
      <c r="A110" t="s">
        <v>535</v>
      </c>
      <c r="B110" t="s">
        <v>536</v>
      </c>
      <c r="C110" t="s">
        <v>60</v>
      </c>
      <c r="D110" t="s">
        <v>538</v>
      </c>
      <c r="E110" t="str">
        <f>HYPERLINK("/pdf/2023_10_32604_cmes_2023_044169_enhancing_healthcare_data_security_and_disease_detection_using_crossover_based_m.pdf","open")</f>
        <v>open</v>
      </c>
      <c r="F110" t="s">
        <v>1606</v>
      </c>
      <c r="G110" t="s">
        <v>1602</v>
      </c>
      <c r="H110" t="s">
        <v>2282</v>
      </c>
      <c r="I110" t="s">
        <v>1609</v>
      </c>
      <c r="J110" t="s">
        <v>148</v>
      </c>
      <c r="K110" t="s">
        <v>148</v>
      </c>
      <c r="L110" t="s">
        <v>148</v>
      </c>
      <c r="M110" t="s">
        <v>1636</v>
      </c>
      <c r="N110" t="s">
        <v>148</v>
      </c>
      <c r="O110" t="s">
        <v>148</v>
      </c>
      <c r="P110" t="s">
        <v>148</v>
      </c>
      <c r="Q110" t="s">
        <v>148</v>
      </c>
      <c r="R110" t="s">
        <v>148</v>
      </c>
      <c r="S110" t="s">
        <v>1654</v>
      </c>
      <c r="T110" t="s">
        <v>1750</v>
      </c>
      <c r="U110" t="s">
        <v>1609</v>
      </c>
      <c r="V110" t="s">
        <v>148</v>
      </c>
      <c r="W110" t="s">
        <v>148</v>
      </c>
      <c r="X110" t="s">
        <v>148</v>
      </c>
      <c r="Y110" t="s">
        <v>148</v>
      </c>
      <c r="Z110" t="s">
        <v>148</v>
      </c>
      <c r="AA110" t="s">
        <v>2283</v>
      </c>
      <c r="AB110" t="s">
        <v>1604</v>
      </c>
      <c r="AC110" t="s">
        <v>148</v>
      </c>
      <c r="AD110" t="s">
        <v>148</v>
      </c>
      <c r="AE110" t="s">
        <v>148</v>
      </c>
      <c r="AF110" t="s">
        <v>2284</v>
      </c>
      <c r="AG110" t="s">
        <v>1614</v>
      </c>
      <c r="AH110" t="s">
        <v>2285</v>
      </c>
      <c r="AI110" t="s">
        <v>44</v>
      </c>
      <c r="AJ110" t="s">
        <v>148</v>
      </c>
    </row>
    <row r="111" spans="1:36" x14ac:dyDescent="0.2">
      <c r="A111" t="s">
        <v>540</v>
      </c>
      <c r="B111" t="s">
        <v>541</v>
      </c>
      <c r="C111" t="s">
        <v>25</v>
      </c>
      <c r="D111" t="s">
        <v>540</v>
      </c>
      <c r="E111" t="str">
        <f>HYPERLINK("/pdf/2024_10_1109_tdsc_2023_3323713_leakage_of_authorization_data_in_iot_device_sharing_new_attacks_and_countermeas.pdf","open")</f>
        <v>open</v>
      </c>
      <c r="F111" t="s">
        <v>1602</v>
      </c>
      <c r="G111" t="s">
        <v>1602</v>
      </c>
      <c r="H111" t="s">
        <v>2286</v>
      </c>
      <c r="I111" t="s">
        <v>1609</v>
      </c>
      <c r="J111" t="s">
        <v>148</v>
      </c>
      <c r="K111" t="s">
        <v>148</v>
      </c>
      <c r="L111" t="s">
        <v>148</v>
      </c>
      <c r="M111" t="s">
        <v>148</v>
      </c>
      <c r="N111" t="s">
        <v>148</v>
      </c>
      <c r="O111" t="s">
        <v>148</v>
      </c>
      <c r="P111" t="s">
        <v>148</v>
      </c>
      <c r="Q111" t="s">
        <v>148</v>
      </c>
      <c r="R111" t="s">
        <v>148</v>
      </c>
      <c r="S111" t="s">
        <v>148</v>
      </c>
      <c r="T111" t="s">
        <v>148</v>
      </c>
      <c r="U111" t="s">
        <v>148</v>
      </c>
      <c r="V111" t="s">
        <v>148</v>
      </c>
      <c r="W111" t="s">
        <v>148</v>
      </c>
      <c r="X111" t="s">
        <v>148</v>
      </c>
      <c r="Y111" t="s">
        <v>148</v>
      </c>
      <c r="Z111" t="s">
        <v>148</v>
      </c>
      <c r="AA111" t="s">
        <v>2287</v>
      </c>
      <c r="AB111" t="s">
        <v>148</v>
      </c>
      <c r="AC111" t="s">
        <v>148</v>
      </c>
      <c r="AD111" t="s">
        <v>1604</v>
      </c>
      <c r="AE111" t="s">
        <v>2288</v>
      </c>
      <c r="AF111" t="s">
        <v>2289</v>
      </c>
      <c r="AG111" t="s">
        <v>2290</v>
      </c>
      <c r="AH111" t="s">
        <v>2291</v>
      </c>
      <c r="AI111" t="s">
        <v>15</v>
      </c>
      <c r="AJ111" t="s">
        <v>148</v>
      </c>
    </row>
    <row r="112" spans="1:36" x14ac:dyDescent="0.2">
      <c r="A112" t="s">
        <v>544</v>
      </c>
      <c r="B112" t="s">
        <v>545</v>
      </c>
      <c r="C112" t="s">
        <v>156</v>
      </c>
      <c r="D112" t="s">
        <v>547</v>
      </c>
      <c r="E112" t="str">
        <f>HYPERLINK("/pdf/2013_10.1109_icspcs.2013.6723919_Adaptable_N-gram_classification_model_for_data_leakage_prevention.pdf","open")</f>
        <v>open</v>
      </c>
      <c r="F112" t="s">
        <v>1606</v>
      </c>
      <c r="G112" t="s">
        <v>1602</v>
      </c>
      <c r="H112" t="s">
        <v>2292</v>
      </c>
      <c r="I112" t="s">
        <v>1609</v>
      </c>
      <c r="J112" t="s">
        <v>148</v>
      </c>
      <c r="K112" t="s">
        <v>148</v>
      </c>
      <c r="L112" t="s">
        <v>148</v>
      </c>
      <c r="M112" t="s">
        <v>2293</v>
      </c>
      <c r="N112" t="s">
        <v>1611</v>
      </c>
      <c r="O112" t="s">
        <v>148</v>
      </c>
      <c r="P112" t="s">
        <v>148</v>
      </c>
      <c r="Q112" t="s">
        <v>148</v>
      </c>
      <c r="R112" t="s">
        <v>148</v>
      </c>
      <c r="S112" t="s">
        <v>1602</v>
      </c>
      <c r="T112" t="s">
        <v>2252</v>
      </c>
      <c r="U112" t="s">
        <v>148</v>
      </c>
      <c r="V112" t="s">
        <v>148</v>
      </c>
      <c r="W112" t="s">
        <v>148</v>
      </c>
      <c r="X112" t="s">
        <v>2294</v>
      </c>
      <c r="Y112" t="s">
        <v>148</v>
      </c>
      <c r="Z112" t="s">
        <v>148</v>
      </c>
      <c r="AA112" t="s">
        <v>2295</v>
      </c>
      <c r="AB112" t="s">
        <v>1609</v>
      </c>
      <c r="AC112" t="s">
        <v>148</v>
      </c>
      <c r="AD112" t="s">
        <v>148</v>
      </c>
      <c r="AE112" t="s">
        <v>148</v>
      </c>
      <c r="AF112" t="s">
        <v>2296</v>
      </c>
      <c r="AG112" t="s">
        <v>1614</v>
      </c>
      <c r="AH112" t="s">
        <v>2297</v>
      </c>
      <c r="AI112" t="s">
        <v>2298</v>
      </c>
      <c r="AJ112" t="s">
        <v>2299</v>
      </c>
    </row>
    <row r="113" spans="1:36" x14ac:dyDescent="0.2">
      <c r="A113" t="s">
        <v>549</v>
      </c>
      <c r="B113" t="s">
        <v>550</v>
      </c>
      <c r="C113" t="s">
        <v>25</v>
      </c>
      <c r="D113" t="s">
        <v>552</v>
      </c>
      <c r="E113" t="str">
        <f>HYPERLINK("/pdf/2023_10.58496_mjcs_2023_016_A_Comprehensive_Review_of_Security_Measures_in_Database_Systems__Assessing_Authentication,_Access_Control,_and.pdf","open")</f>
        <v>open</v>
      </c>
      <c r="F113" t="s">
        <v>148</v>
      </c>
      <c r="G113" t="s">
        <v>2300</v>
      </c>
      <c r="H113" t="s">
        <v>148</v>
      </c>
      <c r="I113" t="s">
        <v>148</v>
      </c>
      <c r="J113" t="s">
        <v>148</v>
      </c>
      <c r="K113" t="s">
        <v>148</v>
      </c>
      <c r="L113" t="s">
        <v>148</v>
      </c>
      <c r="M113" t="s">
        <v>148</v>
      </c>
      <c r="N113" t="s">
        <v>148</v>
      </c>
      <c r="O113" t="s">
        <v>148</v>
      </c>
      <c r="P113" t="s">
        <v>148</v>
      </c>
      <c r="Q113" t="s">
        <v>148</v>
      </c>
      <c r="R113" t="s">
        <v>148</v>
      </c>
      <c r="S113" t="s">
        <v>148</v>
      </c>
      <c r="T113" t="s">
        <v>148</v>
      </c>
      <c r="U113" t="s">
        <v>148</v>
      </c>
      <c r="V113" t="s">
        <v>148</v>
      </c>
      <c r="W113" t="s">
        <v>148</v>
      </c>
      <c r="X113" t="s">
        <v>148</v>
      </c>
      <c r="Y113" t="s">
        <v>148</v>
      </c>
      <c r="Z113" t="s">
        <v>148</v>
      </c>
      <c r="AA113" t="s">
        <v>148</v>
      </c>
      <c r="AB113" t="s">
        <v>148</v>
      </c>
      <c r="AC113" t="s">
        <v>148</v>
      </c>
      <c r="AD113" t="s">
        <v>148</v>
      </c>
      <c r="AE113" t="s">
        <v>148</v>
      </c>
      <c r="AF113" t="s">
        <v>148</v>
      </c>
      <c r="AG113" t="s">
        <v>148</v>
      </c>
      <c r="AH113" t="s">
        <v>148</v>
      </c>
      <c r="AI113" t="s">
        <v>148</v>
      </c>
      <c r="AJ113" t="s">
        <v>148</v>
      </c>
    </row>
    <row r="114" spans="1:36" x14ac:dyDescent="0.2">
      <c r="A114" t="s">
        <v>554</v>
      </c>
      <c r="B114" t="s">
        <v>555</v>
      </c>
      <c r="C114" t="s">
        <v>19</v>
      </c>
      <c r="D114" t="s">
        <v>557</v>
      </c>
      <c r="E114" t="str">
        <f>HYPERLINK("/pdf/2025_10_36128_priw_vi54_1201_artificial_intelligence_in_e_administration.pdf","open")</f>
        <v>open</v>
      </c>
      <c r="F114" t="s">
        <v>1602</v>
      </c>
      <c r="G114" t="s">
        <v>1602</v>
      </c>
      <c r="H114" t="s">
        <v>148</v>
      </c>
      <c r="I114" t="s">
        <v>1609</v>
      </c>
      <c r="J114" t="s">
        <v>148</v>
      </c>
      <c r="K114" t="s">
        <v>148</v>
      </c>
      <c r="L114" t="s">
        <v>148</v>
      </c>
      <c r="M114" t="s">
        <v>148</v>
      </c>
      <c r="N114" t="s">
        <v>148</v>
      </c>
      <c r="O114" t="s">
        <v>148</v>
      </c>
      <c r="P114" t="s">
        <v>148</v>
      </c>
      <c r="Q114" t="s">
        <v>148</v>
      </c>
      <c r="R114" t="s">
        <v>148</v>
      </c>
      <c r="S114" t="s">
        <v>148</v>
      </c>
      <c r="T114" t="s">
        <v>148</v>
      </c>
      <c r="U114" t="s">
        <v>148</v>
      </c>
      <c r="V114" t="s">
        <v>148</v>
      </c>
      <c r="W114" t="s">
        <v>148</v>
      </c>
      <c r="X114" t="s">
        <v>148</v>
      </c>
      <c r="Y114" t="s">
        <v>148</v>
      </c>
      <c r="Z114" t="s">
        <v>148</v>
      </c>
      <c r="AA114" t="s">
        <v>148</v>
      </c>
      <c r="AB114" t="s">
        <v>148</v>
      </c>
      <c r="AC114" t="s">
        <v>148</v>
      </c>
      <c r="AD114" t="s">
        <v>148</v>
      </c>
      <c r="AE114" t="s">
        <v>148</v>
      </c>
      <c r="AF114" t="s">
        <v>148</v>
      </c>
      <c r="AG114" t="s">
        <v>148</v>
      </c>
      <c r="AH114" t="s">
        <v>148</v>
      </c>
      <c r="AI114" t="s">
        <v>1657</v>
      </c>
      <c r="AJ114" t="s">
        <v>2301</v>
      </c>
    </row>
    <row r="115" spans="1:36" x14ac:dyDescent="0.2">
      <c r="A115" t="s">
        <v>559</v>
      </c>
      <c r="B115" t="s">
        <v>560</v>
      </c>
      <c r="C115" t="s">
        <v>19</v>
      </c>
      <c r="D115" t="s">
        <v>562</v>
      </c>
      <c r="E115" t="str">
        <f>HYPERLINK("/pdf/2025_10.1109_eurospw67616.2025.00026_PPT-GNN__A_Practical_Pretrained_Spatio-Temporal_Graph_Neural_Network_for_Network_Security.pdf","open")</f>
        <v>open</v>
      </c>
      <c r="F115" t="s">
        <v>2071</v>
      </c>
      <c r="G115" t="s">
        <v>1607</v>
      </c>
      <c r="H115" t="s">
        <v>2302</v>
      </c>
      <c r="I115" t="s">
        <v>1604</v>
      </c>
      <c r="J115" t="s">
        <v>1733</v>
      </c>
      <c r="K115" t="s">
        <v>2303</v>
      </c>
      <c r="L115" t="s">
        <v>1604</v>
      </c>
      <c r="M115" t="s">
        <v>2304</v>
      </c>
      <c r="N115" t="s">
        <v>1611</v>
      </c>
      <c r="O115" t="s">
        <v>1604</v>
      </c>
      <c r="P115" t="s">
        <v>2305</v>
      </c>
      <c r="Q115" t="s">
        <v>2306</v>
      </c>
      <c r="R115" t="s">
        <v>2307</v>
      </c>
      <c r="S115" t="s">
        <v>1624</v>
      </c>
      <c r="T115" t="s">
        <v>2308</v>
      </c>
      <c r="U115" t="s">
        <v>1604</v>
      </c>
      <c r="V115" t="s">
        <v>1604</v>
      </c>
      <c r="W115" t="s">
        <v>1604</v>
      </c>
      <c r="X115" t="s">
        <v>2309</v>
      </c>
      <c r="Y115" t="s">
        <v>1604</v>
      </c>
      <c r="Z115" t="s">
        <v>148</v>
      </c>
      <c r="AA115" t="s">
        <v>2310</v>
      </c>
      <c r="AB115" t="s">
        <v>1604</v>
      </c>
      <c r="AC115" t="s">
        <v>2311</v>
      </c>
      <c r="AD115" t="s">
        <v>1604</v>
      </c>
      <c r="AE115" t="s">
        <v>2311</v>
      </c>
      <c r="AF115" t="s">
        <v>2312</v>
      </c>
      <c r="AG115" t="s">
        <v>2313</v>
      </c>
      <c r="AH115" t="s">
        <v>2314</v>
      </c>
      <c r="AI115" t="s">
        <v>15</v>
      </c>
      <c r="AJ115" t="s">
        <v>2315</v>
      </c>
    </row>
    <row r="116" spans="1:36" x14ac:dyDescent="0.2">
      <c r="A116" t="s">
        <v>564</v>
      </c>
      <c r="B116" t="s">
        <v>565</v>
      </c>
      <c r="C116" t="s">
        <v>19</v>
      </c>
      <c r="D116" t="s">
        <v>567</v>
      </c>
      <c r="E116" t="str">
        <f>HYPERLINK("/pdf/2025_10.1109_discover66922.2025.11259004_Adaptive_Graph_Attention_Network-Approach_for_Detecting_Hardware_Trojans.pdf","open")</f>
        <v>open</v>
      </c>
      <c r="F116" t="s">
        <v>2071</v>
      </c>
      <c r="G116" t="s">
        <v>1602</v>
      </c>
      <c r="H116" t="s">
        <v>2316</v>
      </c>
      <c r="I116" t="s">
        <v>1604</v>
      </c>
      <c r="J116" t="s">
        <v>1602</v>
      </c>
      <c r="K116" t="s">
        <v>1653</v>
      </c>
      <c r="L116" t="s">
        <v>1609</v>
      </c>
      <c r="M116" t="s">
        <v>1636</v>
      </c>
      <c r="N116" t="s">
        <v>1611</v>
      </c>
      <c r="O116" t="s">
        <v>1604</v>
      </c>
      <c r="P116" t="s">
        <v>1762</v>
      </c>
      <c r="Q116" t="s">
        <v>2317</v>
      </c>
      <c r="R116" t="s">
        <v>2318</v>
      </c>
      <c r="S116" t="s">
        <v>1602</v>
      </c>
      <c r="T116" t="s">
        <v>2319</v>
      </c>
      <c r="U116" t="s">
        <v>1609</v>
      </c>
      <c r="V116" t="s">
        <v>1604</v>
      </c>
      <c r="W116" t="s">
        <v>148</v>
      </c>
      <c r="X116" t="s">
        <v>2320</v>
      </c>
      <c r="Y116" t="s">
        <v>148</v>
      </c>
      <c r="Z116" t="s">
        <v>1604</v>
      </c>
      <c r="AA116" t="s">
        <v>2321</v>
      </c>
      <c r="AB116" t="s">
        <v>1604</v>
      </c>
      <c r="AC116" t="s">
        <v>148</v>
      </c>
      <c r="AD116" t="s">
        <v>148</v>
      </c>
      <c r="AE116" t="s">
        <v>148</v>
      </c>
      <c r="AF116" t="s">
        <v>1613</v>
      </c>
      <c r="AG116" t="s">
        <v>2322</v>
      </c>
      <c r="AH116" t="s">
        <v>2323</v>
      </c>
      <c r="AI116" t="s">
        <v>590</v>
      </c>
      <c r="AJ116" t="s">
        <v>2324</v>
      </c>
    </row>
    <row r="117" spans="1:36" x14ac:dyDescent="0.2">
      <c r="A117" t="s">
        <v>569</v>
      </c>
      <c r="B117" t="s">
        <v>570</v>
      </c>
      <c r="C117" t="s">
        <v>60</v>
      </c>
      <c r="D117" t="s">
        <v>572</v>
      </c>
      <c r="E117" t="str">
        <f>HYPERLINK("/pdf/2024_10.1109_sces61914.2024.10652305_IoT_Network_Anomaly_Detection_Using_Machine_Learning_and_Deep_Learning_Techniques_-_Research_Study.pdf","open")</f>
        <v>open</v>
      </c>
      <c r="F117" t="s">
        <v>1618</v>
      </c>
      <c r="G117" t="s">
        <v>1607</v>
      </c>
      <c r="H117" t="s">
        <v>2325</v>
      </c>
      <c r="I117" t="s">
        <v>1609</v>
      </c>
      <c r="J117" t="s">
        <v>148</v>
      </c>
      <c r="K117" t="s">
        <v>148</v>
      </c>
      <c r="L117" t="s">
        <v>148</v>
      </c>
      <c r="M117" t="s">
        <v>2326</v>
      </c>
      <c r="N117" t="s">
        <v>148</v>
      </c>
      <c r="O117" t="s">
        <v>148</v>
      </c>
      <c r="P117" t="s">
        <v>148</v>
      </c>
      <c r="Q117" t="s">
        <v>148</v>
      </c>
      <c r="R117" t="s">
        <v>148</v>
      </c>
      <c r="S117" t="s">
        <v>1655</v>
      </c>
      <c r="T117" t="s">
        <v>1695</v>
      </c>
      <c r="U117" t="s">
        <v>148</v>
      </c>
      <c r="V117" t="s">
        <v>148</v>
      </c>
      <c r="W117" t="s">
        <v>148</v>
      </c>
      <c r="X117" t="s">
        <v>148</v>
      </c>
      <c r="Y117" t="s">
        <v>148</v>
      </c>
      <c r="Z117" t="s">
        <v>148</v>
      </c>
      <c r="AA117" t="s">
        <v>2327</v>
      </c>
      <c r="AB117" t="s">
        <v>1604</v>
      </c>
      <c r="AC117" t="s">
        <v>148</v>
      </c>
      <c r="AD117" t="s">
        <v>148</v>
      </c>
      <c r="AE117" t="s">
        <v>148</v>
      </c>
      <c r="AF117" t="s">
        <v>2328</v>
      </c>
      <c r="AG117" t="s">
        <v>1614</v>
      </c>
      <c r="AH117" t="s">
        <v>148</v>
      </c>
      <c r="AI117" t="s">
        <v>148</v>
      </c>
      <c r="AJ117" t="s">
        <v>2329</v>
      </c>
    </row>
    <row r="118" spans="1:36" x14ac:dyDescent="0.2">
      <c r="A118" t="s">
        <v>574</v>
      </c>
      <c r="B118" t="s">
        <v>575</v>
      </c>
      <c r="C118" t="s">
        <v>60</v>
      </c>
      <c r="D118" t="s">
        <v>577</v>
      </c>
      <c r="E118" t="str">
        <f>HYPERLINK("/pdf/2024_10.12263_dzxb.20220611_A_Whitelist_Network_Control_Based_on_Android_Kernel_Driver;_基于_Android_内核驱动的白名单网络控制.pdf","open")</f>
        <v>open</v>
      </c>
      <c r="F118" t="s">
        <v>1602</v>
      </c>
      <c r="G118" t="s">
        <v>1651</v>
      </c>
      <c r="H118" t="s">
        <v>2330</v>
      </c>
      <c r="I118" t="s">
        <v>1609</v>
      </c>
      <c r="J118" t="s">
        <v>148</v>
      </c>
      <c r="K118" t="s">
        <v>148</v>
      </c>
      <c r="L118" t="s">
        <v>148</v>
      </c>
      <c r="M118" t="s">
        <v>148</v>
      </c>
      <c r="N118" t="s">
        <v>148</v>
      </c>
      <c r="O118" t="s">
        <v>148</v>
      </c>
      <c r="P118" t="s">
        <v>148</v>
      </c>
      <c r="Q118" t="s">
        <v>148</v>
      </c>
      <c r="R118" t="s">
        <v>148</v>
      </c>
      <c r="S118" t="s">
        <v>148</v>
      </c>
      <c r="T118" t="s">
        <v>148</v>
      </c>
      <c r="U118" t="s">
        <v>148</v>
      </c>
      <c r="V118" t="s">
        <v>148</v>
      </c>
      <c r="W118" t="s">
        <v>148</v>
      </c>
      <c r="X118" t="s">
        <v>148</v>
      </c>
      <c r="Y118" t="s">
        <v>148</v>
      </c>
      <c r="Z118" t="s">
        <v>148</v>
      </c>
      <c r="AA118" t="s">
        <v>2331</v>
      </c>
      <c r="AB118" t="s">
        <v>1609</v>
      </c>
      <c r="AC118" t="s">
        <v>148</v>
      </c>
      <c r="AD118" t="s">
        <v>148</v>
      </c>
      <c r="AE118" t="s">
        <v>148</v>
      </c>
      <c r="AF118" t="s">
        <v>2332</v>
      </c>
      <c r="AG118" t="s">
        <v>2333</v>
      </c>
      <c r="AH118" t="s">
        <v>2334</v>
      </c>
      <c r="AI118" t="s">
        <v>2335</v>
      </c>
      <c r="AJ118" t="s">
        <v>148</v>
      </c>
    </row>
    <row r="119" spans="1:36" x14ac:dyDescent="0.2">
      <c r="A119" t="s">
        <v>579</v>
      </c>
      <c r="B119" t="s">
        <v>580</v>
      </c>
      <c r="C119" t="s">
        <v>100</v>
      </c>
      <c r="D119" t="s">
        <v>582</v>
      </c>
      <c r="E119" t="str">
        <f>HYPERLINK("/pdf/2022_10.1109_icc45855.2022.9839001_Intelligent_Fingerprinting_to_Detect_Data_Leakage_Attacks_on_Spectrum_Sensors.pdf","open")</f>
        <v>open</v>
      </c>
      <c r="F119" t="s">
        <v>1772</v>
      </c>
      <c r="G119" t="s">
        <v>2077</v>
      </c>
      <c r="H119" t="s">
        <v>2336</v>
      </c>
      <c r="I119" t="s">
        <v>148</v>
      </c>
      <c r="J119" t="s">
        <v>148</v>
      </c>
      <c r="K119" t="s">
        <v>148</v>
      </c>
      <c r="L119" t="s">
        <v>148</v>
      </c>
      <c r="M119" t="s">
        <v>1621</v>
      </c>
      <c r="N119" t="s">
        <v>1611</v>
      </c>
      <c r="O119" t="s">
        <v>148</v>
      </c>
      <c r="P119" t="s">
        <v>148</v>
      </c>
      <c r="Q119" t="s">
        <v>148</v>
      </c>
      <c r="R119" t="s">
        <v>148</v>
      </c>
      <c r="S119" t="s">
        <v>1643</v>
      </c>
      <c r="T119" t="s">
        <v>2337</v>
      </c>
      <c r="U119" t="s">
        <v>148</v>
      </c>
      <c r="V119" t="s">
        <v>148</v>
      </c>
      <c r="W119" t="s">
        <v>148</v>
      </c>
      <c r="X119" t="s">
        <v>148</v>
      </c>
      <c r="Y119" t="s">
        <v>148</v>
      </c>
      <c r="Z119" t="s">
        <v>148</v>
      </c>
      <c r="AA119" t="s">
        <v>2338</v>
      </c>
      <c r="AB119" t="s">
        <v>1609</v>
      </c>
      <c r="AC119" t="s">
        <v>148</v>
      </c>
      <c r="AD119" t="s">
        <v>148</v>
      </c>
      <c r="AE119" t="s">
        <v>148</v>
      </c>
      <c r="AF119" t="s">
        <v>2339</v>
      </c>
      <c r="AG119" t="s">
        <v>2340</v>
      </c>
      <c r="AH119" t="s">
        <v>2341</v>
      </c>
      <c r="AI119" t="s">
        <v>44</v>
      </c>
      <c r="AJ119" t="s">
        <v>148</v>
      </c>
    </row>
    <row r="120" spans="1:36" x14ac:dyDescent="0.2">
      <c r="A120" t="s">
        <v>584</v>
      </c>
      <c r="B120" t="s">
        <v>585</v>
      </c>
      <c r="C120" t="s">
        <v>60</v>
      </c>
      <c r="D120" t="s">
        <v>587</v>
      </c>
      <c r="E120" t="str">
        <f>HYPERLINK("/pdf/2024_10.1145_3689236.3689867_Intelligent_Talent_Information_System_Guarantee_Based_on_Cyberspace_Security_Technology.pdf","open")</f>
        <v>open</v>
      </c>
      <c r="F120" t="s">
        <v>1607</v>
      </c>
      <c r="G120" t="s">
        <v>2342</v>
      </c>
      <c r="H120" t="s">
        <v>2343</v>
      </c>
      <c r="I120" t="s">
        <v>1609</v>
      </c>
      <c r="J120" t="s">
        <v>148</v>
      </c>
      <c r="K120" t="s">
        <v>148</v>
      </c>
      <c r="L120" t="s">
        <v>148</v>
      </c>
      <c r="M120" t="s">
        <v>148</v>
      </c>
      <c r="N120" t="s">
        <v>148</v>
      </c>
      <c r="O120" t="s">
        <v>148</v>
      </c>
      <c r="P120" t="s">
        <v>148</v>
      </c>
      <c r="Q120" t="s">
        <v>148</v>
      </c>
      <c r="R120" t="s">
        <v>148</v>
      </c>
      <c r="S120" t="s">
        <v>148</v>
      </c>
      <c r="T120" t="s">
        <v>148</v>
      </c>
      <c r="U120" t="s">
        <v>148</v>
      </c>
      <c r="V120" t="s">
        <v>148</v>
      </c>
      <c r="W120" t="s">
        <v>148</v>
      </c>
      <c r="X120" t="s">
        <v>148</v>
      </c>
      <c r="Y120" t="s">
        <v>148</v>
      </c>
      <c r="Z120" t="s">
        <v>148</v>
      </c>
      <c r="AA120" t="s">
        <v>2344</v>
      </c>
      <c r="AB120" t="s">
        <v>1609</v>
      </c>
      <c r="AC120" t="s">
        <v>148</v>
      </c>
      <c r="AD120" t="s">
        <v>148</v>
      </c>
      <c r="AE120" t="s">
        <v>148</v>
      </c>
      <c r="AF120" t="s">
        <v>2345</v>
      </c>
      <c r="AG120" t="s">
        <v>2346</v>
      </c>
      <c r="AH120" t="s">
        <v>2347</v>
      </c>
      <c r="AI120" t="s">
        <v>44</v>
      </c>
      <c r="AJ120" t="s">
        <v>148</v>
      </c>
    </row>
    <row r="121" spans="1:36" x14ac:dyDescent="0.2">
      <c r="A121" t="s">
        <v>589</v>
      </c>
      <c r="B121" t="s">
        <v>110</v>
      </c>
      <c r="C121" t="s">
        <v>36</v>
      </c>
      <c r="D121" t="s">
        <v>112</v>
      </c>
      <c r="E121" t="str">
        <f>HYPERLINK("/pdf/2021_10_1109_iccd53106_2021_00097_qflow_quantitative_information_flow_for_security_aware_hardware_design_in_veril.pdf","open")</f>
        <v>open</v>
      </c>
      <c r="F121" t="s">
        <v>1602</v>
      </c>
      <c r="G121" t="s">
        <v>1602</v>
      </c>
      <c r="H121" t="s">
        <v>1705</v>
      </c>
      <c r="I121" t="s">
        <v>2348</v>
      </c>
      <c r="J121" t="s">
        <v>1602</v>
      </c>
      <c r="K121" t="s">
        <v>1653</v>
      </c>
      <c r="L121" t="s">
        <v>1609</v>
      </c>
      <c r="M121" t="s">
        <v>2349</v>
      </c>
      <c r="N121" t="s">
        <v>148</v>
      </c>
      <c r="O121" t="s">
        <v>148</v>
      </c>
      <c r="P121" t="s">
        <v>148</v>
      </c>
      <c r="Q121" t="s">
        <v>148</v>
      </c>
      <c r="R121" t="s">
        <v>148</v>
      </c>
      <c r="S121" t="s">
        <v>1602</v>
      </c>
      <c r="T121" t="s">
        <v>148</v>
      </c>
      <c r="U121" t="s">
        <v>148</v>
      </c>
      <c r="V121" t="s">
        <v>148</v>
      </c>
      <c r="W121" t="s">
        <v>148</v>
      </c>
      <c r="X121" t="s">
        <v>1602</v>
      </c>
      <c r="Y121" t="s">
        <v>148</v>
      </c>
      <c r="Z121" t="s">
        <v>148</v>
      </c>
      <c r="AA121" t="s">
        <v>2350</v>
      </c>
      <c r="AB121" t="s">
        <v>1604</v>
      </c>
      <c r="AC121" t="s">
        <v>2351</v>
      </c>
      <c r="AD121" t="s">
        <v>148</v>
      </c>
      <c r="AE121" t="s">
        <v>148</v>
      </c>
      <c r="AF121" t="s">
        <v>2352</v>
      </c>
      <c r="AG121" t="s">
        <v>1717</v>
      </c>
      <c r="AH121" t="s">
        <v>1718</v>
      </c>
      <c r="AI121" t="s">
        <v>590</v>
      </c>
      <c r="AJ121" t="s">
        <v>148</v>
      </c>
    </row>
    <row r="122" spans="1:36" x14ac:dyDescent="0.2">
      <c r="A122" t="s">
        <v>592</v>
      </c>
      <c r="B122" t="s">
        <v>593</v>
      </c>
      <c r="C122" t="s">
        <v>136</v>
      </c>
      <c r="D122" t="s">
        <v>594</v>
      </c>
      <c r="E122" t="str">
        <f>HYPERLINK("/pdf/2019_10.1109_jiot.2018.2871719_An_ensemble_intrusion_detection_technique_based_on_proposed_statistical_flow_features_for_protecting_network_t.pdf","open")</f>
        <v>open</v>
      </c>
      <c r="F122" t="s">
        <v>1607</v>
      </c>
      <c r="G122" t="s">
        <v>2353</v>
      </c>
      <c r="H122" t="s">
        <v>2354</v>
      </c>
      <c r="I122" t="s">
        <v>1609</v>
      </c>
      <c r="J122" t="s">
        <v>148</v>
      </c>
      <c r="K122" t="s">
        <v>148</v>
      </c>
      <c r="L122" t="s">
        <v>148</v>
      </c>
      <c r="M122" t="s">
        <v>1636</v>
      </c>
      <c r="N122" t="s">
        <v>1611</v>
      </c>
      <c r="O122" t="s">
        <v>148</v>
      </c>
      <c r="P122" t="s">
        <v>148</v>
      </c>
      <c r="Q122" t="s">
        <v>148</v>
      </c>
      <c r="R122" t="s">
        <v>148</v>
      </c>
      <c r="S122" t="s">
        <v>1654</v>
      </c>
      <c r="T122" t="s">
        <v>2355</v>
      </c>
      <c r="U122" t="s">
        <v>1609</v>
      </c>
      <c r="V122" t="s">
        <v>1609</v>
      </c>
      <c r="W122" t="s">
        <v>148</v>
      </c>
      <c r="X122" t="s">
        <v>148</v>
      </c>
      <c r="Y122" t="s">
        <v>148</v>
      </c>
      <c r="Z122" t="s">
        <v>148</v>
      </c>
      <c r="AA122" t="s">
        <v>2356</v>
      </c>
      <c r="AB122" t="s">
        <v>1604</v>
      </c>
      <c r="AC122" t="s">
        <v>2357</v>
      </c>
      <c r="AD122" t="s">
        <v>148</v>
      </c>
      <c r="AE122" t="s">
        <v>148</v>
      </c>
      <c r="AF122" t="s">
        <v>2358</v>
      </c>
      <c r="AG122" t="s">
        <v>2359</v>
      </c>
      <c r="AH122" t="s">
        <v>2360</v>
      </c>
      <c r="AI122" t="s">
        <v>2361</v>
      </c>
      <c r="AJ122" t="s">
        <v>2362</v>
      </c>
    </row>
    <row r="123" spans="1:36" x14ac:dyDescent="0.2">
      <c r="A123" t="s">
        <v>596</v>
      </c>
      <c r="B123" t="s">
        <v>597</v>
      </c>
      <c r="C123" t="s">
        <v>598</v>
      </c>
      <c r="D123" t="s">
        <v>600</v>
      </c>
      <c r="E123" t="str">
        <f>HYPERLINK("/pdf/2012_10.1109_hicss.2012.491_Pseudonymization_with_metadata_encryption_for_privacy-preserving_searchable_documents.pdf","open")</f>
        <v>open</v>
      </c>
      <c r="F123" t="s">
        <v>1602</v>
      </c>
      <c r="G123" t="s">
        <v>1602</v>
      </c>
      <c r="H123" t="s">
        <v>2363</v>
      </c>
      <c r="I123" t="s">
        <v>1609</v>
      </c>
      <c r="J123" t="s">
        <v>1602</v>
      </c>
      <c r="K123" t="s">
        <v>1653</v>
      </c>
      <c r="L123" t="s">
        <v>148</v>
      </c>
      <c r="M123" t="s">
        <v>148</v>
      </c>
      <c r="N123" t="s">
        <v>148</v>
      </c>
      <c r="O123" t="s">
        <v>148</v>
      </c>
      <c r="P123" t="s">
        <v>148</v>
      </c>
      <c r="Q123" t="s">
        <v>148</v>
      </c>
      <c r="R123" t="s">
        <v>148</v>
      </c>
      <c r="S123" t="s">
        <v>148</v>
      </c>
      <c r="T123" t="s">
        <v>148</v>
      </c>
      <c r="U123" t="s">
        <v>148</v>
      </c>
      <c r="V123" t="s">
        <v>148</v>
      </c>
      <c r="W123" t="s">
        <v>148</v>
      </c>
      <c r="X123" t="s">
        <v>148</v>
      </c>
      <c r="Y123" t="s">
        <v>148</v>
      </c>
      <c r="Z123" t="s">
        <v>148</v>
      </c>
      <c r="AA123" t="s">
        <v>2364</v>
      </c>
      <c r="AB123" t="s">
        <v>1609</v>
      </c>
      <c r="AC123" t="s">
        <v>148</v>
      </c>
      <c r="AD123" t="s">
        <v>148</v>
      </c>
      <c r="AE123" t="s">
        <v>148</v>
      </c>
      <c r="AF123" t="s">
        <v>2365</v>
      </c>
      <c r="AG123" t="s">
        <v>2365</v>
      </c>
      <c r="AH123" t="s">
        <v>2223</v>
      </c>
      <c r="AI123" t="s">
        <v>44</v>
      </c>
      <c r="AJ123" t="s">
        <v>148</v>
      </c>
    </row>
    <row r="124" spans="1:36" x14ac:dyDescent="0.2">
      <c r="A124" t="s">
        <v>602</v>
      </c>
      <c r="B124" t="s">
        <v>603</v>
      </c>
      <c r="C124" t="s">
        <v>19</v>
      </c>
      <c r="D124" t="s">
        <v>605</v>
      </c>
      <c r="E124" t="str">
        <f>HYPERLINK("/pdf/2025_10_1007_s43926_025_00185_7_a_feature_level_ensemble_machine_learning_approach_for_attack_detection_in_iot_networks.pdf","open")</f>
        <v>open</v>
      </c>
      <c r="F124" t="s">
        <v>1606</v>
      </c>
      <c r="G124" t="s">
        <v>1607</v>
      </c>
      <c r="H124" t="s">
        <v>2366</v>
      </c>
      <c r="I124" t="s">
        <v>1609</v>
      </c>
      <c r="J124" t="s">
        <v>148</v>
      </c>
      <c r="K124" t="s">
        <v>148</v>
      </c>
      <c r="L124" t="s">
        <v>148</v>
      </c>
      <c r="M124" t="s">
        <v>2367</v>
      </c>
      <c r="N124" t="s">
        <v>1611</v>
      </c>
      <c r="O124" t="s">
        <v>2368</v>
      </c>
      <c r="P124" t="s">
        <v>148</v>
      </c>
      <c r="Q124" t="s">
        <v>148</v>
      </c>
      <c r="R124" t="s">
        <v>2369</v>
      </c>
      <c r="S124" t="s">
        <v>1654</v>
      </c>
      <c r="T124" t="s">
        <v>2370</v>
      </c>
      <c r="U124" t="s">
        <v>1609</v>
      </c>
      <c r="V124" t="s">
        <v>1609</v>
      </c>
      <c r="W124" t="s">
        <v>148</v>
      </c>
      <c r="X124" t="s">
        <v>2371</v>
      </c>
      <c r="Y124" t="s">
        <v>1657</v>
      </c>
      <c r="Z124" t="s">
        <v>148</v>
      </c>
      <c r="AA124" t="s">
        <v>2372</v>
      </c>
      <c r="AB124" t="s">
        <v>1604</v>
      </c>
      <c r="AC124" t="s">
        <v>2373</v>
      </c>
      <c r="AD124" t="s">
        <v>148</v>
      </c>
      <c r="AE124" t="s">
        <v>148</v>
      </c>
      <c r="AF124" t="s">
        <v>2374</v>
      </c>
      <c r="AG124" t="s">
        <v>1614</v>
      </c>
      <c r="AH124" t="s">
        <v>2375</v>
      </c>
      <c r="AI124" t="s">
        <v>2376</v>
      </c>
      <c r="AJ124" t="s">
        <v>2377</v>
      </c>
    </row>
    <row r="125" spans="1:36" x14ac:dyDescent="0.2">
      <c r="A125" t="s">
        <v>607</v>
      </c>
      <c r="B125" t="s">
        <v>608</v>
      </c>
      <c r="C125" t="s">
        <v>60</v>
      </c>
      <c r="D125" t="s">
        <v>610</v>
      </c>
      <c r="E125" t="str">
        <f>HYPERLINK("/pdf/2024_10.1007_s42979-024-03152-1_P3IDF-EC__PCA-Based_Privacy-Preserving_Intrusion_Detection_Framework_for_Edge_Computing.pdf","open")</f>
        <v>open</v>
      </c>
      <c r="F125" t="s">
        <v>1606</v>
      </c>
      <c r="G125" t="s">
        <v>1607</v>
      </c>
      <c r="H125" t="s">
        <v>2378</v>
      </c>
      <c r="I125" t="s">
        <v>1609</v>
      </c>
      <c r="J125" t="s">
        <v>148</v>
      </c>
      <c r="K125" t="s">
        <v>148</v>
      </c>
      <c r="L125" t="s">
        <v>148</v>
      </c>
      <c r="M125" t="s">
        <v>2367</v>
      </c>
      <c r="N125" t="s">
        <v>1611</v>
      </c>
      <c r="O125" t="s">
        <v>1609</v>
      </c>
      <c r="P125" t="s">
        <v>148</v>
      </c>
      <c r="Q125" t="s">
        <v>148</v>
      </c>
      <c r="R125" t="s">
        <v>148</v>
      </c>
      <c r="S125" t="s">
        <v>1655</v>
      </c>
      <c r="T125" t="s">
        <v>2379</v>
      </c>
      <c r="U125" t="s">
        <v>1609</v>
      </c>
      <c r="V125" t="s">
        <v>1609</v>
      </c>
      <c r="W125" t="s">
        <v>1609</v>
      </c>
      <c r="X125" t="s">
        <v>2380</v>
      </c>
      <c r="Y125" t="s">
        <v>148</v>
      </c>
      <c r="Z125" t="s">
        <v>148</v>
      </c>
      <c r="AA125" t="s">
        <v>2381</v>
      </c>
      <c r="AB125" t="s">
        <v>1604</v>
      </c>
      <c r="AC125" t="s">
        <v>2382</v>
      </c>
      <c r="AD125" t="s">
        <v>148</v>
      </c>
      <c r="AE125" t="s">
        <v>148</v>
      </c>
      <c r="AF125" t="s">
        <v>2383</v>
      </c>
      <c r="AG125" t="s">
        <v>2384</v>
      </c>
      <c r="AH125" t="s">
        <v>2385</v>
      </c>
      <c r="AI125" t="s">
        <v>590</v>
      </c>
      <c r="AJ125" t="s">
        <v>148</v>
      </c>
    </row>
    <row r="126" spans="1:36" x14ac:dyDescent="0.2">
      <c r="A126" t="s">
        <v>612</v>
      </c>
      <c r="B126" t="s">
        <v>613</v>
      </c>
      <c r="C126" t="s">
        <v>19</v>
      </c>
      <c r="D126" t="s">
        <v>615</v>
      </c>
      <c r="E126" t="str">
        <f>HYPERLINK("/pdf/2025_10.1109_isdfs65363.2025.11012123_Insider_Threat_Pattern_Detection_Using_Deep_Learning_to_Evaluate_Cyber_Value_at_Risk_(CVaR).pdf","open")</f>
        <v>open</v>
      </c>
      <c r="F126" t="s">
        <v>1618</v>
      </c>
      <c r="G126" t="s">
        <v>2219</v>
      </c>
      <c r="H126" t="s">
        <v>2386</v>
      </c>
      <c r="I126" t="s">
        <v>1609</v>
      </c>
      <c r="J126" t="s">
        <v>148</v>
      </c>
      <c r="K126" t="s">
        <v>148</v>
      </c>
      <c r="L126" t="s">
        <v>148</v>
      </c>
      <c r="M126" t="s">
        <v>2387</v>
      </c>
      <c r="N126" t="s">
        <v>1611</v>
      </c>
      <c r="O126" t="s">
        <v>148</v>
      </c>
      <c r="P126" t="s">
        <v>148</v>
      </c>
      <c r="Q126" t="s">
        <v>148</v>
      </c>
      <c r="R126" t="s">
        <v>148</v>
      </c>
      <c r="S126" t="s">
        <v>1655</v>
      </c>
      <c r="T126" t="s">
        <v>2388</v>
      </c>
      <c r="U126" t="s">
        <v>148</v>
      </c>
      <c r="V126" t="s">
        <v>148</v>
      </c>
      <c r="W126" t="s">
        <v>148</v>
      </c>
      <c r="X126" t="s">
        <v>2389</v>
      </c>
      <c r="Y126" t="s">
        <v>148</v>
      </c>
      <c r="Z126" t="s">
        <v>148</v>
      </c>
      <c r="AA126" t="s">
        <v>2390</v>
      </c>
      <c r="AB126" t="s">
        <v>1609</v>
      </c>
      <c r="AC126" t="s">
        <v>148</v>
      </c>
      <c r="AD126" t="s">
        <v>148</v>
      </c>
      <c r="AE126" t="s">
        <v>148</v>
      </c>
      <c r="AF126" t="s">
        <v>2391</v>
      </c>
      <c r="AG126" t="s">
        <v>1614</v>
      </c>
      <c r="AH126" t="s">
        <v>148</v>
      </c>
      <c r="AI126" t="s">
        <v>44</v>
      </c>
      <c r="AJ126" t="s">
        <v>2392</v>
      </c>
    </row>
    <row r="127" spans="1:36" x14ac:dyDescent="0.2">
      <c r="A127" t="s">
        <v>617</v>
      </c>
      <c r="B127" t="s">
        <v>618</v>
      </c>
      <c r="C127" t="s">
        <v>25</v>
      </c>
      <c r="D127" t="s">
        <v>619</v>
      </c>
      <c r="E127" t="str">
        <f>HYPERLINK("/pdf/2023_10_3390_app13095568_security_ontology_ontosecrpa_for_robotic_process_automation_domain.pdf","open")</f>
        <v>open</v>
      </c>
      <c r="F127" t="s">
        <v>1602</v>
      </c>
      <c r="G127" t="s">
        <v>1602</v>
      </c>
      <c r="H127" t="s">
        <v>2393</v>
      </c>
      <c r="I127" t="s">
        <v>1604</v>
      </c>
      <c r="J127" t="s">
        <v>1721</v>
      </c>
      <c r="K127" t="s">
        <v>1653</v>
      </c>
      <c r="L127" t="s">
        <v>1604</v>
      </c>
      <c r="M127" t="s">
        <v>148</v>
      </c>
      <c r="N127" t="s">
        <v>148</v>
      </c>
      <c r="O127" t="s">
        <v>148</v>
      </c>
      <c r="P127" t="s">
        <v>148</v>
      </c>
      <c r="Q127" t="s">
        <v>148</v>
      </c>
      <c r="R127" t="s">
        <v>148</v>
      </c>
      <c r="S127" t="s">
        <v>148</v>
      </c>
      <c r="T127" t="s">
        <v>148</v>
      </c>
      <c r="U127" t="s">
        <v>148</v>
      </c>
      <c r="V127" t="s">
        <v>148</v>
      </c>
      <c r="W127" t="s">
        <v>148</v>
      </c>
      <c r="X127" t="s">
        <v>148</v>
      </c>
      <c r="Y127" t="s">
        <v>148</v>
      </c>
      <c r="Z127" t="s">
        <v>148</v>
      </c>
      <c r="AA127" t="s">
        <v>2394</v>
      </c>
      <c r="AB127" t="s">
        <v>1604</v>
      </c>
      <c r="AC127" t="s">
        <v>2395</v>
      </c>
      <c r="AD127" t="s">
        <v>148</v>
      </c>
      <c r="AE127" t="s">
        <v>148</v>
      </c>
      <c r="AF127" t="s">
        <v>2396</v>
      </c>
      <c r="AG127" t="s">
        <v>2397</v>
      </c>
      <c r="AH127" t="s">
        <v>148</v>
      </c>
      <c r="AI127" t="s">
        <v>2398</v>
      </c>
      <c r="AJ127" t="s">
        <v>148</v>
      </c>
    </row>
    <row r="128" spans="1:36" x14ac:dyDescent="0.2">
      <c r="A128" t="s">
        <v>621</v>
      </c>
      <c r="B128" t="s">
        <v>622</v>
      </c>
      <c r="C128" t="s">
        <v>60</v>
      </c>
      <c r="D128" t="s">
        <v>624</v>
      </c>
      <c r="E128" t="str">
        <f>HYPERLINK("/pdf/2024_10.1109_icces63552.2024.10860119_Secure_Cloud-WSNs_with_Advanced_Intrusion_Detection_System_using_Kepler_Optimization_and_Bi-ConGRU_Network_App.pdf","open")</f>
        <v>open</v>
      </c>
      <c r="F128" t="s">
        <v>1607</v>
      </c>
      <c r="G128" t="s">
        <v>2399</v>
      </c>
      <c r="H128" t="s">
        <v>2400</v>
      </c>
      <c r="I128" t="s">
        <v>1609</v>
      </c>
      <c r="J128" t="s">
        <v>148</v>
      </c>
      <c r="K128" t="s">
        <v>148</v>
      </c>
      <c r="L128" t="s">
        <v>148</v>
      </c>
      <c r="M128" t="s">
        <v>1636</v>
      </c>
      <c r="N128" t="s">
        <v>1611</v>
      </c>
      <c r="O128" t="s">
        <v>148</v>
      </c>
      <c r="P128" t="s">
        <v>148</v>
      </c>
      <c r="Q128" t="s">
        <v>148</v>
      </c>
      <c r="R128" t="s">
        <v>2401</v>
      </c>
      <c r="S128" t="s">
        <v>1654</v>
      </c>
      <c r="T128" t="s">
        <v>2125</v>
      </c>
      <c r="U128" t="s">
        <v>148</v>
      </c>
      <c r="V128" t="s">
        <v>148</v>
      </c>
      <c r="W128" t="s">
        <v>148</v>
      </c>
      <c r="X128" t="s">
        <v>148</v>
      </c>
      <c r="Y128" t="s">
        <v>148</v>
      </c>
      <c r="Z128" t="s">
        <v>148</v>
      </c>
      <c r="AA128" t="s">
        <v>2402</v>
      </c>
      <c r="AB128" t="s">
        <v>1604</v>
      </c>
      <c r="AC128" t="s">
        <v>148</v>
      </c>
      <c r="AD128" t="s">
        <v>148</v>
      </c>
      <c r="AE128" t="s">
        <v>148</v>
      </c>
      <c r="AF128" t="s">
        <v>2403</v>
      </c>
      <c r="AG128" t="s">
        <v>1614</v>
      </c>
      <c r="AH128" t="s">
        <v>2404</v>
      </c>
      <c r="AI128" t="s">
        <v>44</v>
      </c>
      <c r="AJ128" t="s">
        <v>2405</v>
      </c>
    </row>
    <row r="129" spans="1:36" x14ac:dyDescent="0.2">
      <c r="A129" t="s">
        <v>626</v>
      </c>
      <c r="B129" t="s">
        <v>627</v>
      </c>
      <c r="C129" t="s">
        <v>19</v>
      </c>
      <c r="D129" t="s">
        <v>628</v>
      </c>
      <c r="E129" t="str">
        <f>HYPERLINK("/pdf/2025_10_3390_app15116258_anomaly_detection_in_network_traffic_via_cross_domain_federated_graph_representation_learn.pdf","open")</f>
        <v>open</v>
      </c>
      <c r="F129" t="s">
        <v>2406</v>
      </c>
      <c r="G129" t="s">
        <v>1607</v>
      </c>
      <c r="H129" t="s">
        <v>2407</v>
      </c>
      <c r="I129" t="s">
        <v>2408</v>
      </c>
      <c r="J129" t="s">
        <v>1733</v>
      </c>
      <c r="K129" t="s">
        <v>1653</v>
      </c>
      <c r="L129" t="s">
        <v>1609</v>
      </c>
      <c r="M129" t="s">
        <v>2409</v>
      </c>
      <c r="N129" t="s">
        <v>1611</v>
      </c>
      <c r="O129" t="s">
        <v>148</v>
      </c>
      <c r="P129" t="s">
        <v>148</v>
      </c>
      <c r="Q129" t="s">
        <v>148</v>
      </c>
      <c r="R129" t="s">
        <v>148</v>
      </c>
      <c r="S129" t="s">
        <v>1655</v>
      </c>
      <c r="T129" t="s">
        <v>2173</v>
      </c>
      <c r="U129" t="s">
        <v>1609</v>
      </c>
      <c r="V129" t="s">
        <v>1609</v>
      </c>
      <c r="W129" t="s">
        <v>1609</v>
      </c>
      <c r="X129" t="s">
        <v>148</v>
      </c>
      <c r="Y129" t="s">
        <v>148</v>
      </c>
      <c r="Z129" t="s">
        <v>148</v>
      </c>
      <c r="AA129" t="s">
        <v>2410</v>
      </c>
      <c r="AB129" t="s">
        <v>1604</v>
      </c>
      <c r="AC129" t="s">
        <v>148</v>
      </c>
      <c r="AD129" t="s">
        <v>148</v>
      </c>
      <c r="AE129" t="s">
        <v>148</v>
      </c>
      <c r="AF129" t="s">
        <v>2411</v>
      </c>
      <c r="AG129" t="s">
        <v>2036</v>
      </c>
      <c r="AH129" t="s">
        <v>2412</v>
      </c>
      <c r="AI129" t="s">
        <v>590</v>
      </c>
      <c r="AJ129" t="s">
        <v>2413</v>
      </c>
    </row>
    <row r="130" spans="1:36" x14ac:dyDescent="0.2">
      <c r="A130" t="s">
        <v>630</v>
      </c>
      <c r="B130" t="s">
        <v>631</v>
      </c>
      <c r="C130" t="s">
        <v>19</v>
      </c>
      <c r="D130" t="s">
        <v>633</v>
      </c>
      <c r="E130" t="str">
        <f>HYPERLINK("/pdf/2025_10_58346_jisis_2025_i3_021_secure_wireless_connectivity_frameworks_for_financial_internet_services.pdf","open")</f>
        <v>open</v>
      </c>
      <c r="F130" t="s">
        <v>1602</v>
      </c>
      <c r="G130" t="s">
        <v>1661</v>
      </c>
      <c r="H130" t="s">
        <v>2414</v>
      </c>
      <c r="I130" t="s">
        <v>148</v>
      </c>
      <c r="J130" t="s">
        <v>148</v>
      </c>
      <c r="K130" t="s">
        <v>148</v>
      </c>
      <c r="L130" t="s">
        <v>148</v>
      </c>
      <c r="M130" t="s">
        <v>148</v>
      </c>
      <c r="N130" t="s">
        <v>148</v>
      </c>
      <c r="O130" t="s">
        <v>148</v>
      </c>
      <c r="P130" t="s">
        <v>148</v>
      </c>
      <c r="Q130" t="s">
        <v>148</v>
      </c>
      <c r="R130" t="s">
        <v>148</v>
      </c>
      <c r="S130" t="s">
        <v>148</v>
      </c>
      <c r="T130" t="s">
        <v>148</v>
      </c>
      <c r="U130" t="s">
        <v>148</v>
      </c>
      <c r="V130" t="s">
        <v>148</v>
      </c>
      <c r="W130" t="s">
        <v>148</v>
      </c>
      <c r="X130" t="s">
        <v>148</v>
      </c>
      <c r="Y130" t="s">
        <v>148</v>
      </c>
      <c r="Z130" t="s">
        <v>148</v>
      </c>
      <c r="AA130" t="s">
        <v>148</v>
      </c>
      <c r="AB130" t="s">
        <v>148</v>
      </c>
      <c r="AC130" t="s">
        <v>148</v>
      </c>
      <c r="AD130" t="s">
        <v>148</v>
      </c>
      <c r="AE130" t="s">
        <v>148</v>
      </c>
      <c r="AF130" t="s">
        <v>2415</v>
      </c>
      <c r="AG130" t="s">
        <v>2416</v>
      </c>
      <c r="AH130" t="s">
        <v>2417</v>
      </c>
      <c r="AI130" t="s">
        <v>2418</v>
      </c>
      <c r="AJ130" t="s">
        <v>148</v>
      </c>
    </row>
    <row r="131" spans="1:36" x14ac:dyDescent="0.2">
      <c r="A131" t="s">
        <v>635</v>
      </c>
      <c r="B131" t="s">
        <v>636</v>
      </c>
      <c r="C131" t="s">
        <v>36</v>
      </c>
      <c r="D131" t="s">
        <v>638</v>
      </c>
      <c r="E131" t="str">
        <f>HYPERLINK("/pdf/2021_10.1145_3474124.3474195_Examining_security_for_different_data_models.pdf","open")</f>
        <v>open</v>
      </c>
      <c r="F131" t="s">
        <v>1602</v>
      </c>
      <c r="G131" t="s">
        <v>1661</v>
      </c>
      <c r="H131" t="s">
        <v>2419</v>
      </c>
      <c r="I131" t="s">
        <v>148</v>
      </c>
      <c r="J131" t="s">
        <v>148</v>
      </c>
      <c r="K131" t="s">
        <v>148</v>
      </c>
      <c r="L131" t="s">
        <v>148</v>
      </c>
      <c r="M131" t="s">
        <v>148</v>
      </c>
      <c r="N131" t="s">
        <v>148</v>
      </c>
      <c r="O131" t="s">
        <v>148</v>
      </c>
      <c r="P131" t="s">
        <v>148</v>
      </c>
      <c r="Q131" t="s">
        <v>148</v>
      </c>
      <c r="R131" t="s">
        <v>148</v>
      </c>
      <c r="S131" t="s">
        <v>148</v>
      </c>
      <c r="T131" t="s">
        <v>148</v>
      </c>
      <c r="U131" t="s">
        <v>148</v>
      </c>
      <c r="V131" t="s">
        <v>148</v>
      </c>
      <c r="W131" t="s">
        <v>148</v>
      </c>
      <c r="X131" t="s">
        <v>148</v>
      </c>
      <c r="Y131" t="s">
        <v>148</v>
      </c>
      <c r="Z131" t="s">
        <v>148</v>
      </c>
      <c r="AA131" t="s">
        <v>2420</v>
      </c>
      <c r="AB131" t="s">
        <v>148</v>
      </c>
      <c r="AC131" t="s">
        <v>148</v>
      </c>
      <c r="AD131" t="s">
        <v>148</v>
      </c>
      <c r="AE131" t="s">
        <v>148</v>
      </c>
      <c r="AF131" t="s">
        <v>2421</v>
      </c>
      <c r="AG131" t="s">
        <v>148</v>
      </c>
      <c r="AH131" t="s">
        <v>2422</v>
      </c>
      <c r="AI131" t="s">
        <v>2423</v>
      </c>
      <c r="AJ131" t="s">
        <v>148</v>
      </c>
    </row>
    <row r="132" spans="1:36" x14ac:dyDescent="0.2">
      <c r="A132" t="s">
        <v>640</v>
      </c>
      <c r="B132" t="s">
        <v>641</v>
      </c>
      <c r="C132" t="s">
        <v>598</v>
      </c>
      <c r="D132" t="s">
        <v>643</v>
      </c>
      <c r="E132" t="str">
        <f>HYPERLINK("/pdf/2012_10.1109_cybersec.2012.6246117_Hierarchical_secure_virtualization_model_for_cloud.pdf","open")</f>
        <v>open</v>
      </c>
      <c r="F132" t="s">
        <v>1607</v>
      </c>
      <c r="G132" t="s">
        <v>2424</v>
      </c>
      <c r="H132" t="s">
        <v>2425</v>
      </c>
      <c r="I132" t="s">
        <v>1609</v>
      </c>
      <c r="J132" t="s">
        <v>148</v>
      </c>
      <c r="K132" t="s">
        <v>148</v>
      </c>
      <c r="L132" t="s">
        <v>148</v>
      </c>
      <c r="M132" t="s">
        <v>148</v>
      </c>
      <c r="N132" t="s">
        <v>148</v>
      </c>
      <c r="O132" t="s">
        <v>148</v>
      </c>
      <c r="P132" t="s">
        <v>148</v>
      </c>
      <c r="Q132" t="s">
        <v>148</v>
      </c>
      <c r="R132" t="s">
        <v>148</v>
      </c>
      <c r="S132" t="s">
        <v>148</v>
      </c>
      <c r="T132" t="s">
        <v>148</v>
      </c>
      <c r="U132" t="s">
        <v>148</v>
      </c>
      <c r="V132" t="s">
        <v>148</v>
      </c>
      <c r="W132" t="s">
        <v>148</v>
      </c>
      <c r="X132" t="s">
        <v>148</v>
      </c>
      <c r="Y132" t="s">
        <v>148</v>
      </c>
      <c r="Z132" t="s">
        <v>148</v>
      </c>
      <c r="AA132" t="s">
        <v>148</v>
      </c>
      <c r="AB132" t="s">
        <v>148</v>
      </c>
      <c r="AC132" t="s">
        <v>148</v>
      </c>
      <c r="AD132" t="s">
        <v>148</v>
      </c>
      <c r="AE132" t="s">
        <v>148</v>
      </c>
      <c r="AF132" t="s">
        <v>148</v>
      </c>
      <c r="AG132" t="s">
        <v>148</v>
      </c>
      <c r="AH132" t="s">
        <v>148</v>
      </c>
      <c r="AI132" t="s">
        <v>148</v>
      </c>
      <c r="AJ132" t="s">
        <v>148</v>
      </c>
    </row>
    <row r="133" spans="1:36" x14ac:dyDescent="0.2">
      <c r="A133" t="s">
        <v>645</v>
      </c>
      <c r="B133" t="s">
        <v>646</v>
      </c>
      <c r="C133" t="s">
        <v>19</v>
      </c>
      <c r="D133" t="s">
        <v>648</v>
      </c>
      <c r="E133" t="str">
        <f>HYPERLINK("/pdf/2025_10.1007_s11042-023-16777-w_Blockchain-based_color_medical_image_cryptosystem_for_industrial_Internet_of_Healthcare_Things_(IoHT).pdf","open")</f>
        <v>open</v>
      </c>
      <c r="F133" t="s">
        <v>1602</v>
      </c>
      <c r="G133" t="s">
        <v>1602</v>
      </c>
      <c r="H133" t="s">
        <v>2426</v>
      </c>
      <c r="I133" t="s">
        <v>148</v>
      </c>
      <c r="J133" t="s">
        <v>148</v>
      </c>
      <c r="K133" t="s">
        <v>148</v>
      </c>
      <c r="L133" t="s">
        <v>148</v>
      </c>
      <c r="M133" t="s">
        <v>148</v>
      </c>
      <c r="N133" t="s">
        <v>148</v>
      </c>
      <c r="O133" t="s">
        <v>148</v>
      </c>
      <c r="P133" t="s">
        <v>148</v>
      </c>
      <c r="Q133" t="s">
        <v>148</v>
      </c>
      <c r="R133" t="s">
        <v>148</v>
      </c>
      <c r="S133" t="s">
        <v>148</v>
      </c>
      <c r="T133" t="s">
        <v>148</v>
      </c>
      <c r="U133" t="s">
        <v>148</v>
      </c>
      <c r="V133" t="s">
        <v>148</v>
      </c>
      <c r="W133" t="s">
        <v>148</v>
      </c>
      <c r="X133" t="s">
        <v>148</v>
      </c>
      <c r="Y133" t="s">
        <v>148</v>
      </c>
      <c r="Z133" t="s">
        <v>148</v>
      </c>
      <c r="AA133" t="s">
        <v>2427</v>
      </c>
      <c r="AB133" t="s">
        <v>1604</v>
      </c>
      <c r="AC133" t="s">
        <v>2428</v>
      </c>
      <c r="AD133" t="s">
        <v>148</v>
      </c>
      <c r="AE133" t="s">
        <v>148</v>
      </c>
      <c r="AF133" t="s">
        <v>2429</v>
      </c>
      <c r="AG133" t="s">
        <v>2430</v>
      </c>
      <c r="AH133" t="s">
        <v>2431</v>
      </c>
      <c r="AI133" t="s">
        <v>2432</v>
      </c>
      <c r="AJ133" t="s">
        <v>148</v>
      </c>
    </row>
    <row r="134" spans="1:36" x14ac:dyDescent="0.2">
      <c r="A134" t="s">
        <v>650</v>
      </c>
      <c r="B134" t="s">
        <v>651</v>
      </c>
      <c r="C134" t="s">
        <v>156</v>
      </c>
      <c r="D134" t="s">
        <v>652</v>
      </c>
      <c r="E134" t="str">
        <f>HYPERLINK("/pdf/2013_10.1007_s10796-010-9266-9_Application_of_density-based_outlier_detection_to_database_activity_monitoring.pdf","open")</f>
        <v>open</v>
      </c>
      <c r="F134" t="s">
        <v>1618</v>
      </c>
      <c r="G134" t="s">
        <v>2433</v>
      </c>
      <c r="H134" t="s">
        <v>2434</v>
      </c>
      <c r="I134" t="s">
        <v>1609</v>
      </c>
      <c r="J134" t="s">
        <v>148</v>
      </c>
      <c r="K134" t="s">
        <v>148</v>
      </c>
      <c r="L134" t="s">
        <v>148</v>
      </c>
      <c r="M134" t="s">
        <v>1621</v>
      </c>
      <c r="N134" t="s">
        <v>2435</v>
      </c>
      <c r="O134" t="s">
        <v>148</v>
      </c>
      <c r="P134" t="s">
        <v>148</v>
      </c>
      <c r="Q134" t="s">
        <v>148</v>
      </c>
      <c r="R134" t="s">
        <v>148</v>
      </c>
      <c r="S134" t="s">
        <v>1643</v>
      </c>
      <c r="T134" t="s">
        <v>2223</v>
      </c>
      <c r="U134" t="s">
        <v>1609</v>
      </c>
      <c r="V134" t="s">
        <v>1609</v>
      </c>
      <c r="W134" t="s">
        <v>1604</v>
      </c>
      <c r="X134" t="s">
        <v>2436</v>
      </c>
      <c r="Y134" t="s">
        <v>148</v>
      </c>
      <c r="Z134" t="s">
        <v>148</v>
      </c>
      <c r="AA134" t="s">
        <v>2437</v>
      </c>
      <c r="AB134" t="s">
        <v>1609</v>
      </c>
      <c r="AC134" t="s">
        <v>148</v>
      </c>
      <c r="AD134" t="s">
        <v>1609</v>
      </c>
      <c r="AE134" t="s">
        <v>148</v>
      </c>
      <c r="AF134" t="s">
        <v>2438</v>
      </c>
      <c r="AG134" t="s">
        <v>2439</v>
      </c>
      <c r="AH134" t="s">
        <v>2440</v>
      </c>
      <c r="AI134" t="s">
        <v>44</v>
      </c>
      <c r="AJ134" t="s">
        <v>2441</v>
      </c>
    </row>
    <row r="135" spans="1:36" x14ac:dyDescent="0.2">
      <c r="A135" t="s">
        <v>654</v>
      </c>
      <c r="B135" t="s">
        <v>655</v>
      </c>
      <c r="C135" t="s">
        <v>363</v>
      </c>
      <c r="D135" t="s">
        <v>148</v>
      </c>
      <c r="E135" t="str">
        <f>HYPERLINK("/pdf/2016_Dynamic_intrusion_detection_in_database_systems__A_machine-learning_approach.pdf","open")</f>
        <v>open</v>
      </c>
      <c r="F135" t="s">
        <v>1618</v>
      </c>
      <c r="G135" t="s">
        <v>1607</v>
      </c>
      <c r="H135" t="s">
        <v>2442</v>
      </c>
      <c r="I135" t="s">
        <v>1609</v>
      </c>
      <c r="J135" t="s">
        <v>148</v>
      </c>
      <c r="K135" t="s">
        <v>148</v>
      </c>
      <c r="L135" t="s">
        <v>148</v>
      </c>
      <c r="M135" t="s">
        <v>2443</v>
      </c>
      <c r="N135" t="s">
        <v>1611</v>
      </c>
      <c r="O135" t="s">
        <v>148</v>
      </c>
      <c r="P135" t="s">
        <v>148</v>
      </c>
      <c r="Q135" t="s">
        <v>148</v>
      </c>
      <c r="R135" t="s">
        <v>148</v>
      </c>
      <c r="S135" t="s">
        <v>1655</v>
      </c>
      <c r="T135" t="s">
        <v>2444</v>
      </c>
      <c r="U135" t="s">
        <v>148</v>
      </c>
      <c r="V135" t="s">
        <v>148</v>
      </c>
      <c r="W135" t="s">
        <v>148</v>
      </c>
      <c r="X135" t="s">
        <v>2445</v>
      </c>
      <c r="Y135" t="s">
        <v>148</v>
      </c>
      <c r="Z135" t="s">
        <v>148</v>
      </c>
      <c r="AA135" t="s">
        <v>2446</v>
      </c>
      <c r="AB135" t="s">
        <v>1604</v>
      </c>
      <c r="AC135" t="s">
        <v>148</v>
      </c>
      <c r="AD135" t="s">
        <v>148</v>
      </c>
      <c r="AE135" t="s">
        <v>148</v>
      </c>
      <c r="AF135" t="s">
        <v>1614</v>
      </c>
      <c r="AG135" t="s">
        <v>1614</v>
      </c>
      <c r="AH135" t="s">
        <v>2447</v>
      </c>
      <c r="AI135" t="s">
        <v>44</v>
      </c>
      <c r="AJ135" t="s">
        <v>2448</v>
      </c>
    </row>
    <row r="136" spans="1:36" x14ac:dyDescent="0.2">
      <c r="A136" t="s">
        <v>658</v>
      </c>
      <c r="B136" t="s">
        <v>659</v>
      </c>
      <c r="C136" t="s">
        <v>19</v>
      </c>
      <c r="D136" t="s">
        <v>661</v>
      </c>
      <c r="E136" t="str">
        <f>HYPERLINK("/pdf/2025_10_3390_electronics14234590_prifed_ids_a_privacy_preserving_federated_reinforcement_learning_framework_for_secure_and.pdf","open")</f>
        <v>open</v>
      </c>
      <c r="F136" t="s">
        <v>1607</v>
      </c>
      <c r="G136" t="s">
        <v>2449</v>
      </c>
      <c r="H136" t="s">
        <v>2450</v>
      </c>
      <c r="I136" t="s">
        <v>1609</v>
      </c>
      <c r="J136" t="s">
        <v>1602</v>
      </c>
      <c r="K136" t="s">
        <v>148</v>
      </c>
      <c r="L136" t="s">
        <v>148</v>
      </c>
      <c r="M136" t="s">
        <v>2451</v>
      </c>
      <c r="N136" t="s">
        <v>1611</v>
      </c>
      <c r="O136" t="s">
        <v>148</v>
      </c>
      <c r="P136" t="s">
        <v>148</v>
      </c>
      <c r="Q136" t="s">
        <v>148</v>
      </c>
      <c r="R136" t="s">
        <v>148</v>
      </c>
      <c r="S136" t="s">
        <v>1655</v>
      </c>
      <c r="T136" t="s">
        <v>2452</v>
      </c>
      <c r="U136" t="s">
        <v>1609</v>
      </c>
      <c r="V136" t="s">
        <v>1609</v>
      </c>
      <c r="W136" t="s">
        <v>148</v>
      </c>
      <c r="X136" t="s">
        <v>2453</v>
      </c>
      <c r="Y136" t="s">
        <v>148</v>
      </c>
      <c r="Z136" t="s">
        <v>148</v>
      </c>
      <c r="AA136" t="s">
        <v>2454</v>
      </c>
      <c r="AB136" t="s">
        <v>1604</v>
      </c>
      <c r="AC136" t="s">
        <v>2455</v>
      </c>
      <c r="AD136" t="s">
        <v>1609</v>
      </c>
      <c r="AE136" t="s">
        <v>148</v>
      </c>
      <c r="AF136" t="s">
        <v>2456</v>
      </c>
      <c r="AG136" t="s">
        <v>1614</v>
      </c>
      <c r="AH136" t="s">
        <v>2457</v>
      </c>
      <c r="AI136" t="s">
        <v>590</v>
      </c>
      <c r="AJ136" t="s">
        <v>148</v>
      </c>
    </row>
    <row r="137" spans="1:36" x14ac:dyDescent="0.2">
      <c r="A137" t="s">
        <v>663</v>
      </c>
      <c r="B137" t="s">
        <v>664</v>
      </c>
      <c r="C137" t="s">
        <v>54</v>
      </c>
      <c r="D137" t="s">
        <v>666</v>
      </c>
      <c r="E137" t="str">
        <f>HYPERLINK("/pdf/2020_10_3390_electronics9111937_fast_packet_inspection_for_end_to_end_encryption.pdf","open")</f>
        <v>open</v>
      </c>
      <c r="F137" t="s">
        <v>1744</v>
      </c>
      <c r="G137" t="s">
        <v>1651</v>
      </c>
      <c r="H137" t="s">
        <v>2458</v>
      </c>
      <c r="I137" t="s">
        <v>1609</v>
      </c>
      <c r="J137" t="s">
        <v>148</v>
      </c>
      <c r="K137" t="s">
        <v>148</v>
      </c>
      <c r="L137" t="s">
        <v>148</v>
      </c>
      <c r="M137" t="s">
        <v>148</v>
      </c>
      <c r="N137" t="s">
        <v>148</v>
      </c>
      <c r="O137" t="s">
        <v>148</v>
      </c>
      <c r="P137" t="s">
        <v>148</v>
      </c>
      <c r="Q137" t="s">
        <v>148</v>
      </c>
      <c r="R137" t="s">
        <v>148</v>
      </c>
      <c r="S137" t="s">
        <v>148</v>
      </c>
      <c r="T137" t="s">
        <v>148</v>
      </c>
      <c r="U137" t="s">
        <v>148</v>
      </c>
      <c r="V137" t="s">
        <v>148</v>
      </c>
      <c r="W137" t="s">
        <v>148</v>
      </c>
      <c r="X137" t="s">
        <v>2459</v>
      </c>
      <c r="Y137" t="s">
        <v>148</v>
      </c>
      <c r="Z137" t="s">
        <v>148</v>
      </c>
      <c r="AA137" t="s">
        <v>2460</v>
      </c>
      <c r="AB137" t="s">
        <v>1609</v>
      </c>
      <c r="AC137" t="s">
        <v>148</v>
      </c>
      <c r="AD137" t="s">
        <v>148</v>
      </c>
      <c r="AE137" t="s">
        <v>148</v>
      </c>
      <c r="AF137" t="s">
        <v>2461</v>
      </c>
      <c r="AG137" t="s">
        <v>2462</v>
      </c>
      <c r="AH137" t="s">
        <v>2463</v>
      </c>
      <c r="AI137" t="s">
        <v>2464</v>
      </c>
      <c r="AJ137" t="s">
        <v>148</v>
      </c>
    </row>
    <row r="138" spans="1:36" x14ac:dyDescent="0.2">
      <c r="A138" t="s">
        <v>668</v>
      </c>
      <c r="B138" t="s">
        <v>669</v>
      </c>
      <c r="C138" t="s">
        <v>25</v>
      </c>
      <c r="D138" t="s">
        <v>670</v>
      </c>
      <c r="E138" t="str">
        <f>HYPERLINK("/pdf/2023_10.1007_s10207-023-00727-6_Federated_learning-based_intrusion_detection_system_for_Internet_of_Things.pdf","open")</f>
        <v>open</v>
      </c>
      <c r="F138" t="s">
        <v>1606</v>
      </c>
      <c r="G138" t="s">
        <v>1607</v>
      </c>
      <c r="H138" t="s">
        <v>2465</v>
      </c>
      <c r="I138" t="s">
        <v>1609</v>
      </c>
      <c r="J138" t="s">
        <v>148</v>
      </c>
      <c r="K138" t="s">
        <v>148</v>
      </c>
      <c r="L138" t="s">
        <v>148</v>
      </c>
      <c r="M138" t="s">
        <v>2466</v>
      </c>
      <c r="N138" t="s">
        <v>1611</v>
      </c>
      <c r="O138" t="s">
        <v>1604</v>
      </c>
      <c r="P138" t="s">
        <v>2221</v>
      </c>
      <c r="Q138" t="s">
        <v>2467</v>
      </c>
      <c r="R138" t="s">
        <v>2468</v>
      </c>
      <c r="S138" t="s">
        <v>1655</v>
      </c>
      <c r="T138" t="s">
        <v>2469</v>
      </c>
      <c r="U138" t="s">
        <v>148</v>
      </c>
      <c r="V138" t="s">
        <v>148</v>
      </c>
      <c r="W138" t="s">
        <v>148</v>
      </c>
      <c r="X138" t="s">
        <v>1637</v>
      </c>
      <c r="Y138" t="s">
        <v>148</v>
      </c>
      <c r="Z138" t="s">
        <v>148</v>
      </c>
      <c r="AA138" t="s">
        <v>2470</v>
      </c>
      <c r="AB138" t="s">
        <v>1604</v>
      </c>
      <c r="AC138" t="s">
        <v>2471</v>
      </c>
      <c r="AD138" t="s">
        <v>148</v>
      </c>
      <c r="AE138" t="s">
        <v>148</v>
      </c>
      <c r="AF138" t="s">
        <v>2472</v>
      </c>
      <c r="AG138" t="s">
        <v>1629</v>
      </c>
      <c r="AH138" t="s">
        <v>2473</v>
      </c>
      <c r="AI138" t="s">
        <v>590</v>
      </c>
      <c r="AJ138" t="s">
        <v>2474</v>
      </c>
    </row>
    <row r="139" spans="1:36" x14ac:dyDescent="0.2">
      <c r="A139" t="s">
        <v>672</v>
      </c>
      <c r="B139" t="s">
        <v>673</v>
      </c>
      <c r="C139" t="s">
        <v>210</v>
      </c>
      <c r="D139" t="s">
        <v>148</v>
      </c>
      <c r="E139" t="str">
        <f>HYPERLINK("/pdf/2015_Fujitsu's_security_technology_based_on_practical_knowledge.pdf","open")</f>
        <v>open</v>
      </c>
      <c r="F139" t="s">
        <v>1602</v>
      </c>
      <c r="G139" t="s">
        <v>1691</v>
      </c>
      <c r="H139" t="s">
        <v>2475</v>
      </c>
      <c r="I139" t="s">
        <v>1609</v>
      </c>
      <c r="J139" t="s">
        <v>148</v>
      </c>
      <c r="K139" t="s">
        <v>148</v>
      </c>
      <c r="L139" t="s">
        <v>148</v>
      </c>
      <c r="M139" t="s">
        <v>148</v>
      </c>
      <c r="N139" t="s">
        <v>148</v>
      </c>
      <c r="O139" t="s">
        <v>148</v>
      </c>
      <c r="P139" t="s">
        <v>148</v>
      </c>
      <c r="Q139" t="s">
        <v>148</v>
      </c>
      <c r="R139" t="s">
        <v>148</v>
      </c>
      <c r="S139" t="s">
        <v>148</v>
      </c>
      <c r="T139" t="s">
        <v>148</v>
      </c>
      <c r="U139" t="s">
        <v>148</v>
      </c>
      <c r="V139" t="s">
        <v>148</v>
      </c>
      <c r="W139" t="s">
        <v>148</v>
      </c>
      <c r="X139" t="s">
        <v>148</v>
      </c>
      <c r="Y139" t="s">
        <v>148</v>
      </c>
      <c r="Z139" t="s">
        <v>148</v>
      </c>
      <c r="AA139" t="s">
        <v>148</v>
      </c>
      <c r="AB139" t="s">
        <v>1609</v>
      </c>
      <c r="AC139" t="s">
        <v>148</v>
      </c>
      <c r="AD139" t="s">
        <v>1609</v>
      </c>
      <c r="AE139" t="s">
        <v>148</v>
      </c>
      <c r="AF139" t="s">
        <v>2476</v>
      </c>
      <c r="AG139" t="s">
        <v>2477</v>
      </c>
      <c r="AH139" t="s">
        <v>148</v>
      </c>
      <c r="AI139" t="s">
        <v>148</v>
      </c>
      <c r="AJ139" t="s">
        <v>148</v>
      </c>
    </row>
    <row r="140" spans="1:36" x14ac:dyDescent="0.2">
      <c r="A140" t="s">
        <v>675</v>
      </c>
      <c r="B140" t="s">
        <v>676</v>
      </c>
      <c r="C140" t="s">
        <v>60</v>
      </c>
      <c r="D140" t="s">
        <v>677</v>
      </c>
      <c r="E140" t="str">
        <f>HYPERLINK("/pdf/2024_10.1007_s10207-023-00805-9_Federated_transfer_learning_for_attack_detection_for_Internet_of_Medical_Things.pdf","open")</f>
        <v>open</v>
      </c>
      <c r="F140" t="s">
        <v>1607</v>
      </c>
      <c r="G140" t="s">
        <v>2449</v>
      </c>
      <c r="H140" t="s">
        <v>2478</v>
      </c>
      <c r="I140" t="s">
        <v>1609</v>
      </c>
      <c r="J140" t="s">
        <v>148</v>
      </c>
      <c r="K140" t="s">
        <v>148</v>
      </c>
      <c r="L140" t="s">
        <v>148</v>
      </c>
      <c r="M140" t="s">
        <v>2479</v>
      </c>
      <c r="N140" t="s">
        <v>1611</v>
      </c>
      <c r="O140" t="s">
        <v>148</v>
      </c>
      <c r="P140" t="s">
        <v>148</v>
      </c>
      <c r="Q140" t="s">
        <v>148</v>
      </c>
      <c r="R140" t="s">
        <v>148</v>
      </c>
      <c r="S140" t="s">
        <v>1655</v>
      </c>
      <c r="T140" t="s">
        <v>2480</v>
      </c>
      <c r="U140" t="s">
        <v>148</v>
      </c>
      <c r="V140" t="s">
        <v>2481</v>
      </c>
      <c r="W140" t="s">
        <v>148</v>
      </c>
      <c r="X140" t="s">
        <v>2482</v>
      </c>
      <c r="Y140" t="s">
        <v>148</v>
      </c>
      <c r="Z140" t="s">
        <v>148</v>
      </c>
      <c r="AA140" t="s">
        <v>2483</v>
      </c>
      <c r="AB140" t="s">
        <v>1604</v>
      </c>
      <c r="AC140" t="s">
        <v>2484</v>
      </c>
      <c r="AD140" t="s">
        <v>148</v>
      </c>
      <c r="AE140" t="s">
        <v>148</v>
      </c>
      <c r="AF140" t="s">
        <v>2485</v>
      </c>
      <c r="AG140" t="s">
        <v>2486</v>
      </c>
      <c r="AH140" t="s">
        <v>2487</v>
      </c>
      <c r="AI140" t="s">
        <v>590</v>
      </c>
      <c r="AJ140" t="s">
        <v>2488</v>
      </c>
    </row>
    <row r="141" spans="1:36" x14ac:dyDescent="0.2">
      <c r="A141" t="s">
        <v>679</v>
      </c>
      <c r="B141" t="s">
        <v>680</v>
      </c>
      <c r="C141" t="s">
        <v>19</v>
      </c>
      <c r="D141" t="s">
        <v>682</v>
      </c>
      <c r="E141" t="str">
        <f>HYPERLINK("/pdf/2025_10_37934_araset_51_2_153176_detecting_wormhole_attack_in_environmental_monitoring_system_for_agriculture_usi.pdf","open")</f>
        <v>open</v>
      </c>
      <c r="F141" t="s">
        <v>1633</v>
      </c>
      <c r="G141" t="s">
        <v>1607</v>
      </c>
      <c r="H141" t="s">
        <v>2489</v>
      </c>
      <c r="I141" t="s">
        <v>1609</v>
      </c>
      <c r="J141" t="s">
        <v>2490</v>
      </c>
      <c r="K141" t="s">
        <v>148</v>
      </c>
      <c r="L141" t="s">
        <v>148</v>
      </c>
      <c r="M141" t="s">
        <v>1636</v>
      </c>
      <c r="N141" t="s">
        <v>148</v>
      </c>
      <c r="O141" t="s">
        <v>148</v>
      </c>
      <c r="P141" t="s">
        <v>148</v>
      </c>
      <c r="Q141" t="s">
        <v>148</v>
      </c>
      <c r="R141" t="s">
        <v>148</v>
      </c>
      <c r="S141" t="s">
        <v>1655</v>
      </c>
      <c r="T141" t="s">
        <v>2491</v>
      </c>
      <c r="U141" t="s">
        <v>148</v>
      </c>
      <c r="V141" t="s">
        <v>148</v>
      </c>
      <c r="W141" t="s">
        <v>148</v>
      </c>
      <c r="X141" t="s">
        <v>148</v>
      </c>
      <c r="Y141" t="s">
        <v>148</v>
      </c>
      <c r="Z141" t="s">
        <v>148</v>
      </c>
      <c r="AA141" t="s">
        <v>2492</v>
      </c>
      <c r="AB141" t="s">
        <v>1604</v>
      </c>
      <c r="AC141" t="s">
        <v>2493</v>
      </c>
      <c r="AD141" t="s">
        <v>148</v>
      </c>
      <c r="AE141" t="s">
        <v>148</v>
      </c>
      <c r="AF141" t="s">
        <v>2494</v>
      </c>
      <c r="AG141" t="s">
        <v>1614</v>
      </c>
      <c r="AH141" t="s">
        <v>2495</v>
      </c>
      <c r="AI141" t="s">
        <v>44</v>
      </c>
      <c r="AJ141" t="s">
        <v>148</v>
      </c>
    </row>
    <row r="142" spans="1:36" x14ac:dyDescent="0.2">
      <c r="A142" t="s">
        <v>684</v>
      </c>
      <c r="B142" t="s">
        <v>685</v>
      </c>
      <c r="C142" t="s">
        <v>136</v>
      </c>
      <c r="D142" t="s">
        <v>687</v>
      </c>
      <c r="E142" t="str">
        <f>HYPERLINK("/pdf/2019_10.1109_icac49085.2019.9103339_Enhanced_Secure_Solution_for_PoS_Architecture.pdf","open")</f>
        <v>open</v>
      </c>
      <c r="F142" t="s">
        <v>1744</v>
      </c>
      <c r="G142" t="s">
        <v>2496</v>
      </c>
      <c r="H142" t="s">
        <v>2497</v>
      </c>
      <c r="I142" t="s">
        <v>1609</v>
      </c>
      <c r="J142" t="s">
        <v>148</v>
      </c>
      <c r="K142" t="s">
        <v>148</v>
      </c>
      <c r="L142" t="s">
        <v>148</v>
      </c>
      <c r="M142" t="s">
        <v>1636</v>
      </c>
      <c r="N142" t="s">
        <v>1611</v>
      </c>
      <c r="O142" t="s">
        <v>148</v>
      </c>
      <c r="P142" t="s">
        <v>148</v>
      </c>
      <c r="Q142" t="s">
        <v>148</v>
      </c>
      <c r="R142" t="s">
        <v>148</v>
      </c>
      <c r="S142" t="s">
        <v>1655</v>
      </c>
      <c r="T142" t="s">
        <v>2498</v>
      </c>
      <c r="U142" t="s">
        <v>148</v>
      </c>
      <c r="V142" t="s">
        <v>148</v>
      </c>
      <c r="W142" t="s">
        <v>148</v>
      </c>
      <c r="X142" t="s">
        <v>148</v>
      </c>
      <c r="Y142" t="s">
        <v>148</v>
      </c>
      <c r="Z142" t="s">
        <v>148</v>
      </c>
      <c r="AA142" t="s">
        <v>2499</v>
      </c>
      <c r="AB142" t="s">
        <v>1604</v>
      </c>
      <c r="AC142" t="s">
        <v>148</v>
      </c>
      <c r="AD142" t="s">
        <v>148</v>
      </c>
      <c r="AE142" t="s">
        <v>148</v>
      </c>
      <c r="AF142" t="s">
        <v>1614</v>
      </c>
      <c r="AG142" t="s">
        <v>1614</v>
      </c>
      <c r="AH142" t="s">
        <v>2500</v>
      </c>
      <c r="AI142" t="s">
        <v>44</v>
      </c>
      <c r="AJ142" t="s">
        <v>148</v>
      </c>
    </row>
    <row r="143" spans="1:36" x14ac:dyDescent="0.2">
      <c r="A143" t="s">
        <v>689</v>
      </c>
      <c r="B143" t="s">
        <v>690</v>
      </c>
      <c r="C143" t="s">
        <v>36</v>
      </c>
      <c r="D143" t="s">
        <v>692</v>
      </c>
      <c r="E143" t="str">
        <f>HYPERLINK("/pdf/2021_10_3390_e23101258_an_insider_data_leakage_detection_using_one_hot_encoding_synthetic_minority_oversampling.pdf","open")</f>
        <v>open</v>
      </c>
      <c r="F143" t="s">
        <v>1606</v>
      </c>
      <c r="G143" t="s">
        <v>1607</v>
      </c>
      <c r="H143" t="s">
        <v>2501</v>
      </c>
      <c r="I143" t="s">
        <v>1609</v>
      </c>
      <c r="J143" t="s">
        <v>148</v>
      </c>
      <c r="K143" t="s">
        <v>148</v>
      </c>
      <c r="L143" t="s">
        <v>148</v>
      </c>
      <c r="M143" t="s">
        <v>1636</v>
      </c>
      <c r="N143" t="s">
        <v>1611</v>
      </c>
      <c r="O143" t="s">
        <v>148</v>
      </c>
      <c r="P143" t="s">
        <v>148</v>
      </c>
      <c r="Q143" t="s">
        <v>148</v>
      </c>
      <c r="R143" t="s">
        <v>148</v>
      </c>
      <c r="S143" t="s">
        <v>1655</v>
      </c>
      <c r="T143" t="s">
        <v>2502</v>
      </c>
      <c r="U143" t="s">
        <v>1609</v>
      </c>
      <c r="V143" t="s">
        <v>1609</v>
      </c>
      <c r="W143" t="s">
        <v>148</v>
      </c>
      <c r="X143" t="s">
        <v>1637</v>
      </c>
      <c r="Y143" t="s">
        <v>148</v>
      </c>
      <c r="Z143" t="s">
        <v>148</v>
      </c>
      <c r="AA143" t="s">
        <v>2503</v>
      </c>
      <c r="AB143" t="s">
        <v>1604</v>
      </c>
      <c r="AC143" t="s">
        <v>2227</v>
      </c>
      <c r="AD143" t="s">
        <v>148</v>
      </c>
      <c r="AE143" t="s">
        <v>148</v>
      </c>
      <c r="AF143" t="s">
        <v>2504</v>
      </c>
      <c r="AG143" t="s">
        <v>2505</v>
      </c>
      <c r="AH143" t="s">
        <v>2506</v>
      </c>
      <c r="AI143" t="s">
        <v>590</v>
      </c>
      <c r="AJ143" t="s">
        <v>2507</v>
      </c>
    </row>
    <row r="144" spans="1:36" x14ac:dyDescent="0.2">
      <c r="A144" t="s">
        <v>694</v>
      </c>
      <c r="B144" t="s">
        <v>695</v>
      </c>
      <c r="C144" t="s">
        <v>363</v>
      </c>
      <c r="D144" t="s">
        <v>697</v>
      </c>
      <c r="E144" t="str">
        <f>HYPERLINK("/pdf/2016_10.1145_2976749.2978343_TaintART__A_practical_multi-level_information-flow_tracking_system_for_Android_RunTime.pdf","open")</f>
        <v>open</v>
      </c>
      <c r="F144" t="s">
        <v>1602</v>
      </c>
      <c r="G144" t="s">
        <v>1602</v>
      </c>
      <c r="H144" t="s">
        <v>2508</v>
      </c>
      <c r="I144" t="s">
        <v>1604</v>
      </c>
      <c r="J144" t="s">
        <v>1602</v>
      </c>
      <c r="K144" t="s">
        <v>1664</v>
      </c>
      <c r="L144" t="s">
        <v>1609</v>
      </c>
      <c r="M144" t="s">
        <v>1602</v>
      </c>
      <c r="N144" t="s">
        <v>148</v>
      </c>
      <c r="O144" t="s">
        <v>148</v>
      </c>
      <c r="P144" t="s">
        <v>148</v>
      </c>
      <c r="Q144" t="s">
        <v>148</v>
      </c>
      <c r="R144" t="s">
        <v>148</v>
      </c>
      <c r="S144" t="s">
        <v>148</v>
      </c>
      <c r="T144" t="s">
        <v>148</v>
      </c>
      <c r="U144" t="s">
        <v>148</v>
      </c>
      <c r="V144" t="s">
        <v>148</v>
      </c>
      <c r="W144" t="s">
        <v>148</v>
      </c>
      <c r="X144" t="s">
        <v>148</v>
      </c>
      <c r="Y144" t="s">
        <v>148</v>
      </c>
      <c r="Z144" t="s">
        <v>148</v>
      </c>
      <c r="AA144" t="s">
        <v>2509</v>
      </c>
      <c r="AB144" t="s">
        <v>1604</v>
      </c>
      <c r="AC144" t="s">
        <v>148</v>
      </c>
      <c r="AD144" t="s">
        <v>1604</v>
      </c>
      <c r="AE144" t="s">
        <v>148</v>
      </c>
      <c r="AF144" t="s">
        <v>2510</v>
      </c>
      <c r="AG144" t="s">
        <v>2511</v>
      </c>
      <c r="AH144" t="s">
        <v>2512</v>
      </c>
      <c r="AI144" t="s">
        <v>15</v>
      </c>
      <c r="AJ144" t="s">
        <v>148</v>
      </c>
    </row>
    <row r="145" spans="1:36" x14ac:dyDescent="0.2">
      <c r="A145" t="s">
        <v>699</v>
      </c>
      <c r="B145" t="s">
        <v>700</v>
      </c>
      <c r="C145" t="s">
        <v>100</v>
      </c>
      <c r="D145" t="s">
        <v>702</v>
      </c>
      <c r="E145" t="str">
        <f>HYPERLINK("/pdf/2022_10.1109_icssa54161.2022.9870973_Machine_Learning_Techniques_for_Intrusion_Detection_in_Smart_Healthcare_Systems__A_Comparative_Analysis.pdf","open")</f>
        <v>open</v>
      </c>
      <c r="F145" t="s">
        <v>1607</v>
      </c>
      <c r="G145" t="s">
        <v>1607</v>
      </c>
      <c r="H145" t="s">
        <v>2513</v>
      </c>
      <c r="I145" t="s">
        <v>1609</v>
      </c>
      <c r="J145" t="s">
        <v>148</v>
      </c>
      <c r="K145" t="s">
        <v>148</v>
      </c>
      <c r="L145" t="s">
        <v>148</v>
      </c>
      <c r="M145" t="s">
        <v>1636</v>
      </c>
      <c r="N145" t="s">
        <v>148</v>
      </c>
      <c r="O145" t="s">
        <v>1609</v>
      </c>
      <c r="P145" t="s">
        <v>148</v>
      </c>
      <c r="Q145" t="s">
        <v>148</v>
      </c>
      <c r="R145" t="s">
        <v>148</v>
      </c>
      <c r="S145" t="s">
        <v>2514</v>
      </c>
      <c r="T145" t="s">
        <v>2452</v>
      </c>
      <c r="U145" t="s">
        <v>148</v>
      </c>
      <c r="V145" t="s">
        <v>148</v>
      </c>
      <c r="W145" t="s">
        <v>148</v>
      </c>
      <c r="X145" t="s">
        <v>148</v>
      </c>
      <c r="Y145" t="s">
        <v>148</v>
      </c>
      <c r="Z145" t="s">
        <v>148</v>
      </c>
      <c r="AA145" t="s">
        <v>1866</v>
      </c>
      <c r="AB145" t="s">
        <v>1604</v>
      </c>
      <c r="AC145" t="s">
        <v>148</v>
      </c>
      <c r="AD145" t="s">
        <v>148</v>
      </c>
      <c r="AE145" t="s">
        <v>148</v>
      </c>
      <c r="AF145" t="s">
        <v>2515</v>
      </c>
      <c r="AG145" t="s">
        <v>1614</v>
      </c>
      <c r="AH145" t="s">
        <v>2516</v>
      </c>
      <c r="AI145" t="s">
        <v>44</v>
      </c>
      <c r="AJ145" t="s">
        <v>148</v>
      </c>
    </row>
    <row r="146" spans="1:36" x14ac:dyDescent="0.2">
      <c r="A146" t="s">
        <v>704</v>
      </c>
      <c r="B146" t="s">
        <v>705</v>
      </c>
      <c r="C146" t="s">
        <v>60</v>
      </c>
      <c r="D146" t="s">
        <v>707</v>
      </c>
      <c r="E146" t="str">
        <f>HYPERLINK("/pdf/2024_10.48084_etasr.7467_An_Enhanced_Framework_to_Mitigate_Post-Installation_Cyber_Attacks_on_Android_Apps.pdf","open")</f>
        <v>open</v>
      </c>
      <c r="F146" t="s">
        <v>1744</v>
      </c>
      <c r="G146" t="s">
        <v>2517</v>
      </c>
      <c r="H146" t="s">
        <v>2518</v>
      </c>
      <c r="I146" t="s">
        <v>1609</v>
      </c>
      <c r="J146" t="s">
        <v>148</v>
      </c>
      <c r="K146" t="s">
        <v>148</v>
      </c>
      <c r="L146" t="s">
        <v>148</v>
      </c>
      <c r="M146" t="s">
        <v>2519</v>
      </c>
      <c r="N146" t="s">
        <v>1611</v>
      </c>
      <c r="O146" t="s">
        <v>1609</v>
      </c>
      <c r="P146" t="s">
        <v>148</v>
      </c>
      <c r="Q146" t="s">
        <v>148</v>
      </c>
      <c r="R146" t="s">
        <v>148</v>
      </c>
      <c r="S146" t="s">
        <v>148</v>
      </c>
      <c r="T146" t="s">
        <v>148</v>
      </c>
      <c r="U146" t="s">
        <v>148</v>
      </c>
      <c r="V146" t="s">
        <v>148</v>
      </c>
      <c r="W146" t="s">
        <v>148</v>
      </c>
      <c r="X146" t="s">
        <v>2520</v>
      </c>
      <c r="Y146" t="s">
        <v>148</v>
      </c>
      <c r="Z146" t="s">
        <v>148</v>
      </c>
      <c r="AA146" t="s">
        <v>2521</v>
      </c>
      <c r="AB146" t="s">
        <v>1604</v>
      </c>
      <c r="AC146" t="s">
        <v>148</v>
      </c>
      <c r="AD146" t="s">
        <v>148</v>
      </c>
      <c r="AE146" t="s">
        <v>148</v>
      </c>
      <c r="AF146" t="s">
        <v>2522</v>
      </c>
      <c r="AG146" t="s">
        <v>1614</v>
      </c>
      <c r="AH146" t="s">
        <v>2523</v>
      </c>
      <c r="AI146" t="s">
        <v>2524</v>
      </c>
      <c r="AJ146" t="s">
        <v>148</v>
      </c>
    </row>
    <row r="147" spans="1:36" x14ac:dyDescent="0.2">
      <c r="A147" t="s">
        <v>709</v>
      </c>
      <c r="B147" t="s">
        <v>710</v>
      </c>
      <c r="C147" t="s">
        <v>19</v>
      </c>
      <c r="D147" t="s">
        <v>711</v>
      </c>
      <c r="E147" t="str">
        <f>HYPERLINK("/pdf/2025_10_1038_s41598_025_17799_0_multi_resolution_transfer_learning_for_tampered_image_classification_using_se_en.pdf","open")</f>
        <v>open</v>
      </c>
      <c r="F147" t="s">
        <v>1606</v>
      </c>
      <c r="G147" t="s">
        <v>1602</v>
      </c>
      <c r="H147" t="s">
        <v>2525</v>
      </c>
      <c r="I147" t="s">
        <v>1609</v>
      </c>
      <c r="J147" t="s">
        <v>148</v>
      </c>
      <c r="K147" t="s">
        <v>148</v>
      </c>
      <c r="L147" t="s">
        <v>148</v>
      </c>
      <c r="M147" t="s">
        <v>1636</v>
      </c>
      <c r="N147" t="s">
        <v>1611</v>
      </c>
      <c r="O147" t="s">
        <v>148</v>
      </c>
      <c r="P147" t="s">
        <v>148</v>
      </c>
      <c r="Q147" t="s">
        <v>148</v>
      </c>
      <c r="R147" t="s">
        <v>148</v>
      </c>
      <c r="S147" t="s">
        <v>1655</v>
      </c>
      <c r="T147" t="s">
        <v>1872</v>
      </c>
      <c r="U147" t="s">
        <v>148</v>
      </c>
      <c r="V147" t="s">
        <v>148</v>
      </c>
      <c r="W147" t="s">
        <v>148</v>
      </c>
      <c r="X147" t="s">
        <v>2526</v>
      </c>
      <c r="Y147" t="s">
        <v>148</v>
      </c>
      <c r="Z147" t="s">
        <v>148</v>
      </c>
      <c r="AA147" t="s">
        <v>2527</v>
      </c>
      <c r="AB147" t="s">
        <v>1604</v>
      </c>
      <c r="AC147" t="s">
        <v>148</v>
      </c>
      <c r="AD147" t="s">
        <v>1609</v>
      </c>
      <c r="AE147" t="s">
        <v>148</v>
      </c>
      <c r="AF147" t="s">
        <v>2528</v>
      </c>
      <c r="AG147" t="s">
        <v>1834</v>
      </c>
      <c r="AH147" t="s">
        <v>2529</v>
      </c>
      <c r="AI147" t="s">
        <v>590</v>
      </c>
      <c r="AJ147" t="s">
        <v>2530</v>
      </c>
    </row>
    <row r="148" spans="1:36" x14ac:dyDescent="0.2">
      <c r="A148" t="s">
        <v>713</v>
      </c>
      <c r="B148" t="s">
        <v>714</v>
      </c>
      <c r="C148" t="s">
        <v>215</v>
      </c>
      <c r="D148" t="s">
        <v>716</v>
      </c>
      <c r="E148" t="str">
        <f>HYPERLINK("/pdf/2015_10.1109_cis.2014.133_Application_research_on_retrospective_analysis_system_in_network_intrusion_detection.pdf","open")</f>
        <v>open</v>
      </c>
      <c r="F148" t="s">
        <v>1773</v>
      </c>
      <c r="G148" t="s">
        <v>1773</v>
      </c>
      <c r="H148" t="s">
        <v>2531</v>
      </c>
      <c r="I148" t="s">
        <v>1609</v>
      </c>
      <c r="J148" t="s">
        <v>148</v>
      </c>
      <c r="K148" t="s">
        <v>148</v>
      </c>
      <c r="L148" t="s">
        <v>148</v>
      </c>
      <c r="M148" t="s">
        <v>148</v>
      </c>
      <c r="N148" t="s">
        <v>148</v>
      </c>
      <c r="O148" t="s">
        <v>148</v>
      </c>
      <c r="P148" t="s">
        <v>148</v>
      </c>
      <c r="Q148" t="s">
        <v>148</v>
      </c>
      <c r="R148" t="s">
        <v>148</v>
      </c>
      <c r="S148" t="s">
        <v>148</v>
      </c>
      <c r="T148" t="s">
        <v>148</v>
      </c>
      <c r="U148" t="s">
        <v>148</v>
      </c>
      <c r="V148" t="s">
        <v>148</v>
      </c>
      <c r="W148" t="s">
        <v>148</v>
      </c>
      <c r="X148" t="s">
        <v>148</v>
      </c>
      <c r="Y148" t="s">
        <v>148</v>
      </c>
      <c r="Z148" t="s">
        <v>148</v>
      </c>
      <c r="AA148" t="s">
        <v>2532</v>
      </c>
      <c r="AB148" t="s">
        <v>1609</v>
      </c>
      <c r="AC148" t="s">
        <v>148</v>
      </c>
      <c r="AD148" t="s">
        <v>1609</v>
      </c>
      <c r="AE148" t="s">
        <v>148</v>
      </c>
      <c r="AF148" t="s">
        <v>2533</v>
      </c>
      <c r="AG148" t="s">
        <v>148</v>
      </c>
      <c r="AH148" t="s">
        <v>2534</v>
      </c>
      <c r="AI148" t="s">
        <v>44</v>
      </c>
      <c r="AJ148" t="s">
        <v>2535</v>
      </c>
    </row>
    <row r="149" spans="1:36" x14ac:dyDescent="0.2">
      <c r="A149" t="s">
        <v>718</v>
      </c>
      <c r="B149" t="s">
        <v>719</v>
      </c>
      <c r="C149" t="s">
        <v>25</v>
      </c>
      <c r="D149" t="s">
        <v>721</v>
      </c>
      <c r="E149" t="str">
        <f>HYPERLINK("/pdf/2023_10.1109_airosip58759.2023.10873912_Smart_Closed-Loop_Jamming_System.pdf","open")</f>
        <v>open</v>
      </c>
      <c r="F149" t="s">
        <v>1606</v>
      </c>
      <c r="G149" t="s">
        <v>1651</v>
      </c>
      <c r="H149" t="s">
        <v>2536</v>
      </c>
      <c r="I149" t="s">
        <v>1609</v>
      </c>
      <c r="J149" t="s">
        <v>148</v>
      </c>
      <c r="K149" t="s">
        <v>148</v>
      </c>
      <c r="L149" t="s">
        <v>148</v>
      </c>
      <c r="M149" t="s">
        <v>2537</v>
      </c>
      <c r="N149" t="s">
        <v>1611</v>
      </c>
      <c r="O149" t="s">
        <v>1604</v>
      </c>
      <c r="P149" t="s">
        <v>1722</v>
      </c>
      <c r="Q149" t="s">
        <v>2538</v>
      </c>
      <c r="R149" t="s">
        <v>2539</v>
      </c>
      <c r="S149" t="s">
        <v>1654</v>
      </c>
      <c r="T149" t="s">
        <v>1750</v>
      </c>
      <c r="U149" t="s">
        <v>1609</v>
      </c>
      <c r="V149" t="s">
        <v>1609</v>
      </c>
      <c r="W149" t="s">
        <v>148</v>
      </c>
      <c r="X149" t="s">
        <v>2540</v>
      </c>
      <c r="Y149" t="s">
        <v>148</v>
      </c>
      <c r="Z149" t="s">
        <v>148</v>
      </c>
      <c r="AA149" t="s">
        <v>2541</v>
      </c>
      <c r="AB149" t="s">
        <v>1604</v>
      </c>
      <c r="AC149" t="s">
        <v>148</v>
      </c>
      <c r="AD149" t="s">
        <v>148</v>
      </c>
      <c r="AE149" t="s">
        <v>148</v>
      </c>
      <c r="AF149" t="s">
        <v>2542</v>
      </c>
      <c r="AG149" t="s">
        <v>1614</v>
      </c>
      <c r="AH149" t="s">
        <v>2543</v>
      </c>
      <c r="AI149" t="s">
        <v>2544</v>
      </c>
      <c r="AJ149" t="s">
        <v>148</v>
      </c>
    </row>
    <row r="150" spans="1:36" x14ac:dyDescent="0.2">
      <c r="A150" t="s">
        <v>723</v>
      </c>
      <c r="B150" t="s">
        <v>724</v>
      </c>
      <c r="C150" t="s">
        <v>60</v>
      </c>
      <c r="D150" t="s">
        <v>725</v>
      </c>
      <c r="E150" t="str">
        <f>HYPERLINK("/pdf/2024_10.1109_jiot.2024.3385989_An_Authentication_Mechanism_Based_on_Zero_Trust_With_Radio_Frequency_Fingerprint_for_Internet_of_Things_Networ.pdf","open")</f>
        <v>open</v>
      </c>
      <c r="F150" t="s">
        <v>1606</v>
      </c>
      <c r="G150" t="s">
        <v>2545</v>
      </c>
      <c r="H150" t="s">
        <v>2546</v>
      </c>
      <c r="I150" t="s">
        <v>1609</v>
      </c>
      <c r="J150" t="s">
        <v>148</v>
      </c>
      <c r="K150" t="s">
        <v>148</v>
      </c>
      <c r="L150" t="s">
        <v>148</v>
      </c>
      <c r="M150" t="s">
        <v>1636</v>
      </c>
      <c r="N150" t="s">
        <v>148</v>
      </c>
      <c r="O150" t="s">
        <v>148</v>
      </c>
      <c r="P150" t="s">
        <v>148</v>
      </c>
      <c r="Q150" t="s">
        <v>148</v>
      </c>
      <c r="R150" t="s">
        <v>148</v>
      </c>
      <c r="S150" t="s">
        <v>1655</v>
      </c>
      <c r="T150" t="s">
        <v>2547</v>
      </c>
      <c r="U150" t="s">
        <v>148</v>
      </c>
      <c r="V150" t="s">
        <v>148</v>
      </c>
      <c r="W150" t="s">
        <v>148</v>
      </c>
      <c r="X150" t="s">
        <v>2548</v>
      </c>
      <c r="Y150" t="s">
        <v>148</v>
      </c>
      <c r="Z150" t="s">
        <v>148</v>
      </c>
      <c r="AA150" t="s">
        <v>2549</v>
      </c>
      <c r="AB150" t="s">
        <v>1609</v>
      </c>
      <c r="AC150" t="s">
        <v>148</v>
      </c>
      <c r="AD150" t="s">
        <v>148</v>
      </c>
      <c r="AE150" t="s">
        <v>148</v>
      </c>
      <c r="AF150" t="s">
        <v>2550</v>
      </c>
      <c r="AG150" t="s">
        <v>1614</v>
      </c>
      <c r="AH150" t="s">
        <v>2551</v>
      </c>
      <c r="AI150" t="s">
        <v>44</v>
      </c>
      <c r="AJ150" t="s">
        <v>148</v>
      </c>
    </row>
    <row r="151" spans="1:36" x14ac:dyDescent="0.2">
      <c r="A151" t="s">
        <v>727</v>
      </c>
      <c r="B151" t="s">
        <v>728</v>
      </c>
      <c r="C151" t="s">
        <v>190</v>
      </c>
      <c r="D151" t="s">
        <v>730</v>
      </c>
      <c r="E151" t="str">
        <f>HYPERLINK("/pdf/2017_10.1109_wcsp.2017.8170908_Data_leakage_between_C_S_communication__A_case_study_on_Android_music_app.pdf","open")</f>
        <v>open</v>
      </c>
      <c r="F151" t="s">
        <v>1602</v>
      </c>
      <c r="G151" t="s">
        <v>1602</v>
      </c>
      <c r="H151" t="s">
        <v>2552</v>
      </c>
      <c r="I151" t="s">
        <v>1609</v>
      </c>
      <c r="J151" t="s">
        <v>148</v>
      </c>
      <c r="K151" t="s">
        <v>148</v>
      </c>
      <c r="L151" t="s">
        <v>148</v>
      </c>
      <c r="M151" t="s">
        <v>148</v>
      </c>
      <c r="N151" t="s">
        <v>148</v>
      </c>
      <c r="O151" t="s">
        <v>148</v>
      </c>
      <c r="P151" t="s">
        <v>148</v>
      </c>
      <c r="Q151" t="s">
        <v>148</v>
      </c>
      <c r="R151" t="s">
        <v>148</v>
      </c>
      <c r="S151" t="s">
        <v>148</v>
      </c>
      <c r="T151" t="s">
        <v>148</v>
      </c>
      <c r="U151" t="s">
        <v>148</v>
      </c>
      <c r="V151" t="s">
        <v>148</v>
      </c>
      <c r="W151" t="s">
        <v>148</v>
      </c>
      <c r="X151" t="s">
        <v>148</v>
      </c>
      <c r="Y151" t="s">
        <v>148</v>
      </c>
      <c r="Z151" t="s">
        <v>148</v>
      </c>
      <c r="AA151" t="s">
        <v>2553</v>
      </c>
      <c r="AB151" t="s">
        <v>1609</v>
      </c>
      <c r="AC151" t="s">
        <v>148</v>
      </c>
      <c r="AD151" t="s">
        <v>148</v>
      </c>
      <c r="AE151" t="s">
        <v>148</v>
      </c>
      <c r="AF151" t="s">
        <v>2554</v>
      </c>
      <c r="AG151" t="s">
        <v>148</v>
      </c>
      <c r="AH151" t="s">
        <v>148</v>
      </c>
      <c r="AI151" t="s">
        <v>2555</v>
      </c>
      <c r="AJ151" t="s">
        <v>148</v>
      </c>
    </row>
    <row r="152" spans="1:36" x14ac:dyDescent="0.2">
      <c r="A152" t="s">
        <v>732</v>
      </c>
      <c r="B152" t="s">
        <v>733</v>
      </c>
      <c r="C152" t="s">
        <v>19</v>
      </c>
      <c r="D152" t="s">
        <v>735</v>
      </c>
      <c r="E152" t="str">
        <f>HYPERLINK("/pdf/2025_10.1109_icoict66265.2025.11192987_Federated_Learning_Approaches_for_IoT_Intrusion_Detection_Based_on_FedAvg_and_FedProx_on_IID_and_Non-IID_Data.pdf","open")</f>
        <v>open</v>
      </c>
      <c r="F152" t="s">
        <v>1606</v>
      </c>
      <c r="G152" t="s">
        <v>1607</v>
      </c>
      <c r="H152" t="s">
        <v>2556</v>
      </c>
      <c r="I152" t="s">
        <v>1609</v>
      </c>
      <c r="J152" t="s">
        <v>148</v>
      </c>
      <c r="K152" t="s">
        <v>148</v>
      </c>
      <c r="L152" t="s">
        <v>148</v>
      </c>
      <c r="M152" t="s">
        <v>2557</v>
      </c>
      <c r="N152" t="s">
        <v>1611</v>
      </c>
      <c r="O152" t="s">
        <v>1604</v>
      </c>
      <c r="P152" t="s">
        <v>2558</v>
      </c>
      <c r="Q152" t="s">
        <v>148</v>
      </c>
      <c r="R152" t="s">
        <v>2559</v>
      </c>
      <c r="S152" t="s">
        <v>1655</v>
      </c>
      <c r="T152" t="s">
        <v>2560</v>
      </c>
      <c r="U152" t="s">
        <v>1609</v>
      </c>
      <c r="V152" t="s">
        <v>1609</v>
      </c>
      <c r="W152" t="s">
        <v>1604</v>
      </c>
      <c r="X152" t="s">
        <v>2561</v>
      </c>
      <c r="Y152" t="s">
        <v>148</v>
      </c>
      <c r="Z152" t="s">
        <v>148</v>
      </c>
      <c r="AA152" t="s">
        <v>2562</v>
      </c>
      <c r="AB152" t="s">
        <v>1604</v>
      </c>
      <c r="AC152" t="s">
        <v>148</v>
      </c>
      <c r="AD152" t="s">
        <v>148</v>
      </c>
      <c r="AE152" t="s">
        <v>148</v>
      </c>
      <c r="AF152" t="s">
        <v>2563</v>
      </c>
      <c r="AG152" t="s">
        <v>1614</v>
      </c>
      <c r="AH152" t="s">
        <v>2564</v>
      </c>
      <c r="AI152" t="s">
        <v>590</v>
      </c>
      <c r="AJ152" t="s">
        <v>2565</v>
      </c>
    </row>
    <row r="153" spans="1:36" x14ac:dyDescent="0.2">
      <c r="A153" t="s">
        <v>737</v>
      </c>
      <c r="B153" t="s">
        <v>738</v>
      </c>
      <c r="C153" t="s">
        <v>156</v>
      </c>
      <c r="D153" t="s">
        <v>740</v>
      </c>
      <c r="E153" t="str">
        <f>HYPERLINK("/pdf/2013_10.1109_icon.2013.6781950_Security_testing_in_Android_networks_-_A_practical_case_study.pdf","open")</f>
        <v>open</v>
      </c>
      <c r="F153" t="s">
        <v>1602</v>
      </c>
      <c r="G153" t="s">
        <v>1602</v>
      </c>
      <c r="H153" t="s">
        <v>2566</v>
      </c>
      <c r="I153" t="s">
        <v>1609</v>
      </c>
      <c r="J153" t="s">
        <v>148</v>
      </c>
      <c r="K153" t="s">
        <v>148</v>
      </c>
      <c r="L153" t="s">
        <v>148</v>
      </c>
      <c r="M153" t="s">
        <v>148</v>
      </c>
      <c r="N153" t="s">
        <v>148</v>
      </c>
      <c r="O153" t="s">
        <v>148</v>
      </c>
      <c r="P153" t="s">
        <v>148</v>
      </c>
      <c r="Q153" t="s">
        <v>148</v>
      </c>
      <c r="R153" t="s">
        <v>148</v>
      </c>
      <c r="S153" t="s">
        <v>148</v>
      </c>
      <c r="T153" t="s">
        <v>148</v>
      </c>
      <c r="U153" t="s">
        <v>148</v>
      </c>
      <c r="V153" t="s">
        <v>148</v>
      </c>
      <c r="W153" t="s">
        <v>148</v>
      </c>
      <c r="X153" t="s">
        <v>148</v>
      </c>
      <c r="Y153" t="s">
        <v>148</v>
      </c>
      <c r="Z153" t="s">
        <v>148</v>
      </c>
      <c r="AA153" t="s">
        <v>2567</v>
      </c>
      <c r="AB153" t="s">
        <v>1609</v>
      </c>
      <c r="AC153" t="s">
        <v>148</v>
      </c>
      <c r="AD153" t="s">
        <v>148</v>
      </c>
      <c r="AE153" t="s">
        <v>148</v>
      </c>
      <c r="AF153" t="s">
        <v>2568</v>
      </c>
      <c r="AG153" t="s">
        <v>2569</v>
      </c>
      <c r="AH153" t="s">
        <v>148</v>
      </c>
      <c r="AI153" t="s">
        <v>44</v>
      </c>
      <c r="AJ153" t="s">
        <v>148</v>
      </c>
    </row>
    <row r="154" spans="1:36" x14ac:dyDescent="0.2">
      <c r="A154" t="s">
        <v>742</v>
      </c>
      <c r="B154" t="s">
        <v>743</v>
      </c>
      <c r="C154" t="s">
        <v>60</v>
      </c>
      <c r="D154" t="s">
        <v>148</v>
      </c>
      <c r="E154" t="str">
        <f>HYPERLINK("/pdf/2024_10.23919_indiacom61295.2024.10499164_A_DNA-based_Authentication_System_for_Securing_Cloud_Data_Storage_and_Transactions.pdf","open")</f>
        <v>open</v>
      </c>
      <c r="F154" t="s">
        <v>1602</v>
      </c>
      <c r="G154" t="s">
        <v>1602</v>
      </c>
      <c r="H154" t="s">
        <v>2570</v>
      </c>
      <c r="I154" t="s">
        <v>1609</v>
      </c>
      <c r="J154" t="s">
        <v>148</v>
      </c>
      <c r="K154" t="s">
        <v>148</v>
      </c>
      <c r="L154" t="s">
        <v>148</v>
      </c>
      <c r="M154" t="s">
        <v>148</v>
      </c>
      <c r="N154" t="s">
        <v>148</v>
      </c>
      <c r="O154" t="s">
        <v>148</v>
      </c>
      <c r="P154" t="s">
        <v>148</v>
      </c>
      <c r="Q154" t="s">
        <v>148</v>
      </c>
      <c r="R154" t="s">
        <v>148</v>
      </c>
      <c r="S154" t="s">
        <v>148</v>
      </c>
      <c r="T154" t="s">
        <v>148</v>
      </c>
      <c r="U154" t="s">
        <v>148</v>
      </c>
      <c r="V154" t="s">
        <v>148</v>
      </c>
      <c r="W154" t="s">
        <v>148</v>
      </c>
      <c r="X154" t="s">
        <v>148</v>
      </c>
      <c r="Y154" t="s">
        <v>148</v>
      </c>
      <c r="Z154" t="s">
        <v>148</v>
      </c>
      <c r="AA154" t="s">
        <v>148</v>
      </c>
      <c r="AB154" t="s">
        <v>148</v>
      </c>
      <c r="AC154" t="s">
        <v>148</v>
      </c>
      <c r="AD154" t="s">
        <v>148</v>
      </c>
      <c r="AE154" t="s">
        <v>148</v>
      </c>
      <c r="AF154" t="s">
        <v>2571</v>
      </c>
      <c r="AG154" t="s">
        <v>148</v>
      </c>
      <c r="AH154" t="s">
        <v>148</v>
      </c>
      <c r="AI154" t="s">
        <v>148</v>
      </c>
      <c r="AJ154" t="s">
        <v>148</v>
      </c>
    </row>
    <row r="155" spans="1:36" x14ac:dyDescent="0.2">
      <c r="A155" t="s">
        <v>746</v>
      </c>
      <c r="B155" t="s">
        <v>747</v>
      </c>
      <c r="C155" t="s">
        <v>136</v>
      </c>
      <c r="D155" t="s">
        <v>148</v>
      </c>
      <c r="E155" t="str">
        <f>HYPERLINK("/pdf/2019_10.1109_iceei47359.2019.8988832_OTPAF__A_Security_Requirement_Conceptual_Model_of_SaaS_for_Malaysian_Government_based_on_Common_Criteria.pdf","open")</f>
        <v>open</v>
      </c>
      <c r="F155" t="s">
        <v>1602</v>
      </c>
      <c r="G155" t="s">
        <v>2572</v>
      </c>
      <c r="H155" t="s">
        <v>2573</v>
      </c>
      <c r="I155" t="s">
        <v>1609</v>
      </c>
      <c r="J155" t="s">
        <v>148</v>
      </c>
      <c r="K155" t="s">
        <v>148</v>
      </c>
      <c r="L155" t="s">
        <v>148</v>
      </c>
      <c r="M155" t="s">
        <v>148</v>
      </c>
      <c r="N155" t="s">
        <v>148</v>
      </c>
      <c r="O155" t="s">
        <v>148</v>
      </c>
      <c r="P155" t="s">
        <v>148</v>
      </c>
      <c r="Q155" t="s">
        <v>148</v>
      </c>
      <c r="R155" t="s">
        <v>148</v>
      </c>
      <c r="S155" t="s">
        <v>148</v>
      </c>
      <c r="T155" t="s">
        <v>148</v>
      </c>
      <c r="U155" t="s">
        <v>148</v>
      </c>
      <c r="V155" t="s">
        <v>148</v>
      </c>
      <c r="W155" t="s">
        <v>148</v>
      </c>
      <c r="X155" t="s">
        <v>148</v>
      </c>
      <c r="Y155" t="s">
        <v>148</v>
      </c>
      <c r="Z155" t="s">
        <v>148</v>
      </c>
      <c r="AA155" t="s">
        <v>148</v>
      </c>
      <c r="AB155" t="s">
        <v>148</v>
      </c>
      <c r="AC155" t="s">
        <v>148</v>
      </c>
      <c r="AD155" t="s">
        <v>148</v>
      </c>
      <c r="AE155" t="s">
        <v>148</v>
      </c>
      <c r="AF155" t="s">
        <v>148</v>
      </c>
      <c r="AG155" t="s">
        <v>148</v>
      </c>
      <c r="AH155" t="s">
        <v>148</v>
      </c>
      <c r="AI155" t="s">
        <v>148</v>
      </c>
      <c r="AJ155" t="s">
        <v>148</v>
      </c>
    </row>
    <row r="156" spans="1:36" x14ac:dyDescent="0.2">
      <c r="A156" t="s">
        <v>750</v>
      </c>
      <c r="B156" t="s">
        <v>751</v>
      </c>
      <c r="C156" t="s">
        <v>60</v>
      </c>
      <c r="D156" t="s">
        <v>148</v>
      </c>
      <c r="E156" t="str">
        <f>HYPERLINK("/pdf/2024_In_Plain_Sight__A_Pragmatic_Exploration_of_the_Italian_Medical_Landscape_(In)security.pdf.pdf","open")</f>
        <v>open</v>
      </c>
      <c r="F156" t="s">
        <v>1602</v>
      </c>
      <c r="G156" t="s">
        <v>1602</v>
      </c>
      <c r="H156" t="s">
        <v>2574</v>
      </c>
      <c r="I156" t="s">
        <v>148</v>
      </c>
      <c r="J156" t="s">
        <v>148</v>
      </c>
      <c r="K156" t="s">
        <v>148</v>
      </c>
      <c r="L156" t="s">
        <v>148</v>
      </c>
      <c r="M156" t="s">
        <v>148</v>
      </c>
      <c r="N156" t="s">
        <v>148</v>
      </c>
      <c r="O156" t="s">
        <v>148</v>
      </c>
      <c r="P156" t="s">
        <v>148</v>
      </c>
      <c r="Q156" t="s">
        <v>148</v>
      </c>
      <c r="R156" t="s">
        <v>148</v>
      </c>
      <c r="S156" t="s">
        <v>148</v>
      </c>
      <c r="T156" t="s">
        <v>148</v>
      </c>
      <c r="U156" t="s">
        <v>148</v>
      </c>
      <c r="V156" t="s">
        <v>148</v>
      </c>
      <c r="W156" t="s">
        <v>148</v>
      </c>
      <c r="X156" t="s">
        <v>148</v>
      </c>
      <c r="Y156" t="s">
        <v>148</v>
      </c>
      <c r="Z156" t="s">
        <v>148</v>
      </c>
      <c r="AA156" t="s">
        <v>2575</v>
      </c>
      <c r="AB156" t="s">
        <v>1604</v>
      </c>
      <c r="AC156" t="s">
        <v>2576</v>
      </c>
      <c r="AD156" t="s">
        <v>148</v>
      </c>
      <c r="AE156" t="s">
        <v>148</v>
      </c>
      <c r="AF156" t="s">
        <v>148</v>
      </c>
      <c r="AG156" t="s">
        <v>148</v>
      </c>
      <c r="AH156" t="s">
        <v>148</v>
      </c>
      <c r="AI156" t="s">
        <v>148</v>
      </c>
      <c r="AJ156" t="s">
        <v>148</v>
      </c>
    </row>
    <row r="157" spans="1:36" x14ac:dyDescent="0.2">
      <c r="A157" t="s">
        <v>754</v>
      </c>
      <c r="B157" t="s">
        <v>755</v>
      </c>
      <c r="C157" t="s">
        <v>19</v>
      </c>
      <c r="D157" t="s">
        <v>757</v>
      </c>
      <c r="E157" t="str">
        <f>HYPERLINK("/pdf/2025_10_3390_info16110957_llms_for_cybersecurity_in_the_big_data_era_a_comprehensive_review_of_applications_challe.pdf","open")</f>
        <v>open</v>
      </c>
      <c r="F157" t="s">
        <v>1602</v>
      </c>
      <c r="G157" t="s">
        <v>1602</v>
      </c>
      <c r="H157" t="s">
        <v>2577</v>
      </c>
      <c r="I157" t="s">
        <v>148</v>
      </c>
      <c r="J157" t="s">
        <v>148</v>
      </c>
      <c r="K157" t="s">
        <v>148</v>
      </c>
      <c r="L157" t="s">
        <v>148</v>
      </c>
      <c r="M157" t="s">
        <v>148</v>
      </c>
      <c r="N157" t="s">
        <v>148</v>
      </c>
      <c r="O157" t="s">
        <v>1604</v>
      </c>
      <c r="P157" t="s">
        <v>2578</v>
      </c>
      <c r="Q157" t="s">
        <v>2579</v>
      </c>
      <c r="R157" t="s">
        <v>2580</v>
      </c>
      <c r="S157" t="s">
        <v>1624</v>
      </c>
      <c r="T157" t="s">
        <v>148</v>
      </c>
      <c r="U157" t="s">
        <v>1604</v>
      </c>
      <c r="V157" t="s">
        <v>1604</v>
      </c>
      <c r="W157" t="s">
        <v>1604</v>
      </c>
      <c r="X157" t="s">
        <v>148</v>
      </c>
      <c r="Y157" t="s">
        <v>148</v>
      </c>
      <c r="Z157" t="s">
        <v>148</v>
      </c>
      <c r="AA157" t="s">
        <v>2581</v>
      </c>
      <c r="AB157" t="s">
        <v>1604</v>
      </c>
      <c r="AC157" t="s">
        <v>2582</v>
      </c>
      <c r="AD157" t="s">
        <v>148</v>
      </c>
      <c r="AE157" t="s">
        <v>148</v>
      </c>
      <c r="AF157" t="s">
        <v>2583</v>
      </c>
      <c r="AG157" t="s">
        <v>2584</v>
      </c>
      <c r="AH157" t="s">
        <v>2585</v>
      </c>
      <c r="AI157" t="s">
        <v>15</v>
      </c>
      <c r="AJ157" t="s">
        <v>2586</v>
      </c>
    </row>
    <row r="158" spans="1:36" x14ac:dyDescent="0.2">
      <c r="A158" t="s">
        <v>759</v>
      </c>
      <c r="B158" t="s">
        <v>760</v>
      </c>
      <c r="C158" t="s">
        <v>48</v>
      </c>
      <c r="D158" t="s">
        <v>761</v>
      </c>
      <c r="E158" t="str">
        <f>HYPERLINK("/pdf/2010_CollSec_2010_-_2010_Workshop_on_Collaborative_Methods_for_Security_and_Privacy.pdf","open")</f>
        <v>open</v>
      </c>
      <c r="F158" t="s">
        <v>1606</v>
      </c>
      <c r="G158" t="s">
        <v>1607</v>
      </c>
      <c r="H158" t="s">
        <v>2587</v>
      </c>
      <c r="I158" t="s">
        <v>1609</v>
      </c>
      <c r="J158" t="s">
        <v>148</v>
      </c>
      <c r="K158" t="s">
        <v>148</v>
      </c>
      <c r="L158" t="s">
        <v>148</v>
      </c>
      <c r="M158" t="s">
        <v>1636</v>
      </c>
      <c r="N158" t="s">
        <v>1611</v>
      </c>
      <c r="O158" t="s">
        <v>1604</v>
      </c>
      <c r="P158" t="s">
        <v>1762</v>
      </c>
      <c r="Q158" t="s">
        <v>2588</v>
      </c>
      <c r="R158" t="s">
        <v>2589</v>
      </c>
      <c r="S158" t="s">
        <v>1655</v>
      </c>
      <c r="T158" t="s">
        <v>2452</v>
      </c>
      <c r="U158" t="s">
        <v>1609</v>
      </c>
      <c r="V158" t="s">
        <v>1609</v>
      </c>
      <c r="W158" t="s">
        <v>148</v>
      </c>
      <c r="X158" t="s">
        <v>148</v>
      </c>
      <c r="Y158" t="s">
        <v>148</v>
      </c>
      <c r="Z158" t="s">
        <v>148</v>
      </c>
      <c r="AA158" t="s">
        <v>2590</v>
      </c>
      <c r="AB158" t="s">
        <v>1604</v>
      </c>
      <c r="AC158" t="s">
        <v>2591</v>
      </c>
      <c r="AD158" t="s">
        <v>1604</v>
      </c>
      <c r="AE158" t="s">
        <v>2592</v>
      </c>
      <c r="AF158" t="s">
        <v>2246</v>
      </c>
      <c r="AG158" t="s">
        <v>1614</v>
      </c>
      <c r="AH158" t="s">
        <v>2593</v>
      </c>
      <c r="AI158" t="s">
        <v>15</v>
      </c>
      <c r="AJ158" t="s">
        <v>2594</v>
      </c>
    </row>
    <row r="159" spans="1:36" x14ac:dyDescent="0.2">
      <c r="A159" t="s">
        <v>763</v>
      </c>
      <c r="B159" t="s">
        <v>764</v>
      </c>
      <c r="C159" t="s">
        <v>136</v>
      </c>
      <c r="D159" t="s">
        <v>765</v>
      </c>
      <c r="E159" t="str">
        <f>HYPERLINK("/pdf/2019_10_1109_access_2019_2951425_covert_channels_in_the_mqtt_based_internet_of_things.pdf","open")</f>
        <v>open</v>
      </c>
      <c r="F159" t="s">
        <v>1618</v>
      </c>
      <c r="G159" t="s">
        <v>1602</v>
      </c>
      <c r="H159" t="s">
        <v>2595</v>
      </c>
      <c r="I159" t="s">
        <v>1609</v>
      </c>
      <c r="J159" t="s">
        <v>148</v>
      </c>
      <c r="K159" t="s">
        <v>148</v>
      </c>
      <c r="L159" t="s">
        <v>148</v>
      </c>
      <c r="M159" t="s">
        <v>148</v>
      </c>
      <c r="N159" t="s">
        <v>148</v>
      </c>
      <c r="O159" t="s">
        <v>148</v>
      </c>
      <c r="P159" t="s">
        <v>148</v>
      </c>
      <c r="Q159" t="s">
        <v>148</v>
      </c>
      <c r="R159" t="s">
        <v>148</v>
      </c>
      <c r="S159" t="s">
        <v>1602</v>
      </c>
      <c r="T159" t="s">
        <v>2596</v>
      </c>
      <c r="U159" t="s">
        <v>148</v>
      </c>
      <c r="V159" t="s">
        <v>148</v>
      </c>
      <c r="W159" t="s">
        <v>148</v>
      </c>
      <c r="X159" t="s">
        <v>148</v>
      </c>
      <c r="Y159" t="s">
        <v>148</v>
      </c>
      <c r="Z159" t="s">
        <v>148</v>
      </c>
      <c r="AA159" t="s">
        <v>2597</v>
      </c>
      <c r="AB159" t="s">
        <v>1609</v>
      </c>
      <c r="AC159" t="s">
        <v>148</v>
      </c>
      <c r="AD159" t="s">
        <v>148</v>
      </c>
      <c r="AE159" t="s">
        <v>148</v>
      </c>
      <c r="AF159" t="s">
        <v>2598</v>
      </c>
      <c r="AG159" t="s">
        <v>2599</v>
      </c>
      <c r="AH159" t="s">
        <v>148</v>
      </c>
      <c r="AI159" t="s">
        <v>957</v>
      </c>
      <c r="AJ159" t="s">
        <v>148</v>
      </c>
    </row>
    <row r="160" spans="1:36" x14ac:dyDescent="0.2">
      <c r="A160" t="s">
        <v>767</v>
      </c>
      <c r="B160" t="s">
        <v>768</v>
      </c>
      <c r="C160" t="s">
        <v>100</v>
      </c>
      <c r="D160" t="s">
        <v>770</v>
      </c>
      <c r="E160" t="str">
        <f>HYPERLINK("/pdf/2022_10.1109_asiancon55314.2022.9909471_Data_Leakage_in_Android_and_Anomaly_Based_Intrusion_Detection_and_Prevention_System.pdf","open")</f>
        <v>open</v>
      </c>
      <c r="F160" t="s">
        <v>1606</v>
      </c>
      <c r="G160" t="s">
        <v>1607</v>
      </c>
      <c r="H160" t="s">
        <v>2600</v>
      </c>
      <c r="I160" t="s">
        <v>1609</v>
      </c>
      <c r="J160" t="s">
        <v>148</v>
      </c>
      <c r="K160" t="s">
        <v>148</v>
      </c>
      <c r="L160" t="s">
        <v>148</v>
      </c>
      <c r="M160" t="s">
        <v>2601</v>
      </c>
      <c r="N160" t="s">
        <v>1611</v>
      </c>
      <c r="O160" t="s">
        <v>148</v>
      </c>
      <c r="P160" t="s">
        <v>148</v>
      </c>
      <c r="Q160" t="s">
        <v>148</v>
      </c>
      <c r="R160" t="s">
        <v>148</v>
      </c>
      <c r="S160" t="s">
        <v>2602</v>
      </c>
      <c r="T160" t="s">
        <v>2452</v>
      </c>
      <c r="U160" t="s">
        <v>148</v>
      </c>
      <c r="V160" t="s">
        <v>148</v>
      </c>
      <c r="W160" t="s">
        <v>148</v>
      </c>
      <c r="X160" t="s">
        <v>148</v>
      </c>
      <c r="Y160" t="s">
        <v>148</v>
      </c>
      <c r="Z160" t="s">
        <v>148</v>
      </c>
      <c r="AA160" t="s">
        <v>1776</v>
      </c>
      <c r="AB160" t="s">
        <v>1604</v>
      </c>
      <c r="AC160" t="s">
        <v>148</v>
      </c>
      <c r="AD160" t="s">
        <v>1609</v>
      </c>
      <c r="AE160" t="s">
        <v>148</v>
      </c>
      <c r="AF160" t="s">
        <v>2411</v>
      </c>
      <c r="AG160" t="s">
        <v>1614</v>
      </c>
      <c r="AH160" t="s">
        <v>2603</v>
      </c>
      <c r="AI160" t="s">
        <v>2604</v>
      </c>
      <c r="AJ160" t="s">
        <v>148</v>
      </c>
    </row>
    <row r="161" spans="1:36" x14ac:dyDescent="0.2">
      <c r="A161" t="s">
        <v>772</v>
      </c>
      <c r="B161" t="s">
        <v>773</v>
      </c>
      <c r="C161" t="s">
        <v>19</v>
      </c>
      <c r="D161" t="s">
        <v>775</v>
      </c>
      <c r="E161" t="str">
        <f>HYPERLINK("/pdf/2025_10.1142_s2010324725400119_A_Hybrid_BiLSTM-Attention_and_Homomorphic_Encryption_Framework_for_Privacy-Preserving_Threat_Detection_in_Clou.pdf","open")</f>
        <v>open</v>
      </c>
      <c r="F161" t="s">
        <v>1633</v>
      </c>
      <c r="G161" t="s">
        <v>1607</v>
      </c>
      <c r="H161" t="s">
        <v>2605</v>
      </c>
      <c r="I161" t="s">
        <v>1609</v>
      </c>
      <c r="J161" t="s">
        <v>148</v>
      </c>
      <c r="K161" t="s">
        <v>148</v>
      </c>
      <c r="L161" t="s">
        <v>148</v>
      </c>
      <c r="M161" t="s">
        <v>1636</v>
      </c>
      <c r="N161" t="s">
        <v>148</v>
      </c>
      <c r="O161" t="s">
        <v>148</v>
      </c>
      <c r="P161" t="s">
        <v>148</v>
      </c>
      <c r="Q161" t="s">
        <v>148</v>
      </c>
      <c r="R161" t="s">
        <v>148</v>
      </c>
      <c r="S161" t="s">
        <v>1655</v>
      </c>
      <c r="T161" t="s">
        <v>2606</v>
      </c>
      <c r="U161" t="s">
        <v>148</v>
      </c>
      <c r="V161" t="s">
        <v>148</v>
      </c>
      <c r="W161" t="s">
        <v>148</v>
      </c>
      <c r="X161" t="s">
        <v>2607</v>
      </c>
      <c r="Y161" t="s">
        <v>148</v>
      </c>
      <c r="Z161" t="s">
        <v>148</v>
      </c>
      <c r="AA161" t="s">
        <v>2608</v>
      </c>
      <c r="AB161" t="s">
        <v>1604</v>
      </c>
      <c r="AC161" t="s">
        <v>2609</v>
      </c>
      <c r="AD161" t="s">
        <v>148</v>
      </c>
      <c r="AE161" t="s">
        <v>148</v>
      </c>
      <c r="AF161" t="s">
        <v>2610</v>
      </c>
      <c r="AG161" t="s">
        <v>1614</v>
      </c>
      <c r="AH161" t="s">
        <v>2611</v>
      </c>
      <c r="AI161" t="s">
        <v>590</v>
      </c>
      <c r="AJ161" t="s">
        <v>2612</v>
      </c>
    </row>
    <row r="162" spans="1:36" x14ac:dyDescent="0.2">
      <c r="A162" t="s">
        <v>445</v>
      </c>
      <c r="B162" t="s">
        <v>446</v>
      </c>
      <c r="C162" t="s">
        <v>19</v>
      </c>
      <c r="D162" t="s">
        <v>448</v>
      </c>
      <c r="E162" t="str">
        <f>HYPERLINK("/pdf/2025_10_3991_ijep_v15i4_53127_integration_of_cybersecurity_into_computer_science_teachers_training_a_systema.pdf","open")</f>
        <v>open</v>
      </c>
      <c r="F162" t="s">
        <v>1602</v>
      </c>
      <c r="G162" t="s">
        <v>1602</v>
      </c>
      <c r="H162" t="s">
        <v>148</v>
      </c>
      <c r="I162" t="s">
        <v>148</v>
      </c>
      <c r="J162" t="s">
        <v>148</v>
      </c>
      <c r="K162" t="s">
        <v>148</v>
      </c>
      <c r="L162" t="s">
        <v>148</v>
      </c>
      <c r="M162" t="s">
        <v>148</v>
      </c>
      <c r="N162" t="s">
        <v>148</v>
      </c>
      <c r="O162" t="s">
        <v>148</v>
      </c>
      <c r="P162" t="s">
        <v>148</v>
      </c>
      <c r="Q162" t="s">
        <v>148</v>
      </c>
      <c r="R162" t="s">
        <v>148</v>
      </c>
      <c r="S162" t="s">
        <v>148</v>
      </c>
      <c r="T162" t="s">
        <v>148</v>
      </c>
      <c r="U162" t="s">
        <v>148</v>
      </c>
      <c r="V162" t="s">
        <v>148</v>
      </c>
      <c r="W162" t="s">
        <v>148</v>
      </c>
      <c r="X162" t="s">
        <v>148</v>
      </c>
      <c r="Y162" t="s">
        <v>148</v>
      </c>
      <c r="Z162" t="s">
        <v>148</v>
      </c>
      <c r="AA162" t="s">
        <v>148</v>
      </c>
      <c r="AB162" t="s">
        <v>148</v>
      </c>
      <c r="AC162" t="s">
        <v>148</v>
      </c>
      <c r="AD162" t="s">
        <v>148</v>
      </c>
      <c r="AE162" t="s">
        <v>148</v>
      </c>
      <c r="AF162" t="s">
        <v>148</v>
      </c>
      <c r="AG162" t="s">
        <v>148</v>
      </c>
      <c r="AH162" t="s">
        <v>148</v>
      </c>
      <c r="AI162" t="s">
        <v>148</v>
      </c>
      <c r="AJ162" t="s">
        <v>148</v>
      </c>
    </row>
    <row r="163" spans="1:36" x14ac:dyDescent="0.2">
      <c r="A163" t="s">
        <v>778</v>
      </c>
      <c r="B163" t="s">
        <v>779</v>
      </c>
      <c r="C163" t="s">
        <v>60</v>
      </c>
      <c r="D163" t="s">
        <v>778</v>
      </c>
      <c r="E163" t="str">
        <f>HYPERLINK("/pdf/2024_10_20473_mi_v7i3_55931_data_leakage_of_the_indonesian_elections_commission_in_legal_aspects_of_personal.pdf","open")</f>
        <v>open</v>
      </c>
      <c r="F163" t="s">
        <v>1602</v>
      </c>
      <c r="G163" t="s">
        <v>1602</v>
      </c>
      <c r="H163" t="s">
        <v>2613</v>
      </c>
      <c r="I163" t="s">
        <v>148</v>
      </c>
      <c r="J163" t="s">
        <v>148</v>
      </c>
      <c r="K163" t="s">
        <v>148</v>
      </c>
      <c r="L163" t="s">
        <v>148</v>
      </c>
      <c r="M163" t="s">
        <v>148</v>
      </c>
      <c r="N163" t="s">
        <v>148</v>
      </c>
      <c r="O163" t="s">
        <v>148</v>
      </c>
      <c r="P163" t="s">
        <v>148</v>
      </c>
      <c r="Q163" t="s">
        <v>148</v>
      </c>
      <c r="R163" t="s">
        <v>148</v>
      </c>
      <c r="S163" t="s">
        <v>148</v>
      </c>
      <c r="T163" t="s">
        <v>148</v>
      </c>
      <c r="U163" t="s">
        <v>148</v>
      </c>
      <c r="V163" t="s">
        <v>148</v>
      </c>
      <c r="W163" t="s">
        <v>148</v>
      </c>
      <c r="X163" t="s">
        <v>148</v>
      </c>
      <c r="Y163" t="s">
        <v>148</v>
      </c>
      <c r="Z163" t="s">
        <v>148</v>
      </c>
      <c r="AA163" t="s">
        <v>148</v>
      </c>
      <c r="AB163" t="s">
        <v>148</v>
      </c>
      <c r="AC163" t="s">
        <v>148</v>
      </c>
      <c r="AD163" t="s">
        <v>148</v>
      </c>
      <c r="AE163" t="s">
        <v>148</v>
      </c>
      <c r="AF163" t="s">
        <v>148</v>
      </c>
      <c r="AG163" t="s">
        <v>148</v>
      </c>
      <c r="AH163" t="s">
        <v>148</v>
      </c>
      <c r="AI163" t="s">
        <v>148</v>
      </c>
      <c r="AJ163" t="s">
        <v>148</v>
      </c>
    </row>
    <row r="164" spans="1:36" x14ac:dyDescent="0.2">
      <c r="A164" t="s">
        <v>782</v>
      </c>
      <c r="B164" t="s">
        <v>783</v>
      </c>
      <c r="C164" t="s">
        <v>148</v>
      </c>
      <c r="D164" t="s">
        <v>148</v>
      </c>
      <c r="E164" t="str">
        <f>HYPERLINK("/pdf/2019_10_1109_gciot47977_2019_9058410_practical_application_of_machine_learning_based_online_intrusion_detection_to_internet_of.pdf","open")</f>
        <v>open</v>
      </c>
      <c r="F164" t="s">
        <v>1607</v>
      </c>
      <c r="G164" t="s">
        <v>1607</v>
      </c>
      <c r="H164" t="s">
        <v>2614</v>
      </c>
      <c r="I164" t="s">
        <v>1609</v>
      </c>
      <c r="J164" t="s">
        <v>148</v>
      </c>
      <c r="K164" t="s">
        <v>1635</v>
      </c>
      <c r="L164" t="s">
        <v>148</v>
      </c>
      <c r="M164" t="s">
        <v>2615</v>
      </c>
      <c r="N164" t="s">
        <v>1611</v>
      </c>
      <c r="O164" t="s">
        <v>2616</v>
      </c>
      <c r="P164" t="s">
        <v>1827</v>
      </c>
      <c r="Q164" t="s">
        <v>148</v>
      </c>
      <c r="R164" t="s">
        <v>2617</v>
      </c>
      <c r="S164" t="s">
        <v>2618</v>
      </c>
      <c r="T164" t="s">
        <v>2619</v>
      </c>
      <c r="U164" t="s">
        <v>1604</v>
      </c>
      <c r="V164" t="s">
        <v>148</v>
      </c>
      <c r="W164" t="s">
        <v>148</v>
      </c>
      <c r="X164" t="s">
        <v>148</v>
      </c>
      <c r="Y164" t="s">
        <v>148</v>
      </c>
      <c r="Z164" t="s">
        <v>148</v>
      </c>
      <c r="AA164" t="s">
        <v>2620</v>
      </c>
      <c r="AB164" t="s">
        <v>1604</v>
      </c>
      <c r="AC164" t="s">
        <v>2621</v>
      </c>
      <c r="AD164" t="s">
        <v>148</v>
      </c>
      <c r="AE164" t="s">
        <v>148</v>
      </c>
      <c r="AF164" t="s">
        <v>2622</v>
      </c>
      <c r="AG164" t="s">
        <v>148</v>
      </c>
      <c r="AH164" t="s">
        <v>2623</v>
      </c>
      <c r="AI164" t="s">
        <v>2624</v>
      </c>
      <c r="AJ164" t="s">
        <v>2625</v>
      </c>
    </row>
    <row r="165" spans="1:36" x14ac:dyDescent="0.2">
      <c r="A165" t="s">
        <v>785</v>
      </c>
      <c r="B165" t="s">
        <v>786</v>
      </c>
      <c r="C165" t="s">
        <v>60</v>
      </c>
      <c r="D165" t="s">
        <v>787</v>
      </c>
      <c r="E165" t="str">
        <f>HYPERLINK("/pdf/2024_10.1016_j.cose.2024.103864_MeMalDet__A_memory_analysis-based_malware_detection_framework_using_deep_autoencoders_and_stacked_ensemble_und.pdf","open")</f>
        <v>open</v>
      </c>
      <c r="F165" t="s">
        <v>1606</v>
      </c>
      <c r="G165" t="s">
        <v>1651</v>
      </c>
      <c r="H165" t="s">
        <v>2626</v>
      </c>
      <c r="I165" t="s">
        <v>1609</v>
      </c>
      <c r="J165" t="s">
        <v>1602</v>
      </c>
      <c r="K165" t="s">
        <v>1653</v>
      </c>
      <c r="L165" t="s">
        <v>1609</v>
      </c>
      <c r="M165" t="s">
        <v>2627</v>
      </c>
      <c r="N165" t="s">
        <v>1611</v>
      </c>
      <c r="O165" t="s">
        <v>1604</v>
      </c>
      <c r="P165" t="s">
        <v>2628</v>
      </c>
      <c r="Q165" t="s">
        <v>2629</v>
      </c>
      <c r="R165" t="s">
        <v>2630</v>
      </c>
      <c r="S165" t="s">
        <v>1624</v>
      </c>
      <c r="T165" t="s">
        <v>2631</v>
      </c>
      <c r="U165" t="s">
        <v>1604</v>
      </c>
      <c r="V165" t="s">
        <v>1604</v>
      </c>
      <c r="W165" t="s">
        <v>1604</v>
      </c>
      <c r="X165" t="s">
        <v>1624</v>
      </c>
      <c r="Y165" t="s">
        <v>148</v>
      </c>
      <c r="Z165" t="s">
        <v>148</v>
      </c>
      <c r="AA165" t="s">
        <v>2632</v>
      </c>
      <c r="AB165" t="s">
        <v>1604</v>
      </c>
      <c r="AC165" t="s">
        <v>2633</v>
      </c>
      <c r="AD165" t="s">
        <v>1604</v>
      </c>
      <c r="AE165" t="s">
        <v>2633</v>
      </c>
      <c r="AF165" t="s">
        <v>2634</v>
      </c>
      <c r="AG165" t="s">
        <v>2635</v>
      </c>
      <c r="AH165" t="s">
        <v>2636</v>
      </c>
      <c r="AI165" t="s">
        <v>15</v>
      </c>
      <c r="AJ165" t="s">
        <v>2637</v>
      </c>
    </row>
    <row r="166" spans="1:36" x14ac:dyDescent="0.2">
      <c r="A166" t="s">
        <v>789</v>
      </c>
      <c r="B166" t="s">
        <v>790</v>
      </c>
      <c r="C166" t="s">
        <v>19</v>
      </c>
      <c r="D166" t="s">
        <v>791</v>
      </c>
      <c r="E166" t="str">
        <f>HYPERLINK("/pdf/2025_10.1109_access.2025.3602562_Enhanced_Intrusion_Detection_via_Hybrid_Data_Resampling_and_Feature_Optimization.pdf","open")</f>
        <v>open</v>
      </c>
      <c r="F166" t="s">
        <v>2242</v>
      </c>
      <c r="G166" t="s">
        <v>1607</v>
      </c>
      <c r="H166" t="s">
        <v>2638</v>
      </c>
      <c r="I166" t="s">
        <v>1609</v>
      </c>
      <c r="J166" t="s">
        <v>148</v>
      </c>
      <c r="K166" t="s">
        <v>148</v>
      </c>
      <c r="L166" t="s">
        <v>148</v>
      </c>
      <c r="M166" t="s">
        <v>1636</v>
      </c>
      <c r="N166" t="s">
        <v>1611</v>
      </c>
      <c r="O166" t="s">
        <v>1604</v>
      </c>
      <c r="P166" t="s">
        <v>1747</v>
      </c>
      <c r="Q166" t="s">
        <v>2639</v>
      </c>
      <c r="R166" t="s">
        <v>2640</v>
      </c>
      <c r="S166" t="s">
        <v>1655</v>
      </c>
      <c r="T166" t="s">
        <v>2641</v>
      </c>
      <c r="U166" t="s">
        <v>1609</v>
      </c>
      <c r="V166" t="s">
        <v>1609</v>
      </c>
      <c r="W166" t="s">
        <v>1604</v>
      </c>
      <c r="X166" t="s">
        <v>2642</v>
      </c>
      <c r="Y166" t="s">
        <v>148</v>
      </c>
      <c r="Z166" t="s">
        <v>148</v>
      </c>
      <c r="AA166" t="s">
        <v>2643</v>
      </c>
      <c r="AB166" t="s">
        <v>1604</v>
      </c>
      <c r="AC166" t="s">
        <v>2644</v>
      </c>
      <c r="AD166" t="s">
        <v>148</v>
      </c>
      <c r="AE166" t="s">
        <v>148</v>
      </c>
      <c r="AF166" t="s">
        <v>2645</v>
      </c>
      <c r="AG166" t="s">
        <v>2646</v>
      </c>
      <c r="AH166" t="s">
        <v>2647</v>
      </c>
      <c r="AI166" t="s">
        <v>2648</v>
      </c>
      <c r="AJ166" t="s">
        <v>2649</v>
      </c>
    </row>
    <row r="167" spans="1:36" x14ac:dyDescent="0.2">
      <c r="A167" t="s">
        <v>793</v>
      </c>
      <c r="B167" t="s">
        <v>794</v>
      </c>
      <c r="C167" t="s">
        <v>100</v>
      </c>
      <c r="D167" t="s">
        <v>795</v>
      </c>
      <c r="E167" t="str">
        <f>HYPERLINK("/pdf/2022_10.1016_j.cose.2022.102783_Adversarial_training_for_deep_learning-based_cyberattack_detection_in_IoT-based_smart_city_applications.pdf","open")</f>
        <v>open</v>
      </c>
      <c r="F167" t="s">
        <v>1606</v>
      </c>
      <c r="G167" t="s">
        <v>1607</v>
      </c>
      <c r="H167" t="s">
        <v>2650</v>
      </c>
      <c r="I167" t="s">
        <v>1609</v>
      </c>
      <c r="J167" t="s">
        <v>1602</v>
      </c>
      <c r="K167" t="s">
        <v>1653</v>
      </c>
      <c r="L167" t="s">
        <v>1609</v>
      </c>
      <c r="M167" t="s">
        <v>1636</v>
      </c>
      <c r="N167" t="s">
        <v>1611</v>
      </c>
      <c r="O167" t="s">
        <v>1609</v>
      </c>
      <c r="P167" t="s">
        <v>2221</v>
      </c>
      <c r="Q167" t="s">
        <v>2651</v>
      </c>
      <c r="R167" t="s">
        <v>148</v>
      </c>
      <c r="S167" t="s">
        <v>1655</v>
      </c>
      <c r="T167" t="s">
        <v>2652</v>
      </c>
      <c r="U167" t="s">
        <v>1609</v>
      </c>
      <c r="V167" t="s">
        <v>1609</v>
      </c>
      <c r="W167" t="s">
        <v>1609</v>
      </c>
      <c r="X167" t="s">
        <v>2653</v>
      </c>
      <c r="Y167" t="s">
        <v>1657</v>
      </c>
      <c r="Z167" t="s">
        <v>2654</v>
      </c>
      <c r="AA167" t="s">
        <v>2655</v>
      </c>
      <c r="AB167" t="s">
        <v>1604</v>
      </c>
      <c r="AC167" t="s">
        <v>2656</v>
      </c>
      <c r="AD167" t="s">
        <v>148</v>
      </c>
      <c r="AE167" t="s">
        <v>148</v>
      </c>
      <c r="AF167" t="s">
        <v>1613</v>
      </c>
      <c r="AG167" t="s">
        <v>1614</v>
      </c>
      <c r="AH167" t="s">
        <v>2657</v>
      </c>
      <c r="AI167" t="s">
        <v>590</v>
      </c>
      <c r="AJ167" t="s">
        <v>2658</v>
      </c>
    </row>
    <row r="168" spans="1:36" x14ac:dyDescent="0.2">
      <c r="A168" t="s">
        <v>797</v>
      </c>
      <c r="B168" t="s">
        <v>798</v>
      </c>
      <c r="C168" t="s">
        <v>36</v>
      </c>
      <c r="D168" t="s">
        <v>800</v>
      </c>
      <c r="E168" t="str">
        <f>HYPERLINK("/pdf/2021_10.1109_jetcas.2021.3075098_Proof-Carrying_Hardware-Based_Information_Flow_Tracking_in_Analog_Mixed-Signal_Designs.pdf","open")</f>
        <v>open</v>
      </c>
      <c r="F168" t="s">
        <v>1602</v>
      </c>
      <c r="G168" t="s">
        <v>1602</v>
      </c>
      <c r="H168" t="s">
        <v>2659</v>
      </c>
      <c r="I168" t="s">
        <v>2660</v>
      </c>
      <c r="J168" t="s">
        <v>1602</v>
      </c>
      <c r="K168" t="s">
        <v>1653</v>
      </c>
      <c r="L168" t="s">
        <v>1609</v>
      </c>
      <c r="M168" t="s">
        <v>1602</v>
      </c>
      <c r="N168" t="s">
        <v>148</v>
      </c>
      <c r="O168" t="s">
        <v>148</v>
      </c>
      <c r="P168" t="s">
        <v>148</v>
      </c>
      <c r="Q168" t="s">
        <v>148</v>
      </c>
      <c r="R168" t="s">
        <v>148</v>
      </c>
      <c r="S168" t="s">
        <v>148</v>
      </c>
      <c r="T168" t="s">
        <v>148</v>
      </c>
      <c r="U168" t="s">
        <v>148</v>
      </c>
      <c r="V168" t="s">
        <v>148</v>
      </c>
      <c r="W168" t="s">
        <v>148</v>
      </c>
      <c r="X168" t="s">
        <v>148</v>
      </c>
      <c r="Y168" t="s">
        <v>148</v>
      </c>
      <c r="Z168" t="s">
        <v>148</v>
      </c>
      <c r="AA168" t="s">
        <v>2661</v>
      </c>
      <c r="AB168" t="s">
        <v>148</v>
      </c>
      <c r="AC168" t="s">
        <v>148</v>
      </c>
      <c r="AD168" t="s">
        <v>148</v>
      </c>
      <c r="AE168" t="s">
        <v>148</v>
      </c>
      <c r="AF168" t="s">
        <v>2662</v>
      </c>
      <c r="AG168" t="s">
        <v>2663</v>
      </c>
      <c r="AH168" t="s">
        <v>148</v>
      </c>
      <c r="AI168" t="s">
        <v>2664</v>
      </c>
      <c r="AJ168" t="s">
        <v>2665</v>
      </c>
    </row>
    <row r="169" spans="1:36" x14ac:dyDescent="0.2">
      <c r="A169" t="s">
        <v>802</v>
      </c>
      <c r="B169" t="s">
        <v>803</v>
      </c>
      <c r="C169" t="s">
        <v>100</v>
      </c>
      <c r="D169" t="s">
        <v>805</v>
      </c>
      <c r="E169" t="str">
        <f>HYPERLINK("/pdf/2022_10.1145_3564625.3567970_Randezvous__Making_Randomization_Effective_on_MCUs.pdf","open")</f>
        <v>open</v>
      </c>
      <c r="F169" t="s">
        <v>1602</v>
      </c>
      <c r="G169" t="s">
        <v>1602</v>
      </c>
      <c r="H169" t="s">
        <v>2666</v>
      </c>
      <c r="I169" t="s">
        <v>1609</v>
      </c>
      <c r="J169" t="s">
        <v>148</v>
      </c>
      <c r="K169" t="s">
        <v>148</v>
      </c>
      <c r="L169" t="s">
        <v>148</v>
      </c>
      <c r="M169" t="s">
        <v>148</v>
      </c>
      <c r="N169" t="s">
        <v>148</v>
      </c>
      <c r="O169" t="s">
        <v>148</v>
      </c>
      <c r="P169" t="s">
        <v>148</v>
      </c>
      <c r="Q169" t="s">
        <v>148</v>
      </c>
      <c r="R169" t="s">
        <v>148</v>
      </c>
      <c r="S169" t="s">
        <v>148</v>
      </c>
      <c r="T169" t="s">
        <v>148</v>
      </c>
      <c r="U169" t="s">
        <v>148</v>
      </c>
      <c r="V169" t="s">
        <v>148</v>
      </c>
      <c r="W169" t="s">
        <v>148</v>
      </c>
      <c r="X169" t="s">
        <v>148</v>
      </c>
      <c r="Y169" t="s">
        <v>148</v>
      </c>
      <c r="Z169" t="s">
        <v>148</v>
      </c>
      <c r="AA169" t="s">
        <v>2667</v>
      </c>
      <c r="AB169" t="s">
        <v>1604</v>
      </c>
      <c r="AC169" t="s">
        <v>2668</v>
      </c>
      <c r="AD169" t="s">
        <v>1604</v>
      </c>
      <c r="AE169" t="s">
        <v>2668</v>
      </c>
      <c r="AF169" t="s">
        <v>2669</v>
      </c>
      <c r="AG169" t="s">
        <v>2670</v>
      </c>
      <c r="AH169" t="s">
        <v>2671</v>
      </c>
      <c r="AI169" t="s">
        <v>15</v>
      </c>
      <c r="AJ169" t="s">
        <v>148</v>
      </c>
    </row>
    <row r="170" spans="1:36" x14ac:dyDescent="0.2">
      <c r="A170" t="s">
        <v>807</v>
      </c>
      <c r="B170" t="s">
        <v>146</v>
      </c>
      <c r="C170" t="s">
        <v>136</v>
      </c>
      <c r="D170" t="s">
        <v>148</v>
      </c>
      <c r="E170" t="str">
        <f>HYPERLINK("/pdf/2020_10.1109_iceee49618.2020.9102516_The_Techniques_of_Securing_Imaging_Data_in_Medical_System.pdf","open")</f>
        <v>open</v>
      </c>
      <c r="F170" t="s">
        <v>1772</v>
      </c>
      <c r="G170" t="s">
        <v>1773</v>
      </c>
      <c r="H170" t="s">
        <v>2672</v>
      </c>
      <c r="I170" t="s">
        <v>1609</v>
      </c>
      <c r="J170" t="s">
        <v>148</v>
      </c>
      <c r="K170" t="s">
        <v>148</v>
      </c>
      <c r="L170" t="s">
        <v>148</v>
      </c>
      <c r="M170" t="s">
        <v>1636</v>
      </c>
      <c r="N170" t="s">
        <v>1611</v>
      </c>
      <c r="O170" t="s">
        <v>1609</v>
      </c>
      <c r="P170" t="s">
        <v>148</v>
      </c>
      <c r="Q170" t="s">
        <v>148</v>
      </c>
      <c r="R170" t="s">
        <v>148</v>
      </c>
      <c r="S170" t="s">
        <v>148</v>
      </c>
      <c r="T170" t="s">
        <v>2388</v>
      </c>
      <c r="U170" t="s">
        <v>148</v>
      </c>
      <c r="V170" t="s">
        <v>148</v>
      </c>
      <c r="W170" t="s">
        <v>148</v>
      </c>
      <c r="X170" t="s">
        <v>148</v>
      </c>
      <c r="Y170" t="s">
        <v>148</v>
      </c>
      <c r="Z170" t="s">
        <v>148</v>
      </c>
      <c r="AA170" t="s">
        <v>1776</v>
      </c>
      <c r="AB170" t="s">
        <v>1604</v>
      </c>
      <c r="AC170" t="s">
        <v>148</v>
      </c>
      <c r="AD170" t="s">
        <v>148</v>
      </c>
      <c r="AE170" t="s">
        <v>148</v>
      </c>
      <c r="AF170" t="s">
        <v>1614</v>
      </c>
      <c r="AG170" t="s">
        <v>1614</v>
      </c>
      <c r="AH170" t="s">
        <v>148</v>
      </c>
      <c r="AI170" t="s">
        <v>44</v>
      </c>
      <c r="AJ170" t="s">
        <v>148</v>
      </c>
    </row>
    <row r="171" spans="1:36" x14ac:dyDescent="0.2">
      <c r="A171" t="s">
        <v>809</v>
      </c>
      <c r="B171" t="s">
        <v>810</v>
      </c>
      <c r="C171" t="s">
        <v>363</v>
      </c>
      <c r="D171" t="s">
        <v>812</v>
      </c>
      <c r="E171" t="str">
        <f>HYPERLINK("/pdf/2016_10.1145_2976749.2978398_ProvUSB__Block-level_provenance-based_data_protection_for_USB_storage_devices.pdf","open")</f>
        <v>open</v>
      </c>
      <c r="F171" t="s">
        <v>1602</v>
      </c>
      <c r="G171" t="s">
        <v>1651</v>
      </c>
      <c r="H171" t="s">
        <v>2673</v>
      </c>
      <c r="I171" t="s">
        <v>1604</v>
      </c>
      <c r="J171" t="s">
        <v>2674</v>
      </c>
      <c r="K171" t="s">
        <v>1664</v>
      </c>
      <c r="L171" t="s">
        <v>1604</v>
      </c>
      <c r="M171" t="s">
        <v>148</v>
      </c>
      <c r="N171" t="s">
        <v>148</v>
      </c>
      <c r="O171" t="s">
        <v>148</v>
      </c>
      <c r="P171" t="s">
        <v>148</v>
      </c>
      <c r="Q171" t="s">
        <v>148</v>
      </c>
      <c r="R171" t="s">
        <v>148</v>
      </c>
      <c r="S171" t="s">
        <v>148</v>
      </c>
      <c r="T171" t="s">
        <v>148</v>
      </c>
      <c r="U171" t="s">
        <v>148</v>
      </c>
      <c r="V171" t="s">
        <v>148</v>
      </c>
      <c r="W171" t="s">
        <v>148</v>
      </c>
      <c r="X171" t="s">
        <v>148</v>
      </c>
      <c r="Y171" t="s">
        <v>148</v>
      </c>
      <c r="Z171" t="s">
        <v>148</v>
      </c>
      <c r="AA171" t="s">
        <v>2675</v>
      </c>
      <c r="AB171" t="s">
        <v>1609</v>
      </c>
      <c r="AC171" t="s">
        <v>148</v>
      </c>
      <c r="AD171" t="s">
        <v>148</v>
      </c>
      <c r="AE171" t="s">
        <v>148</v>
      </c>
      <c r="AF171" t="s">
        <v>2676</v>
      </c>
      <c r="AG171" t="s">
        <v>2677</v>
      </c>
      <c r="AH171" t="s">
        <v>2678</v>
      </c>
      <c r="AI171" t="s">
        <v>148</v>
      </c>
      <c r="AJ171" t="s">
        <v>148</v>
      </c>
    </row>
    <row r="172" spans="1:36" x14ac:dyDescent="0.2">
      <c r="A172" t="s">
        <v>814</v>
      </c>
      <c r="B172" t="s">
        <v>815</v>
      </c>
      <c r="C172" t="s">
        <v>210</v>
      </c>
      <c r="D172" t="s">
        <v>817</v>
      </c>
      <c r="E172" t="str">
        <f>HYPERLINK("/pdf/2015_10.1109_msp.2015.88_Can_Content-Based_Data_Loss_Prevention_Solutions_Prevent_Data_Leakage_in_Web_Traffic_.pdf","open")</f>
        <v>open</v>
      </c>
      <c r="F172" t="s">
        <v>1602</v>
      </c>
      <c r="G172" t="s">
        <v>1602</v>
      </c>
      <c r="H172" t="s">
        <v>2679</v>
      </c>
      <c r="I172" t="s">
        <v>1609</v>
      </c>
      <c r="J172" t="s">
        <v>148</v>
      </c>
      <c r="K172" t="s">
        <v>148</v>
      </c>
      <c r="L172" t="s">
        <v>148</v>
      </c>
      <c r="M172" t="s">
        <v>148</v>
      </c>
      <c r="N172" t="s">
        <v>148</v>
      </c>
      <c r="O172" t="s">
        <v>148</v>
      </c>
      <c r="P172" t="s">
        <v>148</v>
      </c>
      <c r="Q172" t="s">
        <v>148</v>
      </c>
      <c r="R172" t="s">
        <v>148</v>
      </c>
      <c r="S172" t="s">
        <v>148</v>
      </c>
      <c r="T172" t="s">
        <v>148</v>
      </c>
      <c r="U172" t="s">
        <v>148</v>
      </c>
      <c r="V172" t="s">
        <v>148</v>
      </c>
      <c r="W172" t="s">
        <v>148</v>
      </c>
      <c r="X172" t="s">
        <v>148</v>
      </c>
      <c r="Y172" t="s">
        <v>148</v>
      </c>
      <c r="Z172" t="s">
        <v>148</v>
      </c>
      <c r="AA172" t="s">
        <v>2680</v>
      </c>
      <c r="AB172" t="s">
        <v>1609</v>
      </c>
      <c r="AC172" t="s">
        <v>148</v>
      </c>
      <c r="AD172" t="s">
        <v>1609</v>
      </c>
      <c r="AE172" t="s">
        <v>148</v>
      </c>
      <c r="AF172" t="s">
        <v>2681</v>
      </c>
      <c r="AG172" t="s">
        <v>2682</v>
      </c>
      <c r="AH172" t="s">
        <v>2683</v>
      </c>
      <c r="AI172" t="s">
        <v>44</v>
      </c>
      <c r="AJ172" t="s">
        <v>2684</v>
      </c>
    </row>
    <row r="173" spans="1:36" x14ac:dyDescent="0.2">
      <c r="A173" t="s">
        <v>819</v>
      </c>
      <c r="B173" t="s">
        <v>820</v>
      </c>
      <c r="C173" t="s">
        <v>25</v>
      </c>
      <c r="D173" t="s">
        <v>822</v>
      </c>
      <c r="E173" t="str">
        <f>HYPERLINK("/pdf/2023_10.1109_gcat59970.2023.10353244_Exploring_Advanced_Model_Optimization_Strategies_for_Network_Intrusion_Detection_in_cloud_computing.pdf","open")</f>
        <v>open</v>
      </c>
      <c r="F173" t="s">
        <v>1607</v>
      </c>
      <c r="G173" t="s">
        <v>1607</v>
      </c>
      <c r="H173" t="s">
        <v>2685</v>
      </c>
      <c r="I173" t="s">
        <v>1609</v>
      </c>
      <c r="J173" t="s">
        <v>148</v>
      </c>
      <c r="K173" t="s">
        <v>148</v>
      </c>
      <c r="L173" t="s">
        <v>148</v>
      </c>
      <c r="M173" t="s">
        <v>2686</v>
      </c>
      <c r="N173" t="s">
        <v>148</v>
      </c>
      <c r="O173" t="s">
        <v>148</v>
      </c>
      <c r="P173" t="s">
        <v>148</v>
      </c>
      <c r="Q173" t="s">
        <v>148</v>
      </c>
      <c r="R173" t="s">
        <v>148</v>
      </c>
      <c r="S173" t="s">
        <v>148</v>
      </c>
      <c r="T173" t="s">
        <v>148</v>
      </c>
      <c r="U173" t="s">
        <v>148</v>
      </c>
      <c r="V173" t="s">
        <v>148</v>
      </c>
      <c r="W173" t="s">
        <v>148</v>
      </c>
      <c r="X173" t="s">
        <v>148</v>
      </c>
      <c r="Y173" t="s">
        <v>148</v>
      </c>
      <c r="Z173" t="s">
        <v>148</v>
      </c>
      <c r="AA173" t="s">
        <v>148</v>
      </c>
      <c r="AB173" t="s">
        <v>148</v>
      </c>
      <c r="AC173" t="s">
        <v>148</v>
      </c>
      <c r="AD173" t="s">
        <v>148</v>
      </c>
      <c r="AE173" t="s">
        <v>148</v>
      </c>
      <c r="AF173" t="s">
        <v>2687</v>
      </c>
      <c r="AG173" t="s">
        <v>148</v>
      </c>
      <c r="AH173" t="s">
        <v>148</v>
      </c>
      <c r="AI173" t="s">
        <v>2688</v>
      </c>
      <c r="AJ173" t="s">
        <v>148</v>
      </c>
    </row>
    <row r="174" spans="1:36" x14ac:dyDescent="0.2">
      <c r="A174" t="s">
        <v>824</v>
      </c>
      <c r="B174" t="s">
        <v>825</v>
      </c>
      <c r="C174" t="s">
        <v>100</v>
      </c>
      <c r="D174" t="s">
        <v>826</v>
      </c>
      <c r="E174" t="str">
        <f>HYPERLINK("/pdf/2022_10_3390_app12042174_assistive_multimodal_robotic_system_amrsys_security_and_privacy_issues_challenges_and.pdf","open")</f>
        <v>open</v>
      </c>
      <c r="F174" t="s">
        <v>1602</v>
      </c>
      <c r="G174" t="s">
        <v>1602</v>
      </c>
      <c r="H174" t="s">
        <v>2689</v>
      </c>
      <c r="I174" t="s">
        <v>148</v>
      </c>
      <c r="J174" t="s">
        <v>1602</v>
      </c>
      <c r="K174" t="s">
        <v>148</v>
      </c>
      <c r="L174" t="s">
        <v>148</v>
      </c>
      <c r="M174" t="s">
        <v>148</v>
      </c>
      <c r="N174" t="s">
        <v>148</v>
      </c>
      <c r="O174" t="s">
        <v>148</v>
      </c>
      <c r="P174" t="s">
        <v>148</v>
      </c>
      <c r="Q174" t="s">
        <v>148</v>
      </c>
      <c r="R174" t="s">
        <v>148</v>
      </c>
      <c r="S174" t="s">
        <v>148</v>
      </c>
      <c r="T174" t="s">
        <v>148</v>
      </c>
      <c r="U174" t="s">
        <v>148</v>
      </c>
      <c r="V174" t="s">
        <v>148</v>
      </c>
      <c r="W174" t="s">
        <v>148</v>
      </c>
      <c r="X174" t="s">
        <v>148</v>
      </c>
      <c r="Y174" t="s">
        <v>148</v>
      </c>
      <c r="Z174" t="s">
        <v>148</v>
      </c>
      <c r="AA174" t="s">
        <v>148</v>
      </c>
      <c r="AB174" t="s">
        <v>148</v>
      </c>
      <c r="AC174" t="s">
        <v>148</v>
      </c>
      <c r="AD174" t="s">
        <v>148</v>
      </c>
      <c r="AE174" t="s">
        <v>148</v>
      </c>
      <c r="AF174" t="s">
        <v>148</v>
      </c>
      <c r="AG174" t="s">
        <v>148</v>
      </c>
      <c r="AH174" t="s">
        <v>148</v>
      </c>
      <c r="AI174" t="s">
        <v>148</v>
      </c>
      <c r="AJ174" t="s">
        <v>148</v>
      </c>
    </row>
    <row r="175" spans="1:36" x14ac:dyDescent="0.2">
      <c r="A175" t="s">
        <v>828</v>
      </c>
      <c r="B175" t="s">
        <v>829</v>
      </c>
      <c r="C175" t="s">
        <v>60</v>
      </c>
      <c r="D175" t="s">
        <v>831</v>
      </c>
      <c r="E175" t="str">
        <f>HYPERLINK("/pdf/2024_10.1080_23311916.2024.2411859_Investigation_of_cyber_attacks_using_post-installation_app_detection_method.pdf","open")</f>
        <v>open</v>
      </c>
      <c r="F175" t="s">
        <v>1606</v>
      </c>
      <c r="G175" t="s">
        <v>1651</v>
      </c>
      <c r="H175" t="s">
        <v>2690</v>
      </c>
      <c r="I175" t="s">
        <v>1609</v>
      </c>
      <c r="J175" t="s">
        <v>148</v>
      </c>
      <c r="K175" t="s">
        <v>148</v>
      </c>
      <c r="L175" t="s">
        <v>148</v>
      </c>
      <c r="M175" t="s">
        <v>1636</v>
      </c>
      <c r="N175" t="s">
        <v>148</v>
      </c>
      <c r="O175" t="s">
        <v>148</v>
      </c>
      <c r="P175" t="s">
        <v>148</v>
      </c>
      <c r="Q175" t="s">
        <v>148</v>
      </c>
      <c r="R175" t="s">
        <v>148</v>
      </c>
      <c r="S175" t="s">
        <v>148</v>
      </c>
      <c r="T175" t="s">
        <v>148</v>
      </c>
      <c r="U175" t="s">
        <v>148</v>
      </c>
      <c r="V175" t="s">
        <v>148</v>
      </c>
      <c r="W175" t="s">
        <v>148</v>
      </c>
      <c r="X175" t="s">
        <v>2691</v>
      </c>
      <c r="Y175" t="s">
        <v>148</v>
      </c>
      <c r="Z175" t="s">
        <v>148</v>
      </c>
      <c r="AA175" t="s">
        <v>2692</v>
      </c>
      <c r="AB175" t="s">
        <v>1604</v>
      </c>
      <c r="AC175" t="s">
        <v>148</v>
      </c>
      <c r="AD175" t="s">
        <v>148</v>
      </c>
      <c r="AE175" t="s">
        <v>148</v>
      </c>
      <c r="AF175" t="s">
        <v>2693</v>
      </c>
      <c r="AG175" t="s">
        <v>2584</v>
      </c>
      <c r="AH175" t="s">
        <v>2694</v>
      </c>
      <c r="AI175" t="s">
        <v>44</v>
      </c>
      <c r="AJ175" t="s">
        <v>2695</v>
      </c>
    </row>
    <row r="176" spans="1:36" x14ac:dyDescent="0.2">
      <c r="A176" t="s">
        <v>833</v>
      </c>
      <c r="B176" t="s">
        <v>834</v>
      </c>
      <c r="C176" t="s">
        <v>100</v>
      </c>
      <c r="D176" t="s">
        <v>148</v>
      </c>
      <c r="E176" t="str">
        <f>HYPERLINK("/pdf/2023_10_1109_compsac57700_2023_00106_feature_engineering_based_detection_of_buffer_overflow_vulnerability_in_source_code_using.pdf","open")</f>
        <v>open</v>
      </c>
      <c r="F176" t="s">
        <v>1606</v>
      </c>
      <c r="G176" t="s">
        <v>1602</v>
      </c>
      <c r="H176" t="s">
        <v>2696</v>
      </c>
      <c r="I176" t="s">
        <v>1609</v>
      </c>
      <c r="J176" t="s">
        <v>148</v>
      </c>
      <c r="K176" t="s">
        <v>148</v>
      </c>
      <c r="L176" t="s">
        <v>148</v>
      </c>
      <c r="M176" t="s">
        <v>1636</v>
      </c>
      <c r="N176" t="s">
        <v>1611</v>
      </c>
      <c r="O176" t="s">
        <v>1609</v>
      </c>
      <c r="P176" t="s">
        <v>148</v>
      </c>
      <c r="Q176" t="s">
        <v>148</v>
      </c>
      <c r="R176" t="s">
        <v>148</v>
      </c>
      <c r="S176" t="s">
        <v>148</v>
      </c>
      <c r="T176" t="s">
        <v>2697</v>
      </c>
      <c r="U176" t="s">
        <v>1609</v>
      </c>
      <c r="V176" t="s">
        <v>148</v>
      </c>
      <c r="W176" t="s">
        <v>148</v>
      </c>
      <c r="X176" t="s">
        <v>148</v>
      </c>
      <c r="Y176" t="s">
        <v>148</v>
      </c>
      <c r="Z176" t="s">
        <v>148</v>
      </c>
      <c r="AA176" t="s">
        <v>2698</v>
      </c>
      <c r="AB176" t="s">
        <v>1604</v>
      </c>
      <c r="AC176" t="s">
        <v>148</v>
      </c>
      <c r="AD176" t="s">
        <v>148</v>
      </c>
      <c r="AE176" t="s">
        <v>148</v>
      </c>
      <c r="AF176" t="s">
        <v>2699</v>
      </c>
      <c r="AG176" t="s">
        <v>1614</v>
      </c>
      <c r="AH176" t="s">
        <v>2700</v>
      </c>
      <c r="AI176" t="s">
        <v>590</v>
      </c>
      <c r="AJ176" t="s">
        <v>148</v>
      </c>
    </row>
    <row r="177" spans="1:36" x14ac:dyDescent="0.2">
      <c r="A177" t="s">
        <v>836</v>
      </c>
      <c r="B177" t="s">
        <v>837</v>
      </c>
      <c r="C177" t="s">
        <v>36</v>
      </c>
      <c r="D177" t="s">
        <v>839</v>
      </c>
      <c r="E177" t="str">
        <f>HYPERLINK("/pdf/2021_10.4316_aece.2021.03005_Deep_Learning_Based_DNS_Tunneling_Detection_and_Blocking_System.pdf","open")</f>
        <v>open</v>
      </c>
      <c r="F177" t="s">
        <v>1606</v>
      </c>
      <c r="G177" t="s">
        <v>1607</v>
      </c>
      <c r="H177" t="s">
        <v>2701</v>
      </c>
      <c r="I177" t="s">
        <v>1609</v>
      </c>
      <c r="J177" t="s">
        <v>148</v>
      </c>
      <c r="K177" t="s">
        <v>148</v>
      </c>
      <c r="L177" t="s">
        <v>148</v>
      </c>
      <c r="M177" t="s">
        <v>1636</v>
      </c>
      <c r="N177" t="s">
        <v>1611</v>
      </c>
      <c r="O177" t="s">
        <v>148</v>
      </c>
      <c r="P177" t="s">
        <v>1694</v>
      </c>
      <c r="Q177" t="s">
        <v>148</v>
      </c>
      <c r="R177" t="s">
        <v>148</v>
      </c>
      <c r="S177" t="s">
        <v>1655</v>
      </c>
      <c r="T177" t="s">
        <v>2702</v>
      </c>
      <c r="U177" t="s">
        <v>1609</v>
      </c>
      <c r="V177" t="s">
        <v>1609</v>
      </c>
      <c r="W177" t="s">
        <v>148</v>
      </c>
      <c r="X177" t="s">
        <v>2703</v>
      </c>
      <c r="Y177" t="s">
        <v>148</v>
      </c>
      <c r="Z177" t="s">
        <v>148</v>
      </c>
      <c r="AA177" t="s">
        <v>2704</v>
      </c>
      <c r="AB177" t="s">
        <v>2705</v>
      </c>
      <c r="AC177" t="s">
        <v>148</v>
      </c>
      <c r="AD177" t="s">
        <v>148</v>
      </c>
      <c r="AE177" t="s">
        <v>148</v>
      </c>
      <c r="AF177" t="s">
        <v>2706</v>
      </c>
      <c r="AG177" t="s">
        <v>1614</v>
      </c>
      <c r="AH177" t="s">
        <v>2707</v>
      </c>
      <c r="AI177" t="s">
        <v>590</v>
      </c>
      <c r="AJ177" t="s">
        <v>148</v>
      </c>
    </row>
    <row r="178" spans="1:36" x14ac:dyDescent="0.2">
      <c r="A178" t="s">
        <v>841</v>
      </c>
      <c r="B178" t="s">
        <v>842</v>
      </c>
      <c r="C178" t="s">
        <v>100</v>
      </c>
      <c r="D178" t="s">
        <v>844</v>
      </c>
      <c r="E178" t="str">
        <f>HYPERLINK("/pdf/2022_10.1016_j.ins.2022.07.104_Privacy-preserving_knowledge_transfer_for_intrusion_detection_with_federated_deep_autoencoding_gaussian_mixtur.pdf","open")</f>
        <v>open</v>
      </c>
      <c r="F178" t="s">
        <v>1618</v>
      </c>
      <c r="G178" t="s">
        <v>1607</v>
      </c>
      <c r="H178" t="s">
        <v>2708</v>
      </c>
      <c r="I178" t="s">
        <v>1609</v>
      </c>
      <c r="J178" t="s">
        <v>148</v>
      </c>
      <c r="K178" t="s">
        <v>148</v>
      </c>
      <c r="L178" t="s">
        <v>148</v>
      </c>
      <c r="M178" t="s">
        <v>2709</v>
      </c>
      <c r="N178" t="s">
        <v>1611</v>
      </c>
      <c r="O178" t="s">
        <v>148</v>
      </c>
      <c r="P178" t="s">
        <v>148</v>
      </c>
      <c r="Q178" t="s">
        <v>148</v>
      </c>
      <c r="R178" t="s">
        <v>148</v>
      </c>
      <c r="S178" t="s">
        <v>1655</v>
      </c>
      <c r="T178" t="s">
        <v>2710</v>
      </c>
      <c r="U178" t="s">
        <v>1609</v>
      </c>
      <c r="V178" t="s">
        <v>148</v>
      </c>
      <c r="W178" t="s">
        <v>148</v>
      </c>
      <c r="X178" t="s">
        <v>2711</v>
      </c>
      <c r="Y178" t="s">
        <v>148</v>
      </c>
      <c r="Z178" t="s">
        <v>148</v>
      </c>
      <c r="AA178" t="s">
        <v>2712</v>
      </c>
      <c r="AB178" t="s">
        <v>1604</v>
      </c>
      <c r="AC178" t="s">
        <v>2713</v>
      </c>
      <c r="AD178" t="s">
        <v>148</v>
      </c>
      <c r="AE178" t="s">
        <v>148</v>
      </c>
      <c r="AF178" t="s">
        <v>2714</v>
      </c>
      <c r="AG178" t="s">
        <v>2715</v>
      </c>
      <c r="AH178" t="s">
        <v>2716</v>
      </c>
      <c r="AI178" t="s">
        <v>2717</v>
      </c>
      <c r="AJ178" t="s">
        <v>2718</v>
      </c>
    </row>
    <row r="179" spans="1:36" x14ac:dyDescent="0.2">
      <c r="A179" t="s">
        <v>846</v>
      </c>
      <c r="B179" t="s">
        <v>847</v>
      </c>
      <c r="C179" t="s">
        <v>19</v>
      </c>
      <c r="D179" t="s">
        <v>848</v>
      </c>
      <c r="E179" t="str">
        <f>HYPERLINK("/pdf/2025_10_3390_electronics14101982_ficconvnet_a_privacy_preserving_framework_for_malware_detection_using_ckks_homomorphic_en.pdf","open")</f>
        <v>open</v>
      </c>
      <c r="F179" t="s">
        <v>1606</v>
      </c>
      <c r="G179" t="s">
        <v>1651</v>
      </c>
      <c r="H179" t="s">
        <v>2719</v>
      </c>
      <c r="I179" t="s">
        <v>1609</v>
      </c>
      <c r="J179" t="s">
        <v>1602</v>
      </c>
      <c r="K179" t="s">
        <v>148</v>
      </c>
      <c r="L179" t="s">
        <v>148</v>
      </c>
      <c r="M179" t="s">
        <v>2720</v>
      </c>
      <c r="N179" t="s">
        <v>1611</v>
      </c>
      <c r="O179" t="s">
        <v>148</v>
      </c>
      <c r="P179" t="s">
        <v>148</v>
      </c>
      <c r="Q179" t="s">
        <v>148</v>
      </c>
      <c r="R179" t="s">
        <v>148</v>
      </c>
      <c r="S179" t="s">
        <v>1655</v>
      </c>
      <c r="T179" t="s">
        <v>1750</v>
      </c>
      <c r="U179" t="s">
        <v>1609</v>
      </c>
      <c r="V179" t="s">
        <v>1609</v>
      </c>
      <c r="W179" t="s">
        <v>148</v>
      </c>
      <c r="X179" t="s">
        <v>2721</v>
      </c>
      <c r="Y179" t="s">
        <v>148</v>
      </c>
      <c r="Z179" t="s">
        <v>148</v>
      </c>
      <c r="AA179" t="s">
        <v>2722</v>
      </c>
      <c r="AB179" t="s">
        <v>1604</v>
      </c>
      <c r="AC179" t="s">
        <v>2723</v>
      </c>
      <c r="AD179" t="s">
        <v>148</v>
      </c>
      <c r="AE179" t="s">
        <v>148</v>
      </c>
      <c r="AF179" t="s">
        <v>2411</v>
      </c>
      <c r="AG179" t="s">
        <v>1614</v>
      </c>
      <c r="AH179" t="s">
        <v>2724</v>
      </c>
      <c r="AI179" t="s">
        <v>2725</v>
      </c>
      <c r="AJ179" t="s">
        <v>148</v>
      </c>
    </row>
    <row r="180" spans="1:36" x14ac:dyDescent="0.2">
      <c r="A180" t="s">
        <v>850</v>
      </c>
      <c r="B180" t="s">
        <v>850</v>
      </c>
      <c r="C180" t="s">
        <v>100</v>
      </c>
      <c r="D180" t="s">
        <v>851</v>
      </c>
      <c r="E180" t="str">
        <f>HYPERLINK("/pdf/2022_10.1016_j.cose.2022.102644_Preventive_portfolio_against_data-selling_ransomware—A_game_theory_of_encryption_and_deception.pdf","open")</f>
        <v>open</v>
      </c>
      <c r="F180" t="s">
        <v>1602</v>
      </c>
      <c r="G180" t="s">
        <v>2726</v>
      </c>
      <c r="H180" t="s">
        <v>2727</v>
      </c>
      <c r="I180" t="s">
        <v>1609</v>
      </c>
      <c r="J180" t="s">
        <v>148</v>
      </c>
      <c r="K180" t="s">
        <v>148</v>
      </c>
      <c r="L180" t="s">
        <v>148</v>
      </c>
      <c r="M180" t="s">
        <v>148</v>
      </c>
      <c r="N180" t="s">
        <v>148</v>
      </c>
      <c r="O180" t="s">
        <v>148</v>
      </c>
      <c r="P180" t="s">
        <v>148</v>
      </c>
      <c r="Q180" t="s">
        <v>148</v>
      </c>
      <c r="R180" t="s">
        <v>148</v>
      </c>
      <c r="S180" t="s">
        <v>1602</v>
      </c>
      <c r="T180" t="s">
        <v>148</v>
      </c>
      <c r="U180" t="s">
        <v>148</v>
      </c>
      <c r="V180" t="s">
        <v>148</v>
      </c>
      <c r="W180" t="s">
        <v>148</v>
      </c>
      <c r="X180" t="s">
        <v>1602</v>
      </c>
      <c r="Y180" t="s">
        <v>148</v>
      </c>
      <c r="Z180" t="s">
        <v>148</v>
      </c>
      <c r="AA180" t="s">
        <v>2728</v>
      </c>
      <c r="AB180" t="s">
        <v>1609</v>
      </c>
      <c r="AC180" t="s">
        <v>148</v>
      </c>
      <c r="AD180" t="s">
        <v>148</v>
      </c>
      <c r="AE180" t="s">
        <v>148</v>
      </c>
      <c r="AF180" t="s">
        <v>2729</v>
      </c>
      <c r="AG180" t="s">
        <v>2730</v>
      </c>
      <c r="AH180" t="s">
        <v>2731</v>
      </c>
      <c r="AI180" t="s">
        <v>2732</v>
      </c>
      <c r="AJ180" t="s">
        <v>148</v>
      </c>
    </row>
    <row r="181" spans="1:36" x14ac:dyDescent="0.2">
      <c r="A181" t="s">
        <v>853</v>
      </c>
      <c r="B181" t="s">
        <v>854</v>
      </c>
      <c r="C181" t="s">
        <v>19</v>
      </c>
      <c r="D181" t="s">
        <v>856</v>
      </c>
      <c r="E181" t="str">
        <f>HYPERLINK("/pdf/2025_10.1109_sennet64220.2025.11135967_Secure_IoMT_Networks__A_Federated_Learning_Approach_to_Intrusion_Detection_with_Ensemble_Voting_Classifier.pdf","open")</f>
        <v>open</v>
      </c>
      <c r="F181" t="s">
        <v>1606</v>
      </c>
      <c r="G181" t="s">
        <v>1607</v>
      </c>
      <c r="H181" t="s">
        <v>2733</v>
      </c>
      <c r="I181" t="s">
        <v>1609</v>
      </c>
      <c r="J181" t="s">
        <v>148</v>
      </c>
      <c r="K181" t="s">
        <v>148</v>
      </c>
      <c r="L181" t="s">
        <v>148</v>
      </c>
      <c r="M181" t="s">
        <v>2734</v>
      </c>
      <c r="N181" t="s">
        <v>1611</v>
      </c>
      <c r="O181" t="s">
        <v>1609</v>
      </c>
      <c r="P181" t="s">
        <v>148</v>
      </c>
      <c r="Q181" t="s">
        <v>148</v>
      </c>
      <c r="R181" t="s">
        <v>148</v>
      </c>
      <c r="S181" t="s">
        <v>148</v>
      </c>
      <c r="T181" t="s">
        <v>148</v>
      </c>
      <c r="U181" t="s">
        <v>148</v>
      </c>
      <c r="V181" t="s">
        <v>148</v>
      </c>
      <c r="W181" t="s">
        <v>148</v>
      </c>
      <c r="X181" t="s">
        <v>148</v>
      </c>
      <c r="Y181" t="s">
        <v>148</v>
      </c>
      <c r="Z181" t="s">
        <v>148</v>
      </c>
      <c r="AA181" t="s">
        <v>2735</v>
      </c>
      <c r="AB181" t="s">
        <v>1604</v>
      </c>
      <c r="AC181" t="s">
        <v>148</v>
      </c>
      <c r="AD181" t="s">
        <v>148</v>
      </c>
      <c r="AE181" t="s">
        <v>148</v>
      </c>
      <c r="AF181" t="s">
        <v>2736</v>
      </c>
      <c r="AG181" t="s">
        <v>1614</v>
      </c>
      <c r="AH181" t="s">
        <v>2737</v>
      </c>
      <c r="AI181" t="s">
        <v>44</v>
      </c>
      <c r="AJ181" t="s">
        <v>148</v>
      </c>
    </row>
    <row r="182" spans="1:36" x14ac:dyDescent="0.2">
      <c r="A182" t="s">
        <v>858</v>
      </c>
      <c r="B182" t="s">
        <v>859</v>
      </c>
      <c r="C182" t="s">
        <v>25</v>
      </c>
      <c r="D182" t="s">
        <v>861</v>
      </c>
      <c r="E182" t="str">
        <f>HYPERLINK("/pdf/2023_10.1016_j.micpro.2023.104845_Empirical_study_on_security_verification_and_assessment_of_neural_network_accelerator.pdf","open")</f>
        <v>open</v>
      </c>
      <c r="F182" t="s">
        <v>1602</v>
      </c>
      <c r="G182" t="s">
        <v>1602</v>
      </c>
      <c r="H182" t="s">
        <v>2738</v>
      </c>
      <c r="I182" t="s">
        <v>1609</v>
      </c>
      <c r="J182" t="s">
        <v>148</v>
      </c>
      <c r="K182" t="s">
        <v>148</v>
      </c>
      <c r="L182" t="s">
        <v>148</v>
      </c>
      <c r="M182" t="s">
        <v>2739</v>
      </c>
      <c r="N182" t="s">
        <v>148</v>
      </c>
      <c r="O182" t="s">
        <v>148</v>
      </c>
      <c r="P182" t="s">
        <v>1694</v>
      </c>
      <c r="Q182" t="s">
        <v>148</v>
      </c>
      <c r="R182" t="s">
        <v>148</v>
      </c>
      <c r="S182" t="s">
        <v>1655</v>
      </c>
      <c r="T182" t="s">
        <v>1872</v>
      </c>
      <c r="U182" t="s">
        <v>148</v>
      </c>
      <c r="V182" t="s">
        <v>148</v>
      </c>
      <c r="W182" t="s">
        <v>148</v>
      </c>
      <c r="X182" t="s">
        <v>148</v>
      </c>
      <c r="Y182" t="s">
        <v>148</v>
      </c>
      <c r="Z182" t="s">
        <v>148</v>
      </c>
      <c r="AA182" t="s">
        <v>2740</v>
      </c>
      <c r="AB182" t="s">
        <v>1604</v>
      </c>
      <c r="AC182" t="s">
        <v>148</v>
      </c>
      <c r="AD182" t="s">
        <v>148</v>
      </c>
      <c r="AE182" t="s">
        <v>148</v>
      </c>
      <c r="AF182" t="s">
        <v>2741</v>
      </c>
      <c r="AG182" t="s">
        <v>2742</v>
      </c>
      <c r="AH182" t="s">
        <v>2743</v>
      </c>
      <c r="AI182" t="s">
        <v>957</v>
      </c>
      <c r="AJ182" t="s">
        <v>2744</v>
      </c>
    </row>
    <row r="183" spans="1:36" x14ac:dyDescent="0.2">
      <c r="A183" t="s">
        <v>863</v>
      </c>
      <c r="B183" t="s">
        <v>864</v>
      </c>
      <c r="C183" t="s">
        <v>48</v>
      </c>
      <c r="D183" t="s">
        <v>865</v>
      </c>
      <c r="E183" t="str">
        <f>HYPERLINK("/pdf/2026_10_3390_fi18010042_intrusion_detection_for_internet_of_vehicles_can_bus_communications_using_machine_learning.pdf","open")</f>
        <v>open</v>
      </c>
      <c r="F183" t="s">
        <v>1607</v>
      </c>
      <c r="G183" t="s">
        <v>2745</v>
      </c>
      <c r="H183" t="s">
        <v>2746</v>
      </c>
      <c r="I183" t="s">
        <v>1609</v>
      </c>
      <c r="J183" t="s">
        <v>148</v>
      </c>
      <c r="K183" t="s">
        <v>148</v>
      </c>
      <c r="L183" t="s">
        <v>148</v>
      </c>
      <c r="M183" t="s">
        <v>1636</v>
      </c>
      <c r="N183" t="s">
        <v>1611</v>
      </c>
      <c r="O183" t="s">
        <v>1604</v>
      </c>
      <c r="P183" t="s">
        <v>2747</v>
      </c>
      <c r="Q183" t="s">
        <v>2748</v>
      </c>
      <c r="R183" t="s">
        <v>2749</v>
      </c>
      <c r="S183" t="s">
        <v>1654</v>
      </c>
      <c r="T183" t="s">
        <v>2750</v>
      </c>
      <c r="U183" t="s">
        <v>1609</v>
      </c>
      <c r="V183" t="s">
        <v>148</v>
      </c>
      <c r="W183" t="s">
        <v>1604</v>
      </c>
      <c r="X183" t="s">
        <v>2751</v>
      </c>
      <c r="Y183" t="s">
        <v>148</v>
      </c>
      <c r="Z183" t="s">
        <v>148</v>
      </c>
      <c r="AA183" t="s">
        <v>2752</v>
      </c>
      <c r="AB183" t="s">
        <v>1604</v>
      </c>
      <c r="AC183" t="s">
        <v>2753</v>
      </c>
      <c r="AD183" t="s">
        <v>148</v>
      </c>
      <c r="AE183" t="s">
        <v>148</v>
      </c>
      <c r="AF183" t="s">
        <v>2754</v>
      </c>
      <c r="AG183" t="s">
        <v>2755</v>
      </c>
      <c r="AH183" t="s">
        <v>2756</v>
      </c>
      <c r="AI183" t="s">
        <v>590</v>
      </c>
      <c r="AJ183" t="s">
        <v>2757</v>
      </c>
    </row>
    <row r="184" spans="1:36" x14ac:dyDescent="0.2">
      <c r="A184" t="s">
        <v>867</v>
      </c>
      <c r="B184" t="s">
        <v>868</v>
      </c>
      <c r="C184" t="s">
        <v>54</v>
      </c>
      <c r="D184" t="s">
        <v>867</v>
      </c>
      <c r="E184" t="str">
        <f>HYPERLINK("/pdf/2020_10.34190_ews.20.004_Mitigating_insider_threats__A_case_study_of_data_leak_prevention.pdf","open")</f>
        <v>open</v>
      </c>
      <c r="F184" t="s">
        <v>1602</v>
      </c>
      <c r="G184" t="s">
        <v>1602</v>
      </c>
      <c r="H184" t="s">
        <v>2219</v>
      </c>
      <c r="I184" t="s">
        <v>148</v>
      </c>
      <c r="J184" t="s">
        <v>148</v>
      </c>
      <c r="K184" t="s">
        <v>148</v>
      </c>
      <c r="L184" t="s">
        <v>148</v>
      </c>
      <c r="M184" t="s">
        <v>148</v>
      </c>
      <c r="N184" t="s">
        <v>148</v>
      </c>
      <c r="O184" t="s">
        <v>148</v>
      </c>
      <c r="P184" t="s">
        <v>148</v>
      </c>
      <c r="Q184" t="s">
        <v>148</v>
      </c>
      <c r="R184" t="s">
        <v>148</v>
      </c>
      <c r="S184" t="s">
        <v>148</v>
      </c>
      <c r="T184" t="s">
        <v>148</v>
      </c>
      <c r="U184" t="s">
        <v>148</v>
      </c>
      <c r="V184" t="s">
        <v>148</v>
      </c>
      <c r="W184" t="s">
        <v>148</v>
      </c>
      <c r="X184" t="s">
        <v>148</v>
      </c>
      <c r="Y184" t="s">
        <v>148</v>
      </c>
      <c r="Z184" t="s">
        <v>148</v>
      </c>
      <c r="AA184" t="s">
        <v>148</v>
      </c>
      <c r="AB184" t="s">
        <v>148</v>
      </c>
      <c r="AC184" t="s">
        <v>148</v>
      </c>
      <c r="AD184" t="s">
        <v>148</v>
      </c>
      <c r="AE184" t="s">
        <v>148</v>
      </c>
      <c r="AF184" t="s">
        <v>148</v>
      </c>
      <c r="AG184" t="s">
        <v>148</v>
      </c>
      <c r="AH184" t="s">
        <v>148</v>
      </c>
      <c r="AI184" t="s">
        <v>148</v>
      </c>
      <c r="AJ184" t="s">
        <v>148</v>
      </c>
    </row>
    <row r="185" spans="1:36" x14ac:dyDescent="0.2">
      <c r="A185" t="s">
        <v>871</v>
      </c>
      <c r="B185" t="s">
        <v>872</v>
      </c>
      <c r="C185" t="s">
        <v>363</v>
      </c>
      <c r="D185" t="s">
        <v>873</v>
      </c>
      <c r="E185" t="str">
        <f>HYPERLINK("/pdf/2017_10.1109_asianhost.2016.7835566_RECORD__Temporarily_randomized_encoding_of_combinational_logic_for_resistance_to_data_leakage_from_hardware_Tr.pdf","open")</f>
        <v>open</v>
      </c>
      <c r="F185" t="s">
        <v>1602</v>
      </c>
      <c r="G185" t="s">
        <v>1602</v>
      </c>
      <c r="H185" t="s">
        <v>2758</v>
      </c>
      <c r="I185" t="s">
        <v>148</v>
      </c>
      <c r="J185" t="s">
        <v>148</v>
      </c>
      <c r="K185" t="s">
        <v>148</v>
      </c>
      <c r="L185" t="s">
        <v>148</v>
      </c>
      <c r="M185" t="s">
        <v>148</v>
      </c>
      <c r="N185" t="s">
        <v>148</v>
      </c>
      <c r="O185" t="s">
        <v>148</v>
      </c>
      <c r="P185" t="s">
        <v>148</v>
      </c>
      <c r="Q185" t="s">
        <v>148</v>
      </c>
      <c r="R185" t="s">
        <v>148</v>
      </c>
      <c r="S185" t="s">
        <v>148</v>
      </c>
      <c r="T185" t="s">
        <v>148</v>
      </c>
      <c r="U185" t="s">
        <v>148</v>
      </c>
      <c r="V185" t="s">
        <v>148</v>
      </c>
      <c r="W185" t="s">
        <v>148</v>
      </c>
      <c r="X185" t="s">
        <v>148</v>
      </c>
      <c r="Y185" t="s">
        <v>148</v>
      </c>
      <c r="Z185" t="s">
        <v>148</v>
      </c>
      <c r="AA185" t="s">
        <v>2759</v>
      </c>
      <c r="AB185" t="s">
        <v>148</v>
      </c>
      <c r="AC185" t="s">
        <v>148</v>
      </c>
      <c r="AD185" t="s">
        <v>148</v>
      </c>
      <c r="AE185" t="s">
        <v>148</v>
      </c>
      <c r="AF185" t="s">
        <v>148</v>
      </c>
      <c r="AG185" t="s">
        <v>148</v>
      </c>
      <c r="AH185" t="s">
        <v>2760</v>
      </c>
      <c r="AI185" t="s">
        <v>148</v>
      </c>
      <c r="AJ185" t="s">
        <v>148</v>
      </c>
    </row>
    <row r="186" spans="1:36" x14ac:dyDescent="0.2">
      <c r="A186" t="s">
        <v>875</v>
      </c>
      <c r="B186" t="s">
        <v>876</v>
      </c>
      <c r="C186" t="s">
        <v>48</v>
      </c>
      <c r="D186" t="s">
        <v>877</v>
      </c>
      <c r="E186" t="str">
        <f>HYPERLINK("/pdf/2026_10.3390_fi18010011_Adaptive_Privacy-Preserving_Insider_Threat_Detection_Using_Generative_Sequence_Models.pdf","open")</f>
        <v>open</v>
      </c>
      <c r="F186" t="s">
        <v>1633</v>
      </c>
      <c r="G186" t="s">
        <v>1661</v>
      </c>
      <c r="H186" t="s">
        <v>2219</v>
      </c>
      <c r="I186" t="s">
        <v>1609</v>
      </c>
      <c r="J186" t="s">
        <v>148</v>
      </c>
      <c r="K186" t="s">
        <v>148</v>
      </c>
      <c r="L186" t="s">
        <v>148</v>
      </c>
      <c r="M186" t="s">
        <v>2761</v>
      </c>
      <c r="N186" t="s">
        <v>1611</v>
      </c>
      <c r="O186" t="s">
        <v>1604</v>
      </c>
      <c r="P186" t="s">
        <v>2762</v>
      </c>
      <c r="Q186" t="s">
        <v>2763</v>
      </c>
      <c r="R186" t="s">
        <v>2764</v>
      </c>
      <c r="S186" t="s">
        <v>1624</v>
      </c>
      <c r="T186" t="s">
        <v>2765</v>
      </c>
      <c r="U186" t="s">
        <v>1604</v>
      </c>
      <c r="V186" t="s">
        <v>148</v>
      </c>
      <c r="W186" t="s">
        <v>148</v>
      </c>
      <c r="X186" t="s">
        <v>2766</v>
      </c>
      <c r="Y186" t="s">
        <v>148</v>
      </c>
      <c r="Z186" t="s">
        <v>148</v>
      </c>
      <c r="AA186" t="s">
        <v>2767</v>
      </c>
      <c r="AB186" t="s">
        <v>1604</v>
      </c>
      <c r="AC186" t="s">
        <v>148</v>
      </c>
      <c r="AD186" t="s">
        <v>148</v>
      </c>
      <c r="AE186" t="s">
        <v>148</v>
      </c>
      <c r="AF186" t="s">
        <v>2768</v>
      </c>
      <c r="AG186" t="s">
        <v>2715</v>
      </c>
      <c r="AH186" t="s">
        <v>2769</v>
      </c>
      <c r="AI186" t="s">
        <v>590</v>
      </c>
      <c r="AJ186" t="s">
        <v>2770</v>
      </c>
    </row>
    <row r="187" spans="1:36" x14ac:dyDescent="0.2">
      <c r="A187" t="s">
        <v>879</v>
      </c>
      <c r="B187" t="s">
        <v>880</v>
      </c>
      <c r="C187" t="s">
        <v>215</v>
      </c>
      <c r="D187" t="s">
        <v>882</v>
      </c>
      <c r="E187" t="str">
        <f>HYPERLINK("/pdf/2015_10.1109_cse.2014.136_Fvisor__Towards_thwarting_unauthorized_file_accesses_with_a_light-weght_hypervisor.pdf","open")</f>
        <v>open</v>
      </c>
      <c r="F187" t="s">
        <v>1602</v>
      </c>
      <c r="G187" t="s">
        <v>1651</v>
      </c>
      <c r="H187" t="s">
        <v>2771</v>
      </c>
      <c r="I187" t="s">
        <v>1609</v>
      </c>
      <c r="J187" t="s">
        <v>148</v>
      </c>
      <c r="K187" t="s">
        <v>148</v>
      </c>
      <c r="L187" t="s">
        <v>148</v>
      </c>
      <c r="M187" t="s">
        <v>148</v>
      </c>
      <c r="N187" t="s">
        <v>148</v>
      </c>
      <c r="O187" t="s">
        <v>148</v>
      </c>
      <c r="P187" t="s">
        <v>148</v>
      </c>
      <c r="Q187" t="s">
        <v>148</v>
      </c>
      <c r="R187" t="s">
        <v>148</v>
      </c>
      <c r="S187" t="s">
        <v>148</v>
      </c>
      <c r="T187" t="s">
        <v>148</v>
      </c>
      <c r="U187" t="s">
        <v>148</v>
      </c>
      <c r="V187" t="s">
        <v>148</v>
      </c>
      <c r="W187" t="s">
        <v>148</v>
      </c>
      <c r="X187" t="s">
        <v>148</v>
      </c>
      <c r="Y187" t="s">
        <v>148</v>
      </c>
      <c r="Z187" t="s">
        <v>148</v>
      </c>
      <c r="AA187" t="s">
        <v>2772</v>
      </c>
      <c r="AB187" t="s">
        <v>148</v>
      </c>
      <c r="AC187" t="s">
        <v>148</v>
      </c>
      <c r="AD187" t="s">
        <v>148</v>
      </c>
      <c r="AE187" t="s">
        <v>148</v>
      </c>
      <c r="AF187" t="s">
        <v>2773</v>
      </c>
      <c r="AG187" t="s">
        <v>2774</v>
      </c>
      <c r="AH187" t="s">
        <v>2775</v>
      </c>
      <c r="AI187" t="s">
        <v>44</v>
      </c>
      <c r="AJ187" t="s">
        <v>148</v>
      </c>
    </row>
    <row r="188" spans="1:36" x14ac:dyDescent="0.2">
      <c r="A188" t="s">
        <v>884</v>
      </c>
      <c r="B188" t="s">
        <v>885</v>
      </c>
      <c r="C188" t="s">
        <v>25</v>
      </c>
      <c r="D188" t="s">
        <v>887</v>
      </c>
      <c r="E188" t="str">
        <f>HYPERLINK("/pdf/2023_10_1109_ijcnn54540_2023_10191926_online_automated_machine_learning_for_class_imbalanced_data_streams.pdf","open")</f>
        <v>open</v>
      </c>
      <c r="F188" t="s">
        <v>1606</v>
      </c>
      <c r="G188" t="s">
        <v>1759</v>
      </c>
      <c r="H188" t="s">
        <v>148</v>
      </c>
      <c r="I188" t="s">
        <v>1609</v>
      </c>
      <c r="J188" t="s">
        <v>148</v>
      </c>
      <c r="K188" t="s">
        <v>1635</v>
      </c>
      <c r="L188" t="s">
        <v>1609</v>
      </c>
      <c r="M188" t="s">
        <v>2776</v>
      </c>
      <c r="N188" t="s">
        <v>1611</v>
      </c>
      <c r="O188" t="s">
        <v>1604</v>
      </c>
      <c r="P188" t="s">
        <v>1827</v>
      </c>
      <c r="Q188" t="s">
        <v>2273</v>
      </c>
      <c r="R188" t="s">
        <v>2777</v>
      </c>
      <c r="S188" t="s">
        <v>1624</v>
      </c>
      <c r="T188" t="s">
        <v>2778</v>
      </c>
      <c r="U188" t="s">
        <v>1604</v>
      </c>
      <c r="V188" t="s">
        <v>148</v>
      </c>
      <c r="W188" t="s">
        <v>148</v>
      </c>
      <c r="X188" t="s">
        <v>2779</v>
      </c>
      <c r="Y188" t="s">
        <v>148</v>
      </c>
      <c r="Z188" t="s">
        <v>148</v>
      </c>
      <c r="AA188" t="s">
        <v>2780</v>
      </c>
      <c r="AB188" t="s">
        <v>1604</v>
      </c>
      <c r="AC188" t="s">
        <v>148</v>
      </c>
      <c r="AD188" t="s">
        <v>148</v>
      </c>
      <c r="AE188" t="s">
        <v>148</v>
      </c>
      <c r="AF188" t="s">
        <v>2781</v>
      </c>
      <c r="AG188" t="s">
        <v>1984</v>
      </c>
      <c r="AH188" t="s">
        <v>2782</v>
      </c>
      <c r="AI188" t="s">
        <v>590</v>
      </c>
      <c r="AJ188" t="s">
        <v>2783</v>
      </c>
    </row>
    <row r="189" spans="1:36" x14ac:dyDescent="0.2">
      <c r="A189" t="s">
        <v>889</v>
      </c>
      <c r="B189" t="s">
        <v>890</v>
      </c>
      <c r="C189" t="s">
        <v>19</v>
      </c>
      <c r="D189" t="s">
        <v>891</v>
      </c>
      <c r="E189" t="str">
        <f>HYPERLINK("/pdf/2025_10.1007_s11042-024-18349-y_Ensemble_framework_for_concept_drift_detection_and_class_imbalance_in_data_streams.pdf","open")</f>
        <v>open</v>
      </c>
      <c r="F189" t="s">
        <v>1606</v>
      </c>
      <c r="G189" t="s">
        <v>1607</v>
      </c>
      <c r="H189" t="s">
        <v>2784</v>
      </c>
      <c r="I189" t="s">
        <v>1609</v>
      </c>
      <c r="J189" t="s">
        <v>148</v>
      </c>
      <c r="K189" t="s">
        <v>1635</v>
      </c>
      <c r="L189" t="s">
        <v>148</v>
      </c>
      <c r="M189" t="s">
        <v>1950</v>
      </c>
      <c r="N189" t="s">
        <v>1611</v>
      </c>
      <c r="O189" t="s">
        <v>148</v>
      </c>
      <c r="P189" t="s">
        <v>148</v>
      </c>
      <c r="Q189" t="s">
        <v>148</v>
      </c>
      <c r="R189" t="s">
        <v>148</v>
      </c>
      <c r="S189" t="s">
        <v>1624</v>
      </c>
      <c r="T189" t="s">
        <v>2785</v>
      </c>
      <c r="U189" t="s">
        <v>1604</v>
      </c>
      <c r="V189" t="s">
        <v>1609</v>
      </c>
      <c r="W189" t="s">
        <v>148</v>
      </c>
      <c r="X189" t="s">
        <v>2786</v>
      </c>
      <c r="Y189" t="s">
        <v>148</v>
      </c>
      <c r="Z189" t="s">
        <v>148</v>
      </c>
      <c r="AA189" t="s">
        <v>2787</v>
      </c>
      <c r="AB189" t="s">
        <v>1604</v>
      </c>
      <c r="AC189" t="s">
        <v>2788</v>
      </c>
      <c r="AD189" t="s">
        <v>1609</v>
      </c>
      <c r="AE189" t="s">
        <v>148</v>
      </c>
      <c r="AF189" t="s">
        <v>2789</v>
      </c>
      <c r="AG189" t="s">
        <v>1614</v>
      </c>
      <c r="AH189" t="s">
        <v>2790</v>
      </c>
      <c r="AI189" t="s">
        <v>2791</v>
      </c>
      <c r="AJ189" t="s">
        <v>1642</v>
      </c>
    </row>
    <row r="190" spans="1:36" x14ac:dyDescent="0.2">
      <c r="A190" t="s">
        <v>893</v>
      </c>
      <c r="B190" t="s">
        <v>894</v>
      </c>
      <c r="C190" t="s">
        <v>60</v>
      </c>
      <c r="D190" t="s">
        <v>896</v>
      </c>
      <c r="E190" t="str">
        <f>HYPERLINK("/pdf/2024_10_3390_fi16110410_design_and_evaluation_of_steganographic_channels_in_fifth_generation_new_radio.pdf","open")</f>
        <v>open</v>
      </c>
      <c r="F190" t="s">
        <v>1602</v>
      </c>
      <c r="G190" t="s">
        <v>1602</v>
      </c>
      <c r="H190" t="s">
        <v>2792</v>
      </c>
      <c r="I190" t="s">
        <v>1609</v>
      </c>
      <c r="J190" t="s">
        <v>148</v>
      </c>
      <c r="K190" t="s">
        <v>148</v>
      </c>
      <c r="L190" t="s">
        <v>148</v>
      </c>
      <c r="M190" t="s">
        <v>148</v>
      </c>
      <c r="N190" t="s">
        <v>148</v>
      </c>
      <c r="O190" t="s">
        <v>148</v>
      </c>
      <c r="P190" t="s">
        <v>148</v>
      </c>
      <c r="Q190" t="s">
        <v>148</v>
      </c>
      <c r="R190" t="s">
        <v>148</v>
      </c>
      <c r="S190" t="s">
        <v>148</v>
      </c>
      <c r="T190" t="s">
        <v>148</v>
      </c>
      <c r="U190" t="s">
        <v>148</v>
      </c>
      <c r="V190" t="s">
        <v>148</v>
      </c>
      <c r="W190" t="s">
        <v>148</v>
      </c>
      <c r="X190" t="s">
        <v>148</v>
      </c>
      <c r="Y190" t="s">
        <v>148</v>
      </c>
      <c r="Z190" t="s">
        <v>148</v>
      </c>
      <c r="AA190" t="s">
        <v>2793</v>
      </c>
      <c r="AB190" t="s">
        <v>1609</v>
      </c>
      <c r="AC190" t="s">
        <v>148</v>
      </c>
      <c r="AD190" t="s">
        <v>148</v>
      </c>
      <c r="AE190" t="s">
        <v>148</v>
      </c>
      <c r="AF190" t="s">
        <v>2794</v>
      </c>
      <c r="AG190" t="s">
        <v>2795</v>
      </c>
      <c r="AH190" t="s">
        <v>148</v>
      </c>
      <c r="AI190" t="s">
        <v>590</v>
      </c>
      <c r="AJ190" t="s">
        <v>148</v>
      </c>
    </row>
    <row r="191" spans="1:36" x14ac:dyDescent="0.2">
      <c r="A191" t="s">
        <v>898</v>
      </c>
      <c r="B191" t="s">
        <v>898</v>
      </c>
      <c r="C191" t="s">
        <v>215</v>
      </c>
      <c r="D191" t="s">
        <v>900</v>
      </c>
      <c r="E191" t="str">
        <f>HYPERLINK("/pdf/2014_10.1145_2671491.2671499_DAVAST__Data-centric_system_level_activity_visualization.pdf","open")</f>
        <v>open</v>
      </c>
      <c r="F191" t="s">
        <v>1618</v>
      </c>
      <c r="G191" t="s">
        <v>1651</v>
      </c>
      <c r="H191" t="s">
        <v>2796</v>
      </c>
      <c r="I191" t="s">
        <v>2797</v>
      </c>
      <c r="J191" t="s">
        <v>1721</v>
      </c>
      <c r="K191" t="s">
        <v>1664</v>
      </c>
      <c r="L191" t="s">
        <v>1604</v>
      </c>
      <c r="M191" t="s">
        <v>148</v>
      </c>
      <c r="N191" t="s">
        <v>148</v>
      </c>
      <c r="O191" t="s">
        <v>148</v>
      </c>
      <c r="P191" t="s">
        <v>148</v>
      </c>
      <c r="Q191" t="s">
        <v>148</v>
      </c>
      <c r="R191" t="s">
        <v>148</v>
      </c>
      <c r="S191" t="s">
        <v>148</v>
      </c>
      <c r="T191" t="s">
        <v>148</v>
      </c>
      <c r="U191" t="s">
        <v>148</v>
      </c>
      <c r="V191" t="s">
        <v>148</v>
      </c>
      <c r="W191" t="s">
        <v>148</v>
      </c>
      <c r="X191" t="s">
        <v>148</v>
      </c>
      <c r="Y191" t="s">
        <v>148</v>
      </c>
      <c r="Z191" t="s">
        <v>148</v>
      </c>
      <c r="AA191" t="s">
        <v>2798</v>
      </c>
      <c r="AB191" t="s">
        <v>1609</v>
      </c>
      <c r="AC191" t="s">
        <v>148</v>
      </c>
      <c r="AD191" t="s">
        <v>1609</v>
      </c>
      <c r="AE191" t="s">
        <v>2799</v>
      </c>
      <c r="AF191" t="s">
        <v>2800</v>
      </c>
      <c r="AG191" t="s">
        <v>148</v>
      </c>
      <c r="AH191" t="s">
        <v>148</v>
      </c>
      <c r="AI191" t="s">
        <v>44</v>
      </c>
      <c r="AJ191" t="s">
        <v>148</v>
      </c>
    </row>
    <row r="192" spans="1:36" x14ac:dyDescent="0.2">
      <c r="A192" t="s">
        <v>902</v>
      </c>
      <c r="B192" t="s">
        <v>903</v>
      </c>
      <c r="C192" t="s">
        <v>25</v>
      </c>
      <c r="D192" t="s">
        <v>905</v>
      </c>
      <c r="E192" t="str">
        <f>HYPERLINK("/pdf/2023_10.1109_cscloud-edgecom58631.2023.00043_Federated_Learning-Based_Intrusion_Detection_System_for_IoT_Environments_with_Locally_Adapted_Model.pdf","open")</f>
        <v>open</v>
      </c>
      <c r="F192" t="s">
        <v>1618</v>
      </c>
      <c r="G192" t="s">
        <v>1607</v>
      </c>
      <c r="H192" t="s">
        <v>2801</v>
      </c>
      <c r="I192" t="s">
        <v>148</v>
      </c>
      <c r="J192" t="s">
        <v>148</v>
      </c>
      <c r="K192" t="s">
        <v>148</v>
      </c>
      <c r="L192" t="s">
        <v>148</v>
      </c>
      <c r="M192" t="s">
        <v>2802</v>
      </c>
      <c r="N192" t="s">
        <v>148</v>
      </c>
      <c r="O192" t="s">
        <v>148</v>
      </c>
      <c r="P192" t="s">
        <v>1694</v>
      </c>
      <c r="Q192" t="s">
        <v>148</v>
      </c>
      <c r="R192" t="s">
        <v>148</v>
      </c>
      <c r="S192" t="s">
        <v>1655</v>
      </c>
      <c r="T192" t="s">
        <v>2803</v>
      </c>
      <c r="U192" t="s">
        <v>148</v>
      </c>
      <c r="V192" t="s">
        <v>148</v>
      </c>
      <c r="W192" t="s">
        <v>148</v>
      </c>
      <c r="X192" t="s">
        <v>2804</v>
      </c>
      <c r="Y192" t="s">
        <v>148</v>
      </c>
      <c r="Z192" t="s">
        <v>148</v>
      </c>
      <c r="AA192" t="s">
        <v>2805</v>
      </c>
      <c r="AB192" t="s">
        <v>1604</v>
      </c>
      <c r="AC192" t="s">
        <v>148</v>
      </c>
      <c r="AD192" t="s">
        <v>148</v>
      </c>
      <c r="AE192" t="s">
        <v>148</v>
      </c>
      <c r="AF192" t="s">
        <v>1613</v>
      </c>
      <c r="AG192" t="s">
        <v>1614</v>
      </c>
      <c r="AH192" t="s">
        <v>2806</v>
      </c>
      <c r="AI192" t="s">
        <v>148</v>
      </c>
      <c r="AJ192" t="s">
        <v>148</v>
      </c>
    </row>
    <row r="193" spans="1:36" x14ac:dyDescent="0.2">
      <c r="A193" t="s">
        <v>907</v>
      </c>
      <c r="B193" t="s">
        <v>908</v>
      </c>
      <c r="C193" t="s">
        <v>60</v>
      </c>
      <c r="D193" t="s">
        <v>910</v>
      </c>
      <c r="E193" t="str">
        <f>HYPERLINK("/pdf/2024_10.1109_ict4da62874.2024.10777078_Long_Short-Term_Memory_and_Synthetic_Minority_Over_Sampling_Technique-Based_Network_Traffic_Classification.pdf","open")</f>
        <v>open</v>
      </c>
      <c r="F193" t="s">
        <v>1633</v>
      </c>
      <c r="G193" t="s">
        <v>1607</v>
      </c>
      <c r="H193" t="s">
        <v>2807</v>
      </c>
      <c r="I193" t="s">
        <v>148</v>
      </c>
      <c r="J193" t="s">
        <v>148</v>
      </c>
      <c r="K193" t="s">
        <v>148</v>
      </c>
      <c r="L193" t="s">
        <v>148</v>
      </c>
      <c r="M193" t="s">
        <v>2808</v>
      </c>
      <c r="N193" t="s">
        <v>148</v>
      </c>
      <c r="O193" t="s">
        <v>1604</v>
      </c>
      <c r="P193" t="s">
        <v>2251</v>
      </c>
      <c r="Q193" t="s">
        <v>2809</v>
      </c>
      <c r="R193" t="s">
        <v>2810</v>
      </c>
      <c r="S193" t="s">
        <v>1655</v>
      </c>
      <c r="T193" t="s">
        <v>2811</v>
      </c>
      <c r="U193" t="s">
        <v>1609</v>
      </c>
      <c r="V193" t="s">
        <v>148</v>
      </c>
      <c r="W193" t="s">
        <v>148</v>
      </c>
      <c r="X193" t="s">
        <v>2812</v>
      </c>
      <c r="Y193" t="s">
        <v>148</v>
      </c>
      <c r="Z193" t="s">
        <v>148</v>
      </c>
      <c r="AA193" t="s">
        <v>2813</v>
      </c>
      <c r="AB193" t="s">
        <v>1604</v>
      </c>
      <c r="AC193" t="s">
        <v>148</v>
      </c>
      <c r="AD193" t="s">
        <v>148</v>
      </c>
      <c r="AE193" t="s">
        <v>148</v>
      </c>
      <c r="AF193" t="s">
        <v>2814</v>
      </c>
      <c r="AG193" t="s">
        <v>148</v>
      </c>
      <c r="AH193" t="s">
        <v>2815</v>
      </c>
      <c r="AI193" t="s">
        <v>2816</v>
      </c>
      <c r="AJ193" t="s">
        <v>2038</v>
      </c>
    </row>
    <row r="194" spans="1:36" x14ac:dyDescent="0.2">
      <c r="A194" t="s">
        <v>912</v>
      </c>
      <c r="B194" t="s">
        <v>913</v>
      </c>
      <c r="C194" t="s">
        <v>25</v>
      </c>
      <c r="D194" t="s">
        <v>912</v>
      </c>
      <c r="E194" t="str">
        <f>HYPERLINK("/pdf/2023_10.1109_cosite60233.2023.10249650_Evaluation_of_CyPACH__A_Cyber_Privacy_Advisor_Chatbot.pdf","open")</f>
        <v>open</v>
      </c>
      <c r="F194" t="s">
        <v>1602</v>
      </c>
      <c r="G194" t="s">
        <v>1602</v>
      </c>
      <c r="H194" t="s">
        <v>148</v>
      </c>
      <c r="I194" t="s">
        <v>148</v>
      </c>
      <c r="J194" t="s">
        <v>1602</v>
      </c>
      <c r="K194" t="s">
        <v>148</v>
      </c>
      <c r="L194" t="s">
        <v>148</v>
      </c>
      <c r="M194" t="s">
        <v>148</v>
      </c>
      <c r="N194" t="s">
        <v>148</v>
      </c>
      <c r="O194" t="s">
        <v>148</v>
      </c>
      <c r="P194" t="s">
        <v>148</v>
      </c>
      <c r="Q194" t="s">
        <v>148</v>
      </c>
      <c r="R194" t="s">
        <v>148</v>
      </c>
      <c r="S194" t="s">
        <v>148</v>
      </c>
      <c r="T194" t="s">
        <v>148</v>
      </c>
      <c r="U194" t="s">
        <v>148</v>
      </c>
      <c r="V194" t="s">
        <v>148</v>
      </c>
      <c r="W194" t="s">
        <v>148</v>
      </c>
      <c r="X194" t="s">
        <v>148</v>
      </c>
      <c r="Y194" t="s">
        <v>148</v>
      </c>
      <c r="Z194" t="s">
        <v>148</v>
      </c>
      <c r="AA194" t="s">
        <v>148</v>
      </c>
      <c r="AB194" t="s">
        <v>148</v>
      </c>
      <c r="AC194" t="s">
        <v>148</v>
      </c>
      <c r="AD194" t="s">
        <v>148</v>
      </c>
      <c r="AE194" t="s">
        <v>148</v>
      </c>
      <c r="AF194" t="s">
        <v>2817</v>
      </c>
      <c r="AG194" t="s">
        <v>2818</v>
      </c>
      <c r="AH194" t="s">
        <v>148</v>
      </c>
      <c r="AI194" t="s">
        <v>148</v>
      </c>
      <c r="AJ194" t="s">
        <v>148</v>
      </c>
    </row>
    <row r="195" spans="1:36" x14ac:dyDescent="0.2">
      <c r="B195" t="s">
        <v>916</v>
      </c>
      <c r="C195" t="s">
        <v>100</v>
      </c>
      <c r="D195" t="s">
        <v>918</v>
      </c>
      <c r="E195" t="str">
        <f>HYPERLINK("/pdf/2022_10.1109_ipsn54338.2022.00055_Demo_Abstract__A_Distributed_Power_Side-channel_Auditing_System_for_Online_loT_Intrusion_Detection.pdf","open")</f>
        <v>open</v>
      </c>
      <c r="F195" t="s">
        <v>1606</v>
      </c>
      <c r="G195" t="s">
        <v>1607</v>
      </c>
      <c r="H195" t="s">
        <v>2819</v>
      </c>
      <c r="I195" t="s">
        <v>148</v>
      </c>
      <c r="J195" t="s">
        <v>148</v>
      </c>
      <c r="K195" t="s">
        <v>148</v>
      </c>
      <c r="L195" t="s">
        <v>148</v>
      </c>
      <c r="M195" t="s">
        <v>148</v>
      </c>
      <c r="N195" t="s">
        <v>148</v>
      </c>
      <c r="O195" t="s">
        <v>148</v>
      </c>
      <c r="P195" t="s">
        <v>148</v>
      </c>
      <c r="Q195" t="s">
        <v>148</v>
      </c>
      <c r="R195" t="s">
        <v>148</v>
      </c>
      <c r="S195" t="s">
        <v>148</v>
      </c>
      <c r="T195" t="s">
        <v>148</v>
      </c>
      <c r="U195" t="s">
        <v>148</v>
      </c>
      <c r="V195" t="s">
        <v>148</v>
      </c>
      <c r="W195" t="s">
        <v>148</v>
      </c>
      <c r="X195" t="s">
        <v>148</v>
      </c>
      <c r="Y195" t="s">
        <v>148</v>
      </c>
      <c r="Z195" t="s">
        <v>148</v>
      </c>
      <c r="AA195" t="s">
        <v>2820</v>
      </c>
      <c r="AB195" t="s">
        <v>148</v>
      </c>
      <c r="AC195" t="s">
        <v>148</v>
      </c>
      <c r="AD195" t="s">
        <v>1604</v>
      </c>
      <c r="AE195" t="s">
        <v>2821</v>
      </c>
      <c r="AF195" t="s">
        <v>2822</v>
      </c>
      <c r="AG195" t="s">
        <v>2822</v>
      </c>
      <c r="AH195" t="s">
        <v>148</v>
      </c>
      <c r="AI195" t="s">
        <v>148</v>
      </c>
      <c r="AJ195" t="s">
        <v>148</v>
      </c>
    </row>
    <row r="196" spans="1:36" x14ac:dyDescent="0.2">
      <c r="A196" t="s">
        <v>920</v>
      </c>
      <c r="B196" t="s">
        <v>921</v>
      </c>
      <c r="C196" t="s">
        <v>60</v>
      </c>
      <c r="D196" t="s">
        <v>923</v>
      </c>
      <c r="E196" t="str">
        <f>HYPERLINK("/pdf/2024_10.1016_j.prime.2024.100590_An_empirical_assessment_of_ML_models_for_5G_network_intrusion_detection__A_data_leakage-free_approach.pdf","open")</f>
        <v>open</v>
      </c>
      <c r="F196" t="s">
        <v>1606</v>
      </c>
      <c r="G196" t="s">
        <v>1607</v>
      </c>
      <c r="H196" t="s">
        <v>2823</v>
      </c>
      <c r="I196" t="s">
        <v>148</v>
      </c>
      <c r="J196" t="s">
        <v>148</v>
      </c>
      <c r="K196" t="s">
        <v>148</v>
      </c>
      <c r="L196" t="s">
        <v>148</v>
      </c>
      <c r="M196" t="s">
        <v>1636</v>
      </c>
      <c r="N196" t="s">
        <v>148</v>
      </c>
      <c r="O196" t="s">
        <v>1604</v>
      </c>
      <c r="P196" t="s">
        <v>2221</v>
      </c>
      <c r="Q196" t="s">
        <v>2824</v>
      </c>
      <c r="R196" t="s">
        <v>2825</v>
      </c>
      <c r="S196" t="s">
        <v>1655</v>
      </c>
      <c r="T196" t="s">
        <v>148</v>
      </c>
      <c r="U196" t="s">
        <v>1609</v>
      </c>
      <c r="V196" t="s">
        <v>148</v>
      </c>
      <c r="W196" t="s">
        <v>148</v>
      </c>
      <c r="X196" t="s">
        <v>148</v>
      </c>
      <c r="Y196" t="s">
        <v>148</v>
      </c>
      <c r="Z196" t="s">
        <v>148</v>
      </c>
      <c r="AA196" t="s">
        <v>2826</v>
      </c>
      <c r="AB196" t="s">
        <v>1604</v>
      </c>
      <c r="AC196" t="s">
        <v>148</v>
      </c>
      <c r="AD196" t="s">
        <v>148</v>
      </c>
      <c r="AE196" t="s">
        <v>148</v>
      </c>
      <c r="AF196" t="s">
        <v>2827</v>
      </c>
      <c r="AG196" t="s">
        <v>148</v>
      </c>
      <c r="AH196" t="s">
        <v>2828</v>
      </c>
      <c r="AI196" t="s">
        <v>15</v>
      </c>
      <c r="AJ196" t="s">
        <v>2829</v>
      </c>
    </row>
    <row r="197" spans="1:36" x14ac:dyDescent="0.2">
      <c r="A197" t="s">
        <v>925</v>
      </c>
      <c r="B197" t="s">
        <v>926</v>
      </c>
      <c r="C197" t="s">
        <v>268</v>
      </c>
      <c r="D197" t="s">
        <v>148</v>
      </c>
      <c r="E197" t="str">
        <f>HYPERLINK("/pdf/2010_10_14778_1920841_1920849_building_disclosure_risk_aware_query_optimizers_for_relational_databases.pdf","open")</f>
        <v>open</v>
      </c>
      <c r="F197" t="s">
        <v>1602</v>
      </c>
      <c r="G197" t="s">
        <v>1602</v>
      </c>
      <c r="H197" t="s">
        <v>2830</v>
      </c>
      <c r="I197" t="s">
        <v>148</v>
      </c>
      <c r="J197" t="s">
        <v>1602</v>
      </c>
      <c r="K197" t="s">
        <v>148</v>
      </c>
      <c r="L197" t="s">
        <v>148</v>
      </c>
      <c r="M197" t="s">
        <v>148</v>
      </c>
      <c r="N197" t="s">
        <v>148</v>
      </c>
      <c r="O197" t="s">
        <v>148</v>
      </c>
      <c r="P197" t="s">
        <v>148</v>
      </c>
      <c r="Q197" t="s">
        <v>148</v>
      </c>
      <c r="R197" t="s">
        <v>148</v>
      </c>
      <c r="S197" t="s">
        <v>1602</v>
      </c>
      <c r="T197" t="s">
        <v>148</v>
      </c>
      <c r="U197" t="s">
        <v>148</v>
      </c>
      <c r="V197" t="s">
        <v>148</v>
      </c>
      <c r="W197" t="s">
        <v>148</v>
      </c>
      <c r="X197" t="s">
        <v>148</v>
      </c>
      <c r="Y197" t="s">
        <v>148</v>
      </c>
      <c r="Z197" t="s">
        <v>148</v>
      </c>
      <c r="AA197" t="s">
        <v>2831</v>
      </c>
      <c r="AB197" t="s">
        <v>148</v>
      </c>
      <c r="AC197" t="s">
        <v>2832</v>
      </c>
      <c r="AD197" t="s">
        <v>148</v>
      </c>
      <c r="AE197" t="s">
        <v>148</v>
      </c>
      <c r="AF197" t="s">
        <v>2833</v>
      </c>
      <c r="AG197" t="s">
        <v>2834</v>
      </c>
      <c r="AH197" t="s">
        <v>2835</v>
      </c>
      <c r="AI197" t="s">
        <v>148</v>
      </c>
      <c r="AJ197" t="s">
        <v>148</v>
      </c>
    </row>
    <row r="198" spans="1:36" x14ac:dyDescent="0.2">
      <c r="A198" t="s">
        <v>929</v>
      </c>
      <c r="B198" t="s">
        <v>930</v>
      </c>
      <c r="C198" t="s">
        <v>48</v>
      </c>
      <c r="D198" t="s">
        <v>929</v>
      </c>
      <c r="E198" t="str">
        <f>HYPERLINK("/pdf/2026_10.1109_tcss.2025.3642006_A_Verifiable_Federated_Learning_Mechanism_for_Digital_Museum_Collection_Based_on_Homomorphic_Proxy_Re-Authenti.pdf","open")</f>
        <v>open</v>
      </c>
      <c r="F198" t="s">
        <v>1606</v>
      </c>
      <c r="G198" t="s">
        <v>1602</v>
      </c>
      <c r="H198" t="s">
        <v>2836</v>
      </c>
      <c r="I198" t="s">
        <v>148</v>
      </c>
      <c r="J198" t="s">
        <v>148</v>
      </c>
      <c r="K198" t="s">
        <v>148</v>
      </c>
      <c r="L198" t="s">
        <v>148</v>
      </c>
      <c r="M198" t="s">
        <v>1871</v>
      </c>
      <c r="N198" t="s">
        <v>148</v>
      </c>
      <c r="O198" t="s">
        <v>148</v>
      </c>
      <c r="P198" t="s">
        <v>148</v>
      </c>
      <c r="Q198" t="s">
        <v>148</v>
      </c>
      <c r="R198" t="s">
        <v>148</v>
      </c>
      <c r="S198" t="s">
        <v>1655</v>
      </c>
      <c r="T198" t="s">
        <v>148</v>
      </c>
      <c r="U198" t="s">
        <v>148</v>
      </c>
      <c r="V198" t="s">
        <v>148</v>
      </c>
      <c r="W198" t="s">
        <v>148</v>
      </c>
      <c r="X198" t="s">
        <v>148</v>
      </c>
      <c r="Y198" t="s">
        <v>148</v>
      </c>
      <c r="Z198" t="s">
        <v>148</v>
      </c>
      <c r="AA198" t="s">
        <v>2837</v>
      </c>
      <c r="AB198" t="s">
        <v>148</v>
      </c>
      <c r="AC198" t="s">
        <v>148</v>
      </c>
      <c r="AD198" t="s">
        <v>148</v>
      </c>
      <c r="AE198" t="s">
        <v>148</v>
      </c>
      <c r="AF198" t="s">
        <v>2838</v>
      </c>
      <c r="AG198" t="s">
        <v>2839</v>
      </c>
      <c r="AH198" t="s">
        <v>2840</v>
      </c>
      <c r="AI198" t="s">
        <v>148</v>
      </c>
      <c r="AJ198" t="s">
        <v>148</v>
      </c>
    </row>
    <row r="199" spans="1:36" x14ac:dyDescent="0.2">
      <c r="A199" t="s">
        <v>933</v>
      </c>
      <c r="B199" t="s">
        <v>934</v>
      </c>
      <c r="C199" t="s">
        <v>19</v>
      </c>
      <c r="D199" t="s">
        <v>936</v>
      </c>
      <c r="E199" t="str">
        <f>HYPERLINK("/pdf/2025_10.1007_s11227-025-07116-x_GDT-IDS__graph-based_decision_tree_intrusion_detection_system_for_controller_area_network.pdf.pdf","open")</f>
        <v>open</v>
      </c>
      <c r="F199" t="s">
        <v>2406</v>
      </c>
      <c r="G199" t="s">
        <v>1607</v>
      </c>
      <c r="H199" t="s">
        <v>2841</v>
      </c>
      <c r="I199" t="s">
        <v>2842</v>
      </c>
      <c r="J199" t="s">
        <v>1602</v>
      </c>
      <c r="K199" t="s">
        <v>1653</v>
      </c>
      <c r="L199" t="s">
        <v>148</v>
      </c>
      <c r="M199" t="s">
        <v>2843</v>
      </c>
      <c r="N199" t="s">
        <v>1611</v>
      </c>
      <c r="O199" t="s">
        <v>148</v>
      </c>
      <c r="P199" t="s">
        <v>148</v>
      </c>
      <c r="Q199" t="s">
        <v>148</v>
      </c>
      <c r="R199" t="s">
        <v>148</v>
      </c>
      <c r="S199" t="s">
        <v>1655</v>
      </c>
      <c r="T199" t="s">
        <v>2173</v>
      </c>
      <c r="U199" t="s">
        <v>148</v>
      </c>
      <c r="V199" t="s">
        <v>148</v>
      </c>
      <c r="W199" t="s">
        <v>148</v>
      </c>
      <c r="X199" t="s">
        <v>2844</v>
      </c>
      <c r="Y199" t="s">
        <v>148</v>
      </c>
      <c r="Z199" t="s">
        <v>148</v>
      </c>
      <c r="AA199" t="s">
        <v>2845</v>
      </c>
      <c r="AB199" t="s">
        <v>1604</v>
      </c>
      <c r="AC199" t="s">
        <v>2846</v>
      </c>
      <c r="AD199" t="s">
        <v>148</v>
      </c>
      <c r="AE199" t="s">
        <v>148</v>
      </c>
      <c r="AF199" t="s">
        <v>2403</v>
      </c>
      <c r="AG199" t="s">
        <v>148</v>
      </c>
      <c r="AH199" t="s">
        <v>2847</v>
      </c>
      <c r="AI199" t="s">
        <v>2848</v>
      </c>
      <c r="AJ199" t="s">
        <v>148</v>
      </c>
    </row>
    <row r="200" spans="1:36" x14ac:dyDescent="0.2">
      <c r="A200" t="s">
        <v>938</v>
      </c>
      <c r="B200" t="s">
        <v>939</v>
      </c>
      <c r="C200" t="s">
        <v>940</v>
      </c>
      <c r="D200" t="s">
        <v>148</v>
      </c>
      <c r="E200" t="str">
        <f>HYPERLINK("/pdf/2011_Towards_next-generation_intrusion_detection.pdf","open")</f>
        <v>open</v>
      </c>
      <c r="F200" t="s">
        <v>1602</v>
      </c>
      <c r="G200" t="s">
        <v>1607</v>
      </c>
      <c r="H200" t="s">
        <v>2849</v>
      </c>
      <c r="I200" t="s">
        <v>148</v>
      </c>
      <c r="J200" t="s">
        <v>148</v>
      </c>
      <c r="K200" t="s">
        <v>148</v>
      </c>
      <c r="L200" t="s">
        <v>148</v>
      </c>
      <c r="M200" t="s">
        <v>148</v>
      </c>
      <c r="N200" t="s">
        <v>148</v>
      </c>
      <c r="O200" t="s">
        <v>1604</v>
      </c>
      <c r="P200" t="s">
        <v>2251</v>
      </c>
      <c r="Q200" t="s">
        <v>148</v>
      </c>
      <c r="R200" t="s">
        <v>148</v>
      </c>
      <c r="S200" t="s">
        <v>148</v>
      </c>
      <c r="T200" t="s">
        <v>148</v>
      </c>
      <c r="U200" t="s">
        <v>148</v>
      </c>
      <c r="V200" t="s">
        <v>148</v>
      </c>
      <c r="W200" t="s">
        <v>148</v>
      </c>
      <c r="X200" t="s">
        <v>148</v>
      </c>
      <c r="Y200" t="s">
        <v>148</v>
      </c>
      <c r="Z200" t="s">
        <v>148</v>
      </c>
      <c r="AA200" t="s">
        <v>148</v>
      </c>
      <c r="AB200" t="s">
        <v>148</v>
      </c>
      <c r="AC200" t="s">
        <v>148</v>
      </c>
      <c r="AD200" t="s">
        <v>148</v>
      </c>
      <c r="AE200" t="s">
        <v>148</v>
      </c>
      <c r="AF200" t="s">
        <v>148</v>
      </c>
      <c r="AG200" t="s">
        <v>148</v>
      </c>
      <c r="AH200" t="s">
        <v>148</v>
      </c>
      <c r="AI200" t="s">
        <v>148</v>
      </c>
      <c r="AJ200" t="s">
        <v>148</v>
      </c>
    </row>
    <row r="201" spans="1:36" x14ac:dyDescent="0.2">
      <c r="A201" t="s">
        <v>943</v>
      </c>
      <c r="B201" t="s">
        <v>944</v>
      </c>
      <c r="C201" t="s">
        <v>100</v>
      </c>
      <c r="D201" t="s">
        <v>946</v>
      </c>
      <c r="E201" t="str">
        <f>HYPERLINK("/pdf/2022_10.1109_tce.2021.3129155_Fortified-NoC__A_Robust_Approach_for_Trojan-Resilient_Network-on-Chips_to_Fortify_Multicore-Based_Consumer_Ele.pdf","open")</f>
        <v>open</v>
      </c>
      <c r="F201" t="s">
        <v>1602</v>
      </c>
      <c r="G201" t="s">
        <v>1602</v>
      </c>
      <c r="H201" t="s">
        <v>2850</v>
      </c>
      <c r="I201" t="s">
        <v>148</v>
      </c>
      <c r="J201" t="s">
        <v>1602</v>
      </c>
      <c r="K201" t="s">
        <v>1653</v>
      </c>
      <c r="L201" t="s">
        <v>148</v>
      </c>
      <c r="M201" t="s">
        <v>148</v>
      </c>
      <c r="N201" t="s">
        <v>148</v>
      </c>
      <c r="O201" t="s">
        <v>148</v>
      </c>
      <c r="P201" t="s">
        <v>148</v>
      </c>
      <c r="Q201" t="s">
        <v>148</v>
      </c>
      <c r="R201" t="s">
        <v>148</v>
      </c>
      <c r="S201" t="s">
        <v>148</v>
      </c>
      <c r="T201" t="s">
        <v>148</v>
      </c>
      <c r="U201" t="s">
        <v>148</v>
      </c>
      <c r="V201" t="s">
        <v>148</v>
      </c>
      <c r="W201" t="s">
        <v>148</v>
      </c>
      <c r="X201" t="s">
        <v>148</v>
      </c>
      <c r="Y201" t="s">
        <v>148</v>
      </c>
      <c r="Z201" t="s">
        <v>148</v>
      </c>
      <c r="AA201" t="s">
        <v>2851</v>
      </c>
      <c r="AB201" t="s">
        <v>148</v>
      </c>
      <c r="AC201" t="s">
        <v>148</v>
      </c>
      <c r="AD201" t="s">
        <v>148</v>
      </c>
      <c r="AE201" t="s">
        <v>148</v>
      </c>
      <c r="AF201" t="s">
        <v>2852</v>
      </c>
      <c r="AG201" t="s">
        <v>2853</v>
      </c>
      <c r="AH201" t="s">
        <v>2854</v>
      </c>
      <c r="AI201" t="s">
        <v>148</v>
      </c>
      <c r="AJ201" t="s">
        <v>148</v>
      </c>
    </row>
    <row r="202" spans="1:36" x14ac:dyDescent="0.2">
      <c r="A202" t="s">
        <v>948</v>
      </c>
      <c r="B202" t="s">
        <v>949</v>
      </c>
      <c r="C202" t="s">
        <v>363</v>
      </c>
      <c r="D202" t="s">
        <v>951</v>
      </c>
      <c r="E202" t="str">
        <f>HYPERLINK("/pdf/2016_10.1145_2897073.2897077_Cognitive_mobile_security.pdf","open")</f>
        <v>open</v>
      </c>
      <c r="F202" t="s">
        <v>1618</v>
      </c>
      <c r="G202" t="s">
        <v>1602</v>
      </c>
      <c r="H202" t="s">
        <v>2855</v>
      </c>
      <c r="I202" t="s">
        <v>1604</v>
      </c>
      <c r="J202" t="s">
        <v>1721</v>
      </c>
      <c r="K202" t="s">
        <v>1664</v>
      </c>
      <c r="L202" t="s">
        <v>1604</v>
      </c>
      <c r="M202" t="s">
        <v>2856</v>
      </c>
      <c r="N202" t="s">
        <v>148</v>
      </c>
      <c r="O202" t="s">
        <v>148</v>
      </c>
      <c r="P202" t="s">
        <v>148</v>
      </c>
      <c r="Q202" t="s">
        <v>148</v>
      </c>
      <c r="R202" t="s">
        <v>148</v>
      </c>
      <c r="S202" t="s">
        <v>148</v>
      </c>
      <c r="T202" t="s">
        <v>148</v>
      </c>
      <c r="U202" t="s">
        <v>148</v>
      </c>
      <c r="V202" t="s">
        <v>148</v>
      </c>
      <c r="W202" t="s">
        <v>148</v>
      </c>
      <c r="X202" t="s">
        <v>148</v>
      </c>
      <c r="Y202" t="s">
        <v>148</v>
      </c>
      <c r="Z202" t="s">
        <v>148</v>
      </c>
      <c r="AA202" t="s">
        <v>148</v>
      </c>
      <c r="AB202" t="s">
        <v>148</v>
      </c>
      <c r="AC202" t="s">
        <v>148</v>
      </c>
      <c r="AD202" t="s">
        <v>148</v>
      </c>
      <c r="AE202" t="s">
        <v>148</v>
      </c>
      <c r="AF202" t="s">
        <v>148</v>
      </c>
      <c r="AG202" t="s">
        <v>148</v>
      </c>
      <c r="AH202" t="s">
        <v>148</v>
      </c>
      <c r="AI202" t="s">
        <v>148</v>
      </c>
      <c r="AJ202" t="s">
        <v>148</v>
      </c>
    </row>
    <row r="203" spans="1:36" x14ac:dyDescent="0.2">
      <c r="A203" t="s">
        <v>953</v>
      </c>
      <c r="B203" t="s">
        <v>954</v>
      </c>
      <c r="C203" t="s">
        <v>19</v>
      </c>
      <c r="D203" t="s">
        <v>956</v>
      </c>
      <c r="E203" t="str">
        <f>HYPERLINK("/pdf/2025_10.1109_icoa66896.2025.11236897_Federated_Learning_for_Privacy-Preserving_Intrusion_Detection_in_IoT_using_Edge_and_Cloud_Infrastructure.pdf","open")</f>
        <v>open</v>
      </c>
      <c r="F203" t="s">
        <v>1606</v>
      </c>
      <c r="G203" t="s">
        <v>1607</v>
      </c>
      <c r="H203" t="s">
        <v>2857</v>
      </c>
      <c r="I203" t="s">
        <v>148</v>
      </c>
      <c r="J203" t="s">
        <v>148</v>
      </c>
      <c r="K203" t="s">
        <v>148</v>
      </c>
      <c r="L203" t="s">
        <v>148</v>
      </c>
      <c r="M203" t="s">
        <v>1871</v>
      </c>
      <c r="N203" t="s">
        <v>148</v>
      </c>
      <c r="O203" t="s">
        <v>148</v>
      </c>
      <c r="P203" t="s">
        <v>148</v>
      </c>
      <c r="Q203" t="s">
        <v>148</v>
      </c>
      <c r="R203" t="s">
        <v>148</v>
      </c>
      <c r="S203" t="s">
        <v>148</v>
      </c>
      <c r="T203" t="s">
        <v>148</v>
      </c>
      <c r="U203" t="s">
        <v>148</v>
      </c>
      <c r="V203" t="s">
        <v>148</v>
      </c>
      <c r="W203" t="s">
        <v>148</v>
      </c>
      <c r="X203" t="s">
        <v>148</v>
      </c>
      <c r="Y203" t="s">
        <v>148</v>
      </c>
      <c r="Z203" t="s">
        <v>148</v>
      </c>
      <c r="AA203" t="s">
        <v>2813</v>
      </c>
      <c r="AB203" t="s">
        <v>1604</v>
      </c>
      <c r="AC203" t="s">
        <v>148</v>
      </c>
      <c r="AD203" t="s">
        <v>148</v>
      </c>
      <c r="AE203" t="s">
        <v>148</v>
      </c>
      <c r="AF203" t="s">
        <v>2858</v>
      </c>
      <c r="AG203" t="s">
        <v>1629</v>
      </c>
      <c r="AH203" t="s">
        <v>2859</v>
      </c>
      <c r="AI203" t="s">
        <v>148</v>
      </c>
      <c r="AJ203" t="s">
        <v>148</v>
      </c>
    </row>
    <row r="204" spans="1:36" x14ac:dyDescent="0.2">
      <c r="A204" t="s">
        <v>959</v>
      </c>
      <c r="B204" t="s">
        <v>960</v>
      </c>
      <c r="C204" t="s">
        <v>12</v>
      </c>
      <c r="D204" t="s">
        <v>962</v>
      </c>
      <c r="E204" t="str">
        <f>HYPERLINK("/pdf/2018_10.1109_qrs.2018.00029_Hypervisor-based_sensitive_data_leakage_detector.pdf","open")</f>
        <v>open</v>
      </c>
      <c r="F204" t="s">
        <v>1602</v>
      </c>
      <c r="G204" t="s">
        <v>1602</v>
      </c>
      <c r="H204" t="s">
        <v>2860</v>
      </c>
      <c r="I204" t="s">
        <v>148</v>
      </c>
      <c r="J204" t="s">
        <v>1602</v>
      </c>
      <c r="K204" t="s">
        <v>148</v>
      </c>
      <c r="L204" t="s">
        <v>148</v>
      </c>
      <c r="M204" t="s">
        <v>148</v>
      </c>
      <c r="N204" t="s">
        <v>148</v>
      </c>
      <c r="O204" t="s">
        <v>148</v>
      </c>
      <c r="P204" t="s">
        <v>148</v>
      </c>
      <c r="Q204" t="s">
        <v>148</v>
      </c>
      <c r="R204" t="s">
        <v>148</v>
      </c>
      <c r="S204" t="s">
        <v>148</v>
      </c>
      <c r="T204" t="s">
        <v>148</v>
      </c>
      <c r="U204" t="s">
        <v>148</v>
      </c>
      <c r="V204" t="s">
        <v>148</v>
      </c>
      <c r="W204" t="s">
        <v>148</v>
      </c>
      <c r="X204" t="s">
        <v>148</v>
      </c>
      <c r="Y204" t="s">
        <v>148</v>
      </c>
      <c r="Z204" t="s">
        <v>148</v>
      </c>
      <c r="AA204" t="s">
        <v>148</v>
      </c>
      <c r="AB204" t="s">
        <v>148</v>
      </c>
      <c r="AC204" t="s">
        <v>148</v>
      </c>
      <c r="AD204" t="s">
        <v>148</v>
      </c>
      <c r="AE204" t="s">
        <v>148</v>
      </c>
      <c r="AF204" t="s">
        <v>2861</v>
      </c>
      <c r="AG204" t="s">
        <v>2862</v>
      </c>
      <c r="AH204" t="s">
        <v>148</v>
      </c>
      <c r="AI204" t="s">
        <v>148</v>
      </c>
      <c r="AJ204" t="s">
        <v>148</v>
      </c>
    </row>
    <row r="205" spans="1:36" x14ac:dyDescent="0.2">
      <c r="A205" t="s">
        <v>964</v>
      </c>
      <c r="B205" t="s">
        <v>965</v>
      </c>
      <c r="C205" t="s">
        <v>100</v>
      </c>
      <c r="D205" t="s">
        <v>148</v>
      </c>
      <c r="E205" t="str">
        <f>HYPERLINK("/pdf/2022_Data_Leakage_Detection_in_Cloud_Computing_Environment_Using_Classification_Based_on_Deep_Learning_Architecture.pdf","open")</f>
        <v>open</v>
      </c>
      <c r="F205" t="s">
        <v>1606</v>
      </c>
      <c r="G205" t="s">
        <v>2863</v>
      </c>
      <c r="H205" t="s">
        <v>2864</v>
      </c>
      <c r="I205" t="s">
        <v>148</v>
      </c>
      <c r="J205" t="s">
        <v>148</v>
      </c>
      <c r="K205" t="s">
        <v>148</v>
      </c>
      <c r="L205" t="s">
        <v>148</v>
      </c>
      <c r="M205" t="s">
        <v>2865</v>
      </c>
      <c r="N205" t="s">
        <v>148</v>
      </c>
      <c r="O205" t="s">
        <v>148</v>
      </c>
      <c r="P205" t="s">
        <v>148</v>
      </c>
      <c r="Q205" t="s">
        <v>148</v>
      </c>
      <c r="R205" t="s">
        <v>148</v>
      </c>
      <c r="S205" t="s">
        <v>148</v>
      </c>
      <c r="T205" t="s">
        <v>148</v>
      </c>
      <c r="U205" t="s">
        <v>148</v>
      </c>
      <c r="V205" t="s">
        <v>148</v>
      </c>
      <c r="W205" t="s">
        <v>148</v>
      </c>
      <c r="X205" t="s">
        <v>148</v>
      </c>
      <c r="Y205" t="s">
        <v>148</v>
      </c>
      <c r="Z205" t="s">
        <v>148</v>
      </c>
      <c r="AA205" t="s">
        <v>2866</v>
      </c>
      <c r="AB205" t="s">
        <v>1604</v>
      </c>
      <c r="AC205" t="s">
        <v>148</v>
      </c>
      <c r="AD205" t="s">
        <v>148</v>
      </c>
      <c r="AE205" t="s">
        <v>148</v>
      </c>
      <c r="AF205" t="s">
        <v>2867</v>
      </c>
      <c r="AG205" t="s">
        <v>1614</v>
      </c>
      <c r="AH205" t="s">
        <v>2868</v>
      </c>
      <c r="AI205" t="s">
        <v>148</v>
      </c>
      <c r="AJ205" t="s">
        <v>148</v>
      </c>
    </row>
    <row r="206" spans="1:36" x14ac:dyDescent="0.2">
      <c r="A206" t="s">
        <v>968</v>
      </c>
      <c r="B206" t="s">
        <v>969</v>
      </c>
      <c r="C206" t="s">
        <v>25</v>
      </c>
      <c r="D206" t="s">
        <v>971</v>
      </c>
      <c r="E206" t="str">
        <f>HYPERLINK("/pdf/2023_10.1109_smc53992.2023.10393972_A_New_Federated_Learning_Model_for_Host_Intrusion_Detection_System_Under_Non-IID_Data.pdf","open")</f>
        <v>open</v>
      </c>
      <c r="F206" t="s">
        <v>1633</v>
      </c>
      <c r="G206" t="s">
        <v>1607</v>
      </c>
      <c r="H206" t="s">
        <v>2869</v>
      </c>
      <c r="I206" t="s">
        <v>2870</v>
      </c>
      <c r="J206" t="s">
        <v>1602</v>
      </c>
      <c r="K206" t="s">
        <v>2871</v>
      </c>
      <c r="L206" t="s">
        <v>148</v>
      </c>
      <c r="M206" t="s">
        <v>1871</v>
      </c>
      <c r="N206" t="s">
        <v>148</v>
      </c>
      <c r="O206" t="s">
        <v>148</v>
      </c>
      <c r="P206" t="s">
        <v>148</v>
      </c>
      <c r="Q206" t="s">
        <v>148</v>
      </c>
      <c r="R206" t="s">
        <v>148</v>
      </c>
      <c r="S206" t="s">
        <v>1655</v>
      </c>
      <c r="T206" t="s">
        <v>2870</v>
      </c>
      <c r="U206" t="s">
        <v>1609</v>
      </c>
      <c r="V206" t="s">
        <v>148</v>
      </c>
      <c r="W206" t="s">
        <v>2872</v>
      </c>
      <c r="X206" t="s">
        <v>2873</v>
      </c>
      <c r="Y206" t="s">
        <v>148</v>
      </c>
      <c r="Z206" t="s">
        <v>148</v>
      </c>
      <c r="AA206" t="s">
        <v>2874</v>
      </c>
      <c r="AB206" t="s">
        <v>1604</v>
      </c>
      <c r="AC206" t="s">
        <v>2875</v>
      </c>
      <c r="AD206" t="s">
        <v>148</v>
      </c>
      <c r="AE206" t="s">
        <v>148</v>
      </c>
      <c r="AF206" t="s">
        <v>1613</v>
      </c>
      <c r="AG206" t="s">
        <v>1614</v>
      </c>
      <c r="AH206" t="s">
        <v>2876</v>
      </c>
      <c r="AI206" t="s">
        <v>2877</v>
      </c>
      <c r="AJ206" t="s">
        <v>2878</v>
      </c>
    </row>
    <row r="207" spans="1:36" x14ac:dyDescent="0.2">
      <c r="A207" t="s">
        <v>973</v>
      </c>
      <c r="B207" t="s">
        <v>974</v>
      </c>
      <c r="C207" t="s">
        <v>598</v>
      </c>
      <c r="D207" t="s">
        <v>976</v>
      </c>
      <c r="E207" t="str">
        <f>HYPERLINK("/pdf/2012_10.1109_eidwt.2012.43_A_proposed_framework_for_the_active_detection_of_security_vulnerabilities_in_multi-tenancy_cloud_systems.pdf","open")</f>
        <v>open</v>
      </c>
      <c r="F207" t="s">
        <v>1618</v>
      </c>
      <c r="G207" t="s">
        <v>1607</v>
      </c>
      <c r="H207" t="s">
        <v>2879</v>
      </c>
      <c r="I207" t="s">
        <v>2880</v>
      </c>
      <c r="J207" t="s">
        <v>1602</v>
      </c>
      <c r="K207" t="s">
        <v>1664</v>
      </c>
      <c r="L207" t="s">
        <v>148</v>
      </c>
      <c r="M207" t="s">
        <v>148</v>
      </c>
      <c r="N207" t="s">
        <v>148</v>
      </c>
      <c r="O207" t="s">
        <v>148</v>
      </c>
      <c r="P207" t="s">
        <v>148</v>
      </c>
      <c r="Q207" t="s">
        <v>148</v>
      </c>
      <c r="R207" t="s">
        <v>148</v>
      </c>
      <c r="S207" t="s">
        <v>148</v>
      </c>
      <c r="T207" t="s">
        <v>148</v>
      </c>
      <c r="U207" t="s">
        <v>148</v>
      </c>
      <c r="V207" t="s">
        <v>148</v>
      </c>
      <c r="W207" t="s">
        <v>148</v>
      </c>
      <c r="X207" t="s">
        <v>148</v>
      </c>
      <c r="Y207" t="s">
        <v>148</v>
      </c>
      <c r="Z207" t="s">
        <v>148</v>
      </c>
      <c r="AA207" t="s">
        <v>148</v>
      </c>
      <c r="AB207" t="s">
        <v>148</v>
      </c>
      <c r="AC207" t="s">
        <v>148</v>
      </c>
      <c r="AD207" t="s">
        <v>148</v>
      </c>
      <c r="AE207" t="s">
        <v>148</v>
      </c>
      <c r="AF207" t="s">
        <v>148</v>
      </c>
      <c r="AG207" t="s">
        <v>148</v>
      </c>
      <c r="AH207" t="s">
        <v>148</v>
      </c>
      <c r="AI207" t="s">
        <v>148</v>
      </c>
      <c r="AJ207" t="s">
        <v>148</v>
      </c>
    </row>
    <row r="208" spans="1:36" x14ac:dyDescent="0.2">
      <c r="A208" t="s">
        <v>978</v>
      </c>
      <c r="B208" t="s">
        <v>979</v>
      </c>
      <c r="C208" t="s">
        <v>12</v>
      </c>
      <c r="D208" t="s">
        <v>148</v>
      </c>
      <c r="E208" t="str">
        <f>HYPERLINK("/pdf/2021_10_1109_tcc_2019_2905605_a_game_theoretic_framework_for_the_virtual_machines_migration_timing_problem.pdf","open")</f>
        <v>open</v>
      </c>
      <c r="F208" t="s">
        <v>1602</v>
      </c>
      <c r="G208" t="s">
        <v>1602</v>
      </c>
      <c r="H208" t="s">
        <v>2881</v>
      </c>
      <c r="I208" t="s">
        <v>148</v>
      </c>
      <c r="J208" t="s">
        <v>148</v>
      </c>
      <c r="K208" t="s">
        <v>148</v>
      </c>
      <c r="L208" t="s">
        <v>148</v>
      </c>
      <c r="M208" t="s">
        <v>148</v>
      </c>
      <c r="N208" t="s">
        <v>148</v>
      </c>
      <c r="O208" t="s">
        <v>148</v>
      </c>
      <c r="P208" t="s">
        <v>148</v>
      </c>
      <c r="Q208" t="s">
        <v>148</v>
      </c>
      <c r="R208" t="s">
        <v>148</v>
      </c>
      <c r="S208" t="s">
        <v>148</v>
      </c>
      <c r="T208" t="s">
        <v>148</v>
      </c>
      <c r="U208" t="s">
        <v>148</v>
      </c>
      <c r="V208" t="s">
        <v>148</v>
      </c>
      <c r="W208" t="s">
        <v>148</v>
      </c>
      <c r="X208" t="s">
        <v>148</v>
      </c>
      <c r="Y208" t="s">
        <v>148</v>
      </c>
      <c r="Z208" t="s">
        <v>148</v>
      </c>
      <c r="AA208" t="s">
        <v>148</v>
      </c>
      <c r="AB208" t="s">
        <v>148</v>
      </c>
      <c r="AC208" t="s">
        <v>148</v>
      </c>
      <c r="AD208" t="s">
        <v>148</v>
      </c>
      <c r="AE208" t="s">
        <v>148</v>
      </c>
      <c r="AF208" t="s">
        <v>2882</v>
      </c>
      <c r="AG208" t="s">
        <v>2882</v>
      </c>
      <c r="AH208" t="s">
        <v>2883</v>
      </c>
      <c r="AI208" t="s">
        <v>148</v>
      </c>
      <c r="AJ208" t="s">
        <v>148</v>
      </c>
    </row>
    <row r="209" spans="1:36" x14ac:dyDescent="0.2">
      <c r="A209" t="s">
        <v>981</v>
      </c>
      <c r="B209" t="s">
        <v>982</v>
      </c>
      <c r="C209" t="s">
        <v>19</v>
      </c>
      <c r="D209" t="s">
        <v>984</v>
      </c>
      <c r="E209" t="str">
        <f>HYPERLINK("/pdf/2025_10_3390_jcp5040092_hashing_in_the_fight_against_csam_technology_at_the_crossroads_of_law_and_ethics.pdf","open")</f>
        <v>open</v>
      </c>
      <c r="F209" t="s">
        <v>1602</v>
      </c>
      <c r="G209" t="s">
        <v>1602</v>
      </c>
      <c r="H209" t="s">
        <v>2884</v>
      </c>
      <c r="I209" t="s">
        <v>148</v>
      </c>
      <c r="J209" t="s">
        <v>148</v>
      </c>
      <c r="K209" t="s">
        <v>148</v>
      </c>
      <c r="L209" t="s">
        <v>148</v>
      </c>
      <c r="M209" t="s">
        <v>148</v>
      </c>
      <c r="N209" t="s">
        <v>148</v>
      </c>
      <c r="O209" t="s">
        <v>148</v>
      </c>
      <c r="P209" t="s">
        <v>148</v>
      </c>
      <c r="Q209" t="s">
        <v>148</v>
      </c>
      <c r="R209" t="s">
        <v>148</v>
      </c>
      <c r="S209" t="s">
        <v>148</v>
      </c>
      <c r="T209" t="s">
        <v>148</v>
      </c>
      <c r="U209" t="s">
        <v>148</v>
      </c>
      <c r="V209" t="s">
        <v>148</v>
      </c>
      <c r="W209" t="s">
        <v>148</v>
      </c>
      <c r="X209" t="s">
        <v>148</v>
      </c>
      <c r="Y209" t="s">
        <v>148</v>
      </c>
      <c r="Z209" t="s">
        <v>148</v>
      </c>
      <c r="AA209" t="s">
        <v>148</v>
      </c>
      <c r="AB209" t="s">
        <v>148</v>
      </c>
      <c r="AC209" t="s">
        <v>148</v>
      </c>
      <c r="AD209" t="s">
        <v>148</v>
      </c>
      <c r="AE209" t="s">
        <v>148</v>
      </c>
      <c r="AF209" t="s">
        <v>2885</v>
      </c>
      <c r="AG209" t="s">
        <v>148</v>
      </c>
      <c r="AH209" t="s">
        <v>148</v>
      </c>
      <c r="AI209" t="s">
        <v>148</v>
      </c>
      <c r="AJ209" t="s">
        <v>2886</v>
      </c>
    </row>
    <row r="210" spans="1:36" x14ac:dyDescent="0.2">
      <c r="A210" t="s">
        <v>986</v>
      </c>
      <c r="B210" t="s">
        <v>319</v>
      </c>
      <c r="C210" t="s">
        <v>25</v>
      </c>
      <c r="D210" t="s">
        <v>321</v>
      </c>
      <c r="E210" t="str">
        <f>HYPERLINK("/pdf/2023_10_1007_s40747_021_00456_0_deep_learning_framework_for_handling_concept_drift_and_class_imbalanced_complex.pdf","open")</f>
        <v>open</v>
      </c>
      <c r="F210" t="s">
        <v>1606</v>
      </c>
      <c r="G210" t="s">
        <v>1607</v>
      </c>
      <c r="H210" t="s">
        <v>2887</v>
      </c>
      <c r="I210" t="s">
        <v>148</v>
      </c>
      <c r="J210" t="s">
        <v>148</v>
      </c>
      <c r="K210" t="s">
        <v>1635</v>
      </c>
      <c r="L210" t="s">
        <v>148</v>
      </c>
      <c r="M210" t="s">
        <v>2888</v>
      </c>
      <c r="N210" t="s">
        <v>148</v>
      </c>
      <c r="O210" t="s">
        <v>148</v>
      </c>
      <c r="P210" t="s">
        <v>1694</v>
      </c>
      <c r="Q210" t="s">
        <v>148</v>
      </c>
      <c r="R210" t="s">
        <v>148</v>
      </c>
      <c r="S210" t="s">
        <v>1654</v>
      </c>
      <c r="T210" t="s">
        <v>148</v>
      </c>
      <c r="U210" t="s">
        <v>148</v>
      </c>
      <c r="V210" t="s">
        <v>148</v>
      </c>
      <c r="W210" t="s">
        <v>148</v>
      </c>
      <c r="X210" t="s">
        <v>2889</v>
      </c>
      <c r="Y210" t="s">
        <v>148</v>
      </c>
      <c r="Z210" t="s">
        <v>148</v>
      </c>
      <c r="AA210" t="s">
        <v>2890</v>
      </c>
      <c r="AB210" t="s">
        <v>1604</v>
      </c>
      <c r="AC210" t="s">
        <v>1639</v>
      </c>
      <c r="AD210" t="s">
        <v>148</v>
      </c>
      <c r="AE210" t="s">
        <v>148</v>
      </c>
      <c r="AF210" t="s">
        <v>2891</v>
      </c>
      <c r="AG210" t="s">
        <v>1614</v>
      </c>
      <c r="AH210" t="s">
        <v>2892</v>
      </c>
      <c r="AI210" t="s">
        <v>148</v>
      </c>
      <c r="AJ210" t="s">
        <v>148</v>
      </c>
    </row>
    <row r="211" spans="1:36" x14ac:dyDescent="0.2">
      <c r="A211" t="s">
        <v>988</v>
      </c>
      <c r="B211" t="s">
        <v>989</v>
      </c>
      <c r="C211" t="s">
        <v>60</v>
      </c>
      <c r="D211" t="s">
        <v>990</v>
      </c>
      <c r="E211" t="str">
        <f>HYPERLINK("/pdf/2024_10.1109_sces61914.2024.10652285_Detecting_Deceptive_URLs__Exploring_Logistic_Regression_and_Decision_Tree_Models.pdf","open")</f>
        <v>open</v>
      </c>
      <c r="F211" t="s">
        <v>1606</v>
      </c>
      <c r="G211" t="s">
        <v>2180</v>
      </c>
      <c r="H211" t="s">
        <v>2893</v>
      </c>
      <c r="I211" t="s">
        <v>148</v>
      </c>
      <c r="J211" t="s">
        <v>148</v>
      </c>
      <c r="K211" t="s">
        <v>148</v>
      </c>
      <c r="L211" t="s">
        <v>148</v>
      </c>
      <c r="M211" t="s">
        <v>2865</v>
      </c>
      <c r="N211" t="s">
        <v>148</v>
      </c>
      <c r="O211" t="s">
        <v>1604</v>
      </c>
      <c r="P211" t="s">
        <v>1747</v>
      </c>
      <c r="Q211" t="s">
        <v>2894</v>
      </c>
      <c r="R211" t="s">
        <v>2895</v>
      </c>
      <c r="S211" t="s">
        <v>1828</v>
      </c>
      <c r="T211" t="s">
        <v>2896</v>
      </c>
      <c r="U211" t="s">
        <v>148</v>
      </c>
      <c r="V211" t="s">
        <v>148</v>
      </c>
      <c r="W211" t="s">
        <v>1604</v>
      </c>
      <c r="X211" t="s">
        <v>148</v>
      </c>
      <c r="Y211" t="s">
        <v>148</v>
      </c>
      <c r="Z211" t="s">
        <v>148</v>
      </c>
      <c r="AA211" t="s">
        <v>148</v>
      </c>
      <c r="AB211" t="s">
        <v>148</v>
      </c>
      <c r="AC211" t="s">
        <v>148</v>
      </c>
      <c r="AD211" t="s">
        <v>148</v>
      </c>
      <c r="AE211" t="s">
        <v>148</v>
      </c>
      <c r="AF211" t="s">
        <v>2897</v>
      </c>
      <c r="AG211" t="s">
        <v>2584</v>
      </c>
      <c r="AH211" t="s">
        <v>2898</v>
      </c>
      <c r="AI211" t="s">
        <v>44</v>
      </c>
      <c r="AJ211" t="s">
        <v>2899</v>
      </c>
    </row>
    <row r="212" spans="1:36" x14ac:dyDescent="0.2">
      <c r="A212" t="s">
        <v>992</v>
      </c>
      <c r="B212" t="s">
        <v>993</v>
      </c>
      <c r="C212" t="s">
        <v>60</v>
      </c>
      <c r="D212" t="s">
        <v>994</v>
      </c>
      <c r="E212" t="str">
        <f>HYPERLINK("/pdf/2025_10.1007_s11042-024-19916-z_Towards_robust_and_efficient_intrusion_detection_in_IoMT__a_deep_learning_approach_addressing_data_leakage_and.pdf","open")</f>
        <v>open</v>
      </c>
      <c r="F212" t="s">
        <v>1606</v>
      </c>
      <c r="G212" t="s">
        <v>1607</v>
      </c>
      <c r="H212" t="s">
        <v>2900</v>
      </c>
      <c r="I212" t="s">
        <v>148</v>
      </c>
      <c r="J212" t="s">
        <v>148</v>
      </c>
      <c r="K212" t="s">
        <v>148</v>
      </c>
      <c r="L212" t="s">
        <v>148</v>
      </c>
      <c r="M212" t="s">
        <v>2901</v>
      </c>
      <c r="N212" t="s">
        <v>148</v>
      </c>
      <c r="O212" t="s">
        <v>1604</v>
      </c>
      <c r="P212" t="s">
        <v>2902</v>
      </c>
      <c r="Q212" t="s">
        <v>2903</v>
      </c>
      <c r="R212" t="s">
        <v>2904</v>
      </c>
      <c r="S212" t="s">
        <v>1602</v>
      </c>
      <c r="T212" t="s">
        <v>2905</v>
      </c>
      <c r="U212" t="s">
        <v>148</v>
      </c>
      <c r="V212" t="s">
        <v>148</v>
      </c>
      <c r="W212" t="s">
        <v>148</v>
      </c>
      <c r="X212" t="s">
        <v>2906</v>
      </c>
      <c r="Y212" t="s">
        <v>148</v>
      </c>
      <c r="Z212" t="s">
        <v>148</v>
      </c>
      <c r="AA212" t="s">
        <v>2907</v>
      </c>
      <c r="AB212" t="s">
        <v>1604</v>
      </c>
      <c r="AC212" t="s">
        <v>2908</v>
      </c>
      <c r="AD212" t="s">
        <v>148</v>
      </c>
      <c r="AE212" t="s">
        <v>148</v>
      </c>
      <c r="AF212" t="s">
        <v>2909</v>
      </c>
      <c r="AG212" t="s">
        <v>148</v>
      </c>
      <c r="AH212" t="s">
        <v>2910</v>
      </c>
      <c r="AI212" t="s">
        <v>2911</v>
      </c>
      <c r="AJ212" t="s">
        <v>2912</v>
      </c>
    </row>
    <row r="213" spans="1:36" x14ac:dyDescent="0.2">
      <c r="A213" t="s">
        <v>996</v>
      </c>
      <c r="B213" t="s">
        <v>603</v>
      </c>
      <c r="C213" t="s">
        <v>19</v>
      </c>
      <c r="D213" t="s">
        <v>605</v>
      </c>
      <c r="E213" t="str">
        <f>HYPERLINK("/pdf/2025_10_1007_s43926_025_00185_7_a_feature_level_ensemble_machine_learning_approach_for_attack_detection_in_iot_n.pdf","open")</f>
        <v>open</v>
      </c>
      <c r="F213" t="s">
        <v>1606</v>
      </c>
      <c r="G213" t="s">
        <v>1607</v>
      </c>
      <c r="H213" t="s">
        <v>2913</v>
      </c>
      <c r="I213" t="s">
        <v>148</v>
      </c>
      <c r="J213" t="s">
        <v>148</v>
      </c>
      <c r="K213" t="s">
        <v>148</v>
      </c>
      <c r="L213" t="s">
        <v>148</v>
      </c>
      <c r="M213" t="s">
        <v>2808</v>
      </c>
      <c r="N213" t="s">
        <v>148</v>
      </c>
      <c r="O213" t="s">
        <v>148</v>
      </c>
      <c r="P213" t="s">
        <v>148</v>
      </c>
      <c r="Q213" t="s">
        <v>148</v>
      </c>
      <c r="R213" t="s">
        <v>148</v>
      </c>
      <c r="S213" t="s">
        <v>1655</v>
      </c>
      <c r="T213" t="s">
        <v>148</v>
      </c>
      <c r="U213" t="s">
        <v>148</v>
      </c>
      <c r="V213" t="s">
        <v>148</v>
      </c>
      <c r="W213" t="s">
        <v>148</v>
      </c>
      <c r="X213" t="s">
        <v>148</v>
      </c>
      <c r="Y213" t="s">
        <v>148</v>
      </c>
      <c r="Z213" t="s">
        <v>148</v>
      </c>
      <c r="AA213" t="s">
        <v>2372</v>
      </c>
      <c r="AB213" t="s">
        <v>1604</v>
      </c>
      <c r="AC213" t="s">
        <v>148</v>
      </c>
      <c r="AD213" t="s">
        <v>148</v>
      </c>
      <c r="AE213" t="s">
        <v>148</v>
      </c>
      <c r="AF213" t="s">
        <v>2374</v>
      </c>
      <c r="AG213" t="s">
        <v>1614</v>
      </c>
      <c r="AH213" t="s">
        <v>2914</v>
      </c>
      <c r="AI213" t="s">
        <v>148</v>
      </c>
      <c r="AJ213" t="s">
        <v>148</v>
      </c>
    </row>
    <row r="214" spans="1:36" x14ac:dyDescent="0.2">
      <c r="A214" t="s">
        <v>998</v>
      </c>
      <c r="B214" t="s">
        <v>999</v>
      </c>
      <c r="C214" t="s">
        <v>19</v>
      </c>
      <c r="D214" t="s">
        <v>1000</v>
      </c>
      <c r="E214" t="str">
        <f>HYPERLINK("/pdf/2025_10_1038_s41598_025_89794_4_revolutionary_hybrid_ensembled_deep_learning_model_for_accurate_and_robust_side.pdf","open")</f>
        <v>open</v>
      </c>
      <c r="F214" t="s">
        <v>1606</v>
      </c>
      <c r="G214" t="s">
        <v>1602</v>
      </c>
      <c r="H214" t="s">
        <v>2915</v>
      </c>
      <c r="I214" t="s">
        <v>148</v>
      </c>
      <c r="J214" t="s">
        <v>1602</v>
      </c>
      <c r="K214" t="s">
        <v>148</v>
      </c>
      <c r="L214" t="s">
        <v>148</v>
      </c>
      <c r="M214" t="s">
        <v>2916</v>
      </c>
      <c r="N214" t="s">
        <v>148</v>
      </c>
      <c r="O214" t="s">
        <v>1604</v>
      </c>
      <c r="P214" t="s">
        <v>2251</v>
      </c>
      <c r="Q214" t="s">
        <v>148</v>
      </c>
      <c r="R214" t="s">
        <v>2917</v>
      </c>
      <c r="S214" t="s">
        <v>1655</v>
      </c>
      <c r="T214" t="s">
        <v>2918</v>
      </c>
      <c r="U214" t="s">
        <v>148</v>
      </c>
      <c r="V214" t="s">
        <v>148</v>
      </c>
      <c r="W214" t="s">
        <v>148</v>
      </c>
      <c r="X214" t="s">
        <v>148</v>
      </c>
      <c r="Y214" t="s">
        <v>148</v>
      </c>
      <c r="Z214" t="s">
        <v>148</v>
      </c>
      <c r="AA214" t="s">
        <v>2919</v>
      </c>
      <c r="AB214" t="s">
        <v>1604</v>
      </c>
      <c r="AC214" t="s">
        <v>2920</v>
      </c>
      <c r="AD214" t="s">
        <v>148</v>
      </c>
      <c r="AE214" t="s">
        <v>148</v>
      </c>
      <c r="AF214" t="s">
        <v>2921</v>
      </c>
      <c r="AG214" t="s">
        <v>1614</v>
      </c>
      <c r="AH214" t="s">
        <v>2922</v>
      </c>
      <c r="AI214" t="s">
        <v>148</v>
      </c>
      <c r="AJ214" t="s">
        <v>2923</v>
      </c>
    </row>
    <row r="215" spans="1:36" x14ac:dyDescent="0.2">
      <c r="A215" t="s">
        <v>1002</v>
      </c>
      <c r="B215" t="s">
        <v>1003</v>
      </c>
      <c r="C215" t="s">
        <v>25</v>
      </c>
      <c r="D215" t="s">
        <v>1005</v>
      </c>
      <c r="E215" t="str">
        <f>HYPERLINK("/pdf/2023_10.1109_taes.2023.3306336_ADS-Bchain__A_Blockchain-Based_Trusted_Service_Scheme_for_Automatic_Dependent_Surveillance_Broadcast.pdf","open")</f>
        <v>open</v>
      </c>
      <c r="F215" t="s">
        <v>1618</v>
      </c>
      <c r="G215" t="s">
        <v>1602</v>
      </c>
      <c r="H215" t="s">
        <v>2924</v>
      </c>
      <c r="I215" t="s">
        <v>148</v>
      </c>
      <c r="J215" t="s">
        <v>1602</v>
      </c>
      <c r="K215" t="s">
        <v>1664</v>
      </c>
      <c r="L215" t="s">
        <v>148</v>
      </c>
      <c r="M215" t="s">
        <v>148</v>
      </c>
      <c r="N215" t="s">
        <v>148</v>
      </c>
      <c r="O215" t="s">
        <v>148</v>
      </c>
      <c r="P215" t="s">
        <v>148</v>
      </c>
      <c r="Q215" t="s">
        <v>148</v>
      </c>
      <c r="R215" t="s">
        <v>148</v>
      </c>
      <c r="S215" t="s">
        <v>148</v>
      </c>
      <c r="T215" t="s">
        <v>148</v>
      </c>
      <c r="U215" t="s">
        <v>148</v>
      </c>
      <c r="V215" t="s">
        <v>148</v>
      </c>
      <c r="W215" t="s">
        <v>148</v>
      </c>
      <c r="X215" t="s">
        <v>148</v>
      </c>
      <c r="Y215" t="s">
        <v>148</v>
      </c>
      <c r="Z215" t="s">
        <v>148</v>
      </c>
      <c r="AA215" t="s">
        <v>2925</v>
      </c>
      <c r="AB215" t="s">
        <v>1604</v>
      </c>
      <c r="AC215" t="s">
        <v>148</v>
      </c>
      <c r="AD215" t="s">
        <v>148</v>
      </c>
      <c r="AE215" t="s">
        <v>148</v>
      </c>
      <c r="AF215" t="s">
        <v>2926</v>
      </c>
      <c r="AG215" t="s">
        <v>2927</v>
      </c>
      <c r="AH215" t="s">
        <v>2928</v>
      </c>
      <c r="AI215" t="s">
        <v>148</v>
      </c>
      <c r="AJ215" t="s">
        <v>2929</v>
      </c>
    </row>
    <row r="216" spans="1:36" x14ac:dyDescent="0.2">
      <c r="A216" t="s">
        <v>1007</v>
      </c>
      <c r="B216" t="s">
        <v>1008</v>
      </c>
      <c r="C216" t="s">
        <v>19</v>
      </c>
      <c r="D216" t="s">
        <v>1007</v>
      </c>
      <c r="E216" t="str">
        <f>HYPERLINK("/pdf/2025_10.1109_iciccs65191.2025.10984995_SDN_based_Firewall_with_Real_Time_Policy_Updates.pdf","open")</f>
        <v>open</v>
      </c>
      <c r="F216" t="s">
        <v>1606</v>
      </c>
      <c r="G216" t="s">
        <v>1607</v>
      </c>
      <c r="H216" t="s">
        <v>2930</v>
      </c>
      <c r="I216" t="s">
        <v>148</v>
      </c>
      <c r="J216" t="s">
        <v>1602</v>
      </c>
      <c r="K216" t="s">
        <v>148</v>
      </c>
      <c r="L216" t="s">
        <v>148</v>
      </c>
      <c r="M216" t="s">
        <v>1636</v>
      </c>
      <c r="N216" t="s">
        <v>148</v>
      </c>
      <c r="O216" t="s">
        <v>148</v>
      </c>
      <c r="P216" t="s">
        <v>1694</v>
      </c>
      <c r="Q216" t="s">
        <v>148</v>
      </c>
      <c r="R216" t="s">
        <v>148</v>
      </c>
      <c r="S216" t="s">
        <v>148</v>
      </c>
      <c r="T216" t="s">
        <v>148</v>
      </c>
      <c r="U216" t="s">
        <v>148</v>
      </c>
      <c r="V216" t="s">
        <v>148</v>
      </c>
      <c r="W216" t="s">
        <v>148</v>
      </c>
      <c r="X216" t="s">
        <v>148</v>
      </c>
      <c r="Y216" t="s">
        <v>148</v>
      </c>
      <c r="Z216" t="s">
        <v>148</v>
      </c>
      <c r="AA216" t="s">
        <v>2931</v>
      </c>
      <c r="AB216" t="s">
        <v>1604</v>
      </c>
      <c r="AC216" t="s">
        <v>148</v>
      </c>
      <c r="AD216" t="s">
        <v>148</v>
      </c>
      <c r="AE216" t="s">
        <v>148</v>
      </c>
      <c r="AF216" t="s">
        <v>2403</v>
      </c>
      <c r="AG216" t="s">
        <v>1614</v>
      </c>
      <c r="AH216" t="s">
        <v>148</v>
      </c>
      <c r="AI216" t="s">
        <v>148</v>
      </c>
      <c r="AJ216" t="s">
        <v>148</v>
      </c>
    </row>
    <row r="217" spans="1:36" x14ac:dyDescent="0.2">
      <c r="A217" t="s">
        <v>1011</v>
      </c>
      <c r="B217" t="s">
        <v>1012</v>
      </c>
      <c r="C217" t="s">
        <v>25</v>
      </c>
      <c r="D217" t="s">
        <v>1014</v>
      </c>
      <c r="E217" t="str">
        <f>HYPERLINK("/pdf/2023_10_3390_app13031977_ai_assisted_security_alert_data_analysis_with_imbalanced_learning_methods.pdf","open")</f>
        <v>open</v>
      </c>
      <c r="F217" t="s">
        <v>1606</v>
      </c>
      <c r="G217" t="s">
        <v>1607</v>
      </c>
      <c r="H217" t="s">
        <v>2932</v>
      </c>
      <c r="I217" t="s">
        <v>148</v>
      </c>
      <c r="J217" t="s">
        <v>148</v>
      </c>
      <c r="K217" t="s">
        <v>148</v>
      </c>
      <c r="L217" t="s">
        <v>148</v>
      </c>
      <c r="M217" t="s">
        <v>2843</v>
      </c>
      <c r="N217" t="s">
        <v>148</v>
      </c>
      <c r="O217" t="s">
        <v>148</v>
      </c>
      <c r="P217" t="s">
        <v>148</v>
      </c>
      <c r="Q217" t="s">
        <v>148</v>
      </c>
      <c r="R217" t="s">
        <v>148</v>
      </c>
      <c r="S217" t="s">
        <v>1654</v>
      </c>
      <c r="T217" t="s">
        <v>2933</v>
      </c>
      <c r="U217" t="s">
        <v>148</v>
      </c>
      <c r="V217" t="s">
        <v>148</v>
      </c>
      <c r="W217" t="s">
        <v>2934</v>
      </c>
      <c r="X217" t="s">
        <v>2935</v>
      </c>
      <c r="Y217" t="s">
        <v>2936</v>
      </c>
      <c r="Z217" t="s">
        <v>148</v>
      </c>
      <c r="AA217" t="s">
        <v>2937</v>
      </c>
      <c r="AB217" t="s">
        <v>2938</v>
      </c>
      <c r="AC217" t="s">
        <v>2939</v>
      </c>
      <c r="AD217" t="s">
        <v>2940</v>
      </c>
      <c r="AE217" t="s">
        <v>148</v>
      </c>
      <c r="AF217" t="s">
        <v>2941</v>
      </c>
      <c r="AG217" t="s">
        <v>2942</v>
      </c>
      <c r="AH217" t="s">
        <v>2943</v>
      </c>
      <c r="AI217" t="s">
        <v>957</v>
      </c>
      <c r="AJ217" t="s">
        <v>2944</v>
      </c>
    </row>
    <row r="218" spans="1:36" x14ac:dyDescent="0.2">
      <c r="A218" t="s">
        <v>1016</v>
      </c>
      <c r="B218" t="s">
        <v>1017</v>
      </c>
      <c r="C218" t="s">
        <v>215</v>
      </c>
      <c r="D218" t="s">
        <v>1019</v>
      </c>
      <c r="E218" t="str">
        <f>HYPERLINK("/pdf/2014_10.1145_2656434.2656448_Analysis_of_mobile_malware_based_on_user_awareness.pdf","open")</f>
        <v>open</v>
      </c>
      <c r="F218" t="s">
        <v>1606</v>
      </c>
      <c r="G218" t="s">
        <v>1651</v>
      </c>
      <c r="H218" t="s">
        <v>2945</v>
      </c>
      <c r="I218" t="s">
        <v>148</v>
      </c>
      <c r="J218" t="s">
        <v>148</v>
      </c>
      <c r="K218" t="s">
        <v>148</v>
      </c>
      <c r="L218" t="s">
        <v>148</v>
      </c>
      <c r="M218" t="s">
        <v>148</v>
      </c>
      <c r="N218" t="s">
        <v>148</v>
      </c>
      <c r="O218" t="s">
        <v>148</v>
      </c>
      <c r="P218" t="s">
        <v>148</v>
      </c>
      <c r="Q218" t="s">
        <v>148</v>
      </c>
      <c r="R218" t="s">
        <v>148</v>
      </c>
      <c r="S218" t="s">
        <v>148</v>
      </c>
      <c r="T218" t="s">
        <v>148</v>
      </c>
      <c r="U218" t="s">
        <v>148</v>
      </c>
      <c r="V218" t="s">
        <v>148</v>
      </c>
      <c r="W218" t="s">
        <v>148</v>
      </c>
      <c r="X218" t="s">
        <v>148</v>
      </c>
      <c r="Y218" t="s">
        <v>148</v>
      </c>
      <c r="Z218" t="s">
        <v>148</v>
      </c>
      <c r="AA218" t="s">
        <v>148</v>
      </c>
      <c r="AB218" t="s">
        <v>148</v>
      </c>
      <c r="AC218" t="s">
        <v>148</v>
      </c>
      <c r="AD218" t="s">
        <v>148</v>
      </c>
      <c r="AE218" t="s">
        <v>148</v>
      </c>
      <c r="AF218" t="s">
        <v>148</v>
      </c>
      <c r="AG218" t="s">
        <v>148</v>
      </c>
      <c r="AH218" t="s">
        <v>148</v>
      </c>
      <c r="AI218" t="s">
        <v>148</v>
      </c>
      <c r="AJ218" t="s">
        <v>148</v>
      </c>
    </row>
    <row r="219" spans="1:36" x14ac:dyDescent="0.2">
      <c r="A219" t="s">
        <v>1021</v>
      </c>
      <c r="B219" t="s">
        <v>1022</v>
      </c>
      <c r="C219" t="s">
        <v>12</v>
      </c>
      <c r="D219" t="s">
        <v>1024</v>
      </c>
      <c r="E219" t="str">
        <f>HYPERLINK("/pdf/2018_10_1109_noms_2018_8406122_synaptic_a_formal_checker_for_sdn_based_security_policies.pdf","open")</f>
        <v>open</v>
      </c>
      <c r="F219" t="s">
        <v>1602</v>
      </c>
      <c r="G219" t="s">
        <v>1602</v>
      </c>
      <c r="H219" t="s">
        <v>148</v>
      </c>
      <c r="I219" t="s">
        <v>2946</v>
      </c>
      <c r="J219" t="s">
        <v>1602</v>
      </c>
      <c r="K219" t="s">
        <v>148</v>
      </c>
      <c r="L219" t="s">
        <v>148</v>
      </c>
      <c r="M219" t="s">
        <v>2947</v>
      </c>
      <c r="N219" t="s">
        <v>148</v>
      </c>
      <c r="O219" t="s">
        <v>148</v>
      </c>
      <c r="P219" t="s">
        <v>148</v>
      </c>
      <c r="Q219" t="s">
        <v>148</v>
      </c>
      <c r="R219" t="s">
        <v>148</v>
      </c>
      <c r="S219" t="s">
        <v>148</v>
      </c>
      <c r="T219" t="s">
        <v>148</v>
      </c>
      <c r="U219" t="s">
        <v>148</v>
      </c>
      <c r="V219" t="s">
        <v>148</v>
      </c>
      <c r="W219" t="s">
        <v>148</v>
      </c>
      <c r="X219" t="s">
        <v>148</v>
      </c>
      <c r="Y219" t="s">
        <v>148</v>
      </c>
      <c r="Z219" t="s">
        <v>148</v>
      </c>
      <c r="AA219" t="s">
        <v>2948</v>
      </c>
      <c r="AB219" t="s">
        <v>148</v>
      </c>
      <c r="AC219" t="s">
        <v>148</v>
      </c>
      <c r="AD219" t="s">
        <v>148</v>
      </c>
      <c r="AE219" t="s">
        <v>148</v>
      </c>
      <c r="AF219" t="s">
        <v>148</v>
      </c>
      <c r="AG219" t="s">
        <v>148</v>
      </c>
      <c r="AH219" t="s">
        <v>148</v>
      </c>
      <c r="AI219" t="s">
        <v>148</v>
      </c>
      <c r="AJ219" t="s">
        <v>148</v>
      </c>
    </row>
    <row r="220" spans="1:36" x14ac:dyDescent="0.2">
      <c r="A220" t="s">
        <v>1026</v>
      </c>
      <c r="B220" t="s">
        <v>1027</v>
      </c>
      <c r="C220" t="s">
        <v>136</v>
      </c>
      <c r="D220" t="s">
        <v>148</v>
      </c>
      <c r="E220" t="str">
        <f>HYPERLINK("/pdf/2019_Automated_factorization_of_security_chains_in_software-defined_networks.pdf","open")</f>
        <v>open</v>
      </c>
      <c r="F220" t="s">
        <v>1602</v>
      </c>
      <c r="G220" t="s">
        <v>1602</v>
      </c>
      <c r="H220" t="s">
        <v>2949</v>
      </c>
      <c r="I220" t="s">
        <v>2950</v>
      </c>
      <c r="J220" t="s">
        <v>1602</v>
      </c>
      <c r="K220" t="s">
        <v>1653</v>
      </c>
      <c r="L220" t="s">
        <v>148</v>
      </c>
      <c r="M220" t="s">
        <v>1602</v>
      </c>
      <c r="N220" t="s">
        <v>148</v>
      </c>
      <c r="O220" t="s">
        <v>148</v>
      </c>
      <c r="P220" t="s">
        <v>148</v>
      </c>
      <c r="Q220" t="s">
        <v>148</v>
      </c>
      <c r="R220" t="s">
        <v>148</v>
      </c>
      <c r="S220" t="s">
        <v>1624</v>
      </c>
      <c r="T220" t="s">
        <v>2951</v>
      </c>
      <c r="U220" t="s">
        <v>1604</v>
      </c>
      <c r="V220" t="s">
        <v>148</v>
      </c>
      <c r="W220" t="s">
        <v>148</v>
      </c>
      <c r="X220" t="s">
        <v>148</v>
      </c>
      <c r="Y220" t="s">
        <v>148</v>
      </c>
      <c r="Z220" t="s">
        <v>148</v>
      </c>
      <c r="AA220" t="s">
        <v>2952</v>
      </c>
      <c r="AB220" t="s">
        <v>148</v>
      </c>
      <c r="AC220" t="s">
        <v>148</v>
      </c>
      <c r="AD220" t="s">
        <v>148</v>
      </c>
      <c r="AE220" t="s">
        <v>148</v>
      </c>
      <c r="AF220" t="s">
        <v>2953</v>
      </c>
      <c r="AG220" t="s">
        <v>2954</v>
      </c>
      <c r="AH220" t="s">
        <v>2955</v>
      </c>
      <c r="AI220" t="s">
        <v>148</v>
      </c>
      <c r="AJ220" t="s">
        <v>148</v>
      </c>
    </row>
    <row r="221" spans="1:36" x14ac:dyDescent="0.2">
      <c r="A221" t="s">
        <v>1030</v>
      </c>
      <c r="B221" t="s">
        <v>1031</v>
      </c>
      <c r="C221" t="s">
        <v>100</v>
      </c>
      <c r="D221" t="s">
        <v>148</v>
      </c>
      <c r="E221" t="str">
        <f>HYPERLINK("/pdf/2023_10_1109_icc45041_2023_10278951_a_lightweight_moving_target_defense_framework_for_multi_purpose_malware_affecting_iot_devi.pdf","open")</f>
        <v>open</v>
      </c>
      <c r="F221" t="s">
        <v>1606</v>
      </c>
      <c r="G221" t="s">
        <v>1651</v>
      </c>
      <c r="H221" t="s">
        <v>2956</v>
      </c>
      <c r="I221" t="s">
        <v>148</v>
      </c>
      <c r="J221" t="s">
        <v>148</v>
      </c>
      <c r="K221" t="s">
        <v>148</v>
      </c>
      <c r="L221" t="s">
        <v>148</v>
      </c>
      <c r="M221" t="s">
        <v>2957</v>
      </c>
      <c r="N221" t="s">
        <v>148</v>
      </c>
      <c r="O221" t="s">
        <v>148</v>
      </c>
      <c r="P221" t="s">
        <v>1694</v>
      </c>
      <c r="Q221" t="s">
        <v>148</v>
      </c>
      <c r="R221" t="s">
        <v>148</v>
      </c>
      <c r="S221" t="s">
        <v>2958</v>
      </c>
      <c r="T221" t="s">
        <v>2959</v>
      </c>
      <c r="U221" t="s">
        <v>148</v>
      </c>
      <c r="V221" t="s">
        <v>148</v>
      </c>
      <c r="W221" t="s">
        <v>148</v>
      </c>
      <c r="X221" t="s">
        <v>148</v>
      </c>
      <c r="Y221" t="s">
        <v>148</v>
      </c>
      <c r="Z221" t="s">
        <v>148</v>
      </c>
      <c r="AA221" t="s">
        <v>2960</v>
      </c>
      <c r="AB221" t="s">
        <v>148</v>
      </c>
      <c r="AC221" t="s">
        <v>148</v>
      </c>
      <c r="AD221" t="s">
        <v>1604</v>
      </c>
      <c r="AE221" t="s">
        <v>2961</v>
      </c>
      <c r="AF221" t="s">
        <v>2715</v>
      </c>
      <c r="AG221" t="s">
        <v>2715</v>
      </c>
      <c r="AH221" t="s">
        <v>2962</v>
      </c>
      <c r="AI221" t="s">
        <v>148</v>
      </c>
      <c r="AJ221" t="s">
        <v>2963</v>
      </c>
    </row>
    <row r="222" spans="1:36" x14ac:dyDescent="0.2">
      <c r="A222" t="s">
        <v>1033</v>
      </c>
      <c r="B222" t="s">
        <v>1034</v>
      </c>
      <c r="C222" t="s">
        <v>100</v>
      </c>
      <c r="D222" t="s">
        <v>1036</v>
      </c>
      <c r="E222" t="str">
        <f>HYPERLINK("/pdf/2022_10.1016_j.knosys.2022.109557_A_FKPCA-GWO_WDBiLSTM_classifier_for_intrusion_detection_system_in_cloud_environments.pdf","open")</f>
        <v>open</v>
      </c>
      <c r="F222" t="s">
        <v>1606</v>
      </c>
      <c r="G222" t="s">
        <v>1607</v>
      </c>
      <c r="H222" t="s">
        <v>2964</v>
      </c>
      <c r="I222" t="s">
        <v>148</v>
      </c>
      <c r="J222" t="s">
        <v>148</v>
      </c>
      <c r="K222" t="s">
        <v>148</v>
      </c>
      <c r="L222" t="s">
        <v>148</v>
      </c>
      <c r="M222" t="s">
        <v>1636</v>
      </c>
      <c r="N222" t="s">
        <v>148</v>
      </c>
      <c r="O222" t="s">
        <v>148</v>
      </c>
      <c r="P222" t="s">
        <v>148</v>
      </c>
      <c r="Q222" t="s">
        <v>148</v>
      </c>
      <c r="R222" t="s">
        <v>148</v>
      </c>
      <c r="S222" t="s">
        <v>1655</v>
      </c>
      <c r="T222" t="s">
        <v>2965</v>
      </c>
      <c r="U222" t="s">
        <v>148</v>
      </c>
      <c r="V222" t="s">
        <v>148</v>
      </c>
      <c r="W222" t="s">
        <v>148</v>
      </c>
      <c r="X222" t="s">
        <v>148</v>
      </c>
      <c r="Y222" t="s">
        <v>148</v>
      </c>
      <c r="Z222" t="s">
        <v>148</v>
      </c>
      <c r="AA222" t="s">
        <v>2966</v>
      </c>
      <c r="AB222" t="s">
        <v>1604</v>
      </c>
      <c r="AC222" t="s">
        <v>148</v>
      </c>
      <c r="AD222" t="s">
        <v>148</v>
      </c>
      <c r="AE222" t="s">
        <v>148</v>
      </c>
      <c r="AF222" t="s">
        <v>2967</v>
      </c>
      <c r="AG222" t="s">
        <v>1614</v>
      </c>
      <c r="AH222" t="s">
        <v>2968</v>
      </c>
      <c r="AI222" t="s">
        <v>148</v>
      </c>
      <c r="AJ222" t="s">
        <v>148</v>
      </c>
    </row>
    <row r="223" spans="1:36" x14ac:dyDescent="0.2">
      <c r="A223" t="s">
        <v>1038</v>
      </c>
      <c r="B223" t="s">
        <v>1039</v>
      </c>
      <c r="C223" t="s">
        <v>268</v>
      </c>
      <c r="D223" t="s">
        <v>148</v>
      </c>
      <c r="E223" t="str">
        <f>HYPERLINK("/pdf/2010_10.1109_glocom.2010.5683165_Skip_finite_automaton__A_content_scanning_engine_to_secure_enterprise_networks.pdf","open")</f>
        <v>open</v>
      </c>
      <c r="F223" t="s">
        <v>1602</v>
      </c>
      <c r="G223" t="s">
        <v>1602</v>
      </c>
      <c r="H223" t="s">
        <v>2969</v>
      </c>
      <c r="I223" t="s">
        <v>148</v>
      </c>
      <c r="J223" t="s">
        <v>1602</v>
      </c>
      <c r="K223" t="s">
        <v>148</v>
      </c>
      <c r="L223" t="s">
        <v>148</v>
      </c>
      <c r="M223" t="s">
        <v>148</v>
      </c>
      <c r="N223" t="s">
        <v>148</v>
      </c>
      <c r="O223" t="s">
        <v>148</v>
      </c>
      <c r="P223" t="s">
        <v>148</v>
      </c>
      <c r="Q223" t="s">
        <v>148</v>
      </c>
      <c r="R223" t="s">
        <v>148</v>
      </c>
      <c r="S223" t="s">
        <v>148</v>
      </c>
      <c r="T223" t="s">
        <v>148</v>
      </c>
      <c r="U223" t="s">
        <v>148</v>
      </c>
      <c r="V223" t="s">
        <v>148</v>
      </c>
      <c r="W223" t="s">
        <v>148</v>
      </c>
      <c r="X223" t="s">
        <v>148</v>
      </c>
      <c r="Y223" t="s">
        <v>148</v>
      </c>
      <c r="Z223" t="s">
        <v>148</v>
      </c>
      <c r="AA223" t="s">
        <v>2970</v>
      </c>
      <c r="AB223" t="s">
        <v>148</v>
      </c>
      <c r="AC223" t="s">
        <v>148</v>
      </c>
      <c r="AD223" t="s">
        <v>148</v>
      </c>
      <c r="AE223" t="s">
        <v>148</v>
      </c>
      <c r="AF223" t="s">
        <v>2971</v>
      </c>
      <c r="AG223" t="s">
        <v>2972</v>
      </c>
      <c r="AH223" t="s">
        <v>148</v>
      </c>
      <c r="AI223" t="s">
        <v>148</v>
      </c>
      <c r="AJ223" t="s">
        <v>148</v>
      </c>
    </row>
    <row r="224" spans="1:36" x14ac:dyDescent="0.2">
      <c r="A224" t="s">
        <v>1042</v>
      </c>
      <c r="B224" t="s">
        <v>1043</v>
      </c>
      <c r="C224" t="s">
        <v>210</v>
      </c>
      <c r="D224" t="s">
        <v>148</v>
      </c>
      <c r="E224" t="str">
        <f>HYPERLINK("/pdf/2016_10.1007_978-981-10-0557-2_68_Android_security_analysis_based_on_inter-application_relationships.pdf","open")</f>
        <v>open</v>
      </c>
      <c r="F224" t="s">
        <v>148</v>
      </c>
      <c r="G224" t="s">
        <v>1651</v>
      </c>
      <c r="H224" t="s">
        <v>1651</v>
      </c>
      <c r="I224" t="s">
        <v>148</v>
      </c>
      <c r="J224" t="s">
        <v>148</v>
      </c>
      <c r="K224" t="s">
        <v>148</v>
      </c>
      <c r="L224" t="s">
        <v>148</v>
      </c>
      <c r="M224" t="s">
        <v>148</v>
      </c>
      <c r="N224" t="s">
        <v>148</v>
      </c>
      <c r="O224" t="s">
        <v>148</v>
      </c>
      <c r="P224" t="s">
        <v>148</v>
      </c>
      <c r="Q224" t="s">
        <v>148</v>
      </c>
      <c r="R224" t="s">
        <v>148</v>
      </c>
      <c r="S224" t="s">
        <v>148</v>
      </c>
      <c r="T224" t="s">
        <v>148</v>
      </c>
      <c r="U224" t="s">
        <v>148</v>
      </c>
      <c r="V224" t="s">
        <v>148</v>
      </c>
      <c r="W224" t="s">
        <v>148</v>
      </c>
      <c r="X224" t="s">
        <v>148</v>
      </c>
      <c r="Y224" t="s">
        <v>148</v>
      </c>
      <c r="Z224" t="s">
        <v>148</v>
      </c>
      <c r="AA224" t="s">
        <v>148</v>
      </c>
      <c r="AB224" t="s">
        <v>148</v>
      </c>
      <c r="AC224" t="s">
        <v>148</v>
      </c>
      <c r="AD224" t="s">
        <v>148</v>
      </c>
      <c r="AE224" t="s">
        <v>148</v>
      </c>
      <c r="AF224" t="s">
        <v>148</v>
      </c>
      <c r="AG224" t="s">
        <v>148</v>
      </c>
      <c r="AH224" t="s">
        <v>148</v>
      </c>
      <c r="AI224" t="s">
        <v>148</v>
      </c>
      <c r="AJ224" t="s">
        <v>148</v>
      </c>
    </row>
    <row r="225" spans="1:36" x14ac:dyDescent="0.2">
      <c r="A225" t="s">
        <v>1046</v>
      </c>
      <c r="B225" t="s">
        <v>1047</v>
      </c>
      <c r="C225" t="s">
        <v>25</v>
      </c>
      <c r="D225" t="s">
        <v>148</v>
      </c>
      <c r="E225" t="str">
        <f>HYPERLINK("/pdf/2023_10_1109_lanman58293_2023_10189424_federated_learning_based_vehicle_trajectory_prediction_against_cyberattacks.pdf","open")</f>
        <v>open</v>
      </c>
      <c r="F225" t="s">
        <v>1633</v>
      </c>
      <c r="G225" t="s">
        <v>1607</v>
      </c>
      <c r="H225" t="s">
        <v>2973</v>
      </c>
      <c r="I225" t="s">
        <v>148</v>
      </c>
      <c r="J225" t="s">
        <v>148</v>
      </c>
      <c r="K225" t="s">
        <v>148</v>
      </c>
      <c r="L225" t="s">
        <v>148</v>
      </c>
      <c r="M225" t="s">
        <v>2974</v>
      </c>
      <c r="N225" t="s">
        <v>148</v>
      </c>
      <c r="O225" t="s">
        <v>148</v>
      </c>
      <c r="P225" t="s">
        <v>148</v>
      </c>
      <c r="Q225" t="s">
        <v>148</v>
      </c>
      <c r="R225" t="s">
        <v>148</v>
      </c>
      <c r="S225" t="s">
        <v>1602</v>
      </c>
      <c r="T225" t="s">
        <v>148</v>
      </c>
      <c r="U225" t="s">
        <v>148</v>
      </c>
      <c r="V225" t="s">
        <v>148</v>
      </c>
      <c r="W225" t="s">
        <v>148</v>
      </c>
      <c r="X225" t="s">
        <v>148</v>
      </c>
      <c r="Y225" t="s">
        <v>148</v>
      </c>
      <c r="Z225" t="s">
        <v>148</v>
      </c>
      <c r="AA225" t="s">
        <v>2975</v>
      </c>
      <c r="AB225" t="s">
        <v>1604</v>
      </c>
      <c r="AC225" t="s">
        <v>2976</v>
      </c>
      <c r="AD225" t="s">
        <v>1604</v>
      </c>
      <c r="AE225" t="s">
        <v>2976</v>
      </c>
      <c r="AF225" t="s">
        <v>2977</v>
      </c>
      <c r="AG225" t="s">
        <v>2978</v>
      </c>
      <c r="AH225" t="s">
        <v>2979</v>
      </c>
      <c r="AI225" t="s">
        <v>15</v>
      </c>
      <c r="AJ225" t="s">
        <v>148</v>
      </c>
    </row>
    <row r="226" spans="1:36" x14ac:dyDescent="0.2">
      <c r="B226" t="s">
        <v>1050</v>
      </c>
      <c r="C226" t="s">
        <v>100</v>
      </c>
      <c r="D226" t="s">
        <v>1052</v>
      </c>
      <c r="E226" t="str">
        <f>HYPERLINK("/pdf/2022_10.1109_iccci55554.2022.9850265_Analyzing_SocialArks_Data_Leak_-_A_Brute_Force_Web_Login_Attack.pdf","open")</f>
        <v>open</v>
      </c>
      <c r="F226" t="s">
        <v>148</v>
      </c>
      <c r="G226" t="s">
        <v>1602</v>
      </c>
      <c r="H226" t="s">
        <v>2980</v>
      </c>
      <c r="I226" t="s">
        <v>148</v>
      </c>
      <c r="J226" t="s">
        <v>148</v>
      </c>
      <c r="K226" t="s">
        <v>148</v>
      </c>
      <c r="L226" t="s">
        <v>148</v>
      </c>
      <c r="M226" t="s">
        <v>148</v>
      </c>
      <c r="N226" t="s">
        <v>148</v>
      </c>
      <c r="O226" t="s">
        <v>148</v>
      </c>
      <c r="P226" t="s">
        <v>148</v>
      </c>
      <c r="Q226" t="s">
        <v>148</v>
      </c>
      <c r="R226" t="s">
        <v>148</v>
      </c>
      <c r="S226" t="s">
        <v>148</v>
      </c>
      <c r="T226" t="s">
        <v>148</v>
      </c>
      <c r="U226" t="s">
        <v>148</v>
      </c>
      <c r="V226" t="s">
        <v>148</v>
      </c>
      <c r="W226" t="s">
        <v>148</v>
      </c>
      <c r="X226" t="s">
        <v>148</v>
      </c>
      <c r="Y226" t="s">
        <v>148</v>
      </c>
      <c r="Z226" t="s">
        <v>148</v>
      </c>
      <c r="AA226" t="s">
        <v>148</v>
      </c>
      <c r="AB226" t="s">
        <v>148</v>
      </c>
      <c r="AC226" t="s">
        <v>148</v>
      </c>
      <c r="AD226" t="s">
        <v>148</v>
      </c>
      <c r="AE226" t="s">
        <v>148</v>
      </c>
      <c r="AF226" t="s">
        <v>148</v>
      </c>
      <c r="AG226" t="s">
        <v>148</v>
      </c>
      <c r="AH226" t="s">
        <v>148</v>
      </c>
      <c r="AI226" t="s">
        <v>148</v>
      </c>
      <c r="AJ226" t="s">
        <v>148</v>
      </c>
    </row>
    <row r="227" spans="1:36" x14ac:dyDescent="0.2">
      <c r="A227" t="s">
        <v>1054</v>
      </c>
      <c r="B227" t="s">
        <v>1055</v>
      </c>
      <c r="C227" t="s">
        <v>148</v>
      </c>
      <c r="D227" t="s">
        <v>148</v>
      </c>
      <c r="E227" t="str">
        <f>HYPERLINK("/pdf/2021_10.1049_icp.2021.2407_Management_Challenges_in_the_Implementation_of_an_Email_Boundary_Control_for_Data_Leakage_Prevention.pdf","open")</f>
        <v>open</v>
      </c>
      <c r="F227" t="s">
        <v>1602</v>
      </c>
      <c r="G227" t="s">
        <v>1602</v>
      </c>
      <c r="H227" t="s">
        <v>2981</v>
      </c>
      <c r="I227" t="s">
        <v>148</v>
      </c>
      <c r="J227" t="s">
        <v>1602</v>
      </c>
      <c r="K227" t="s">
        <v>148</v>
      </c>
      <c r="L227" t="s">
        <v>148</v>
      </c>
      <c r="M227" t="s">
        <v>148</v>
      </c>
      <c r="N227" t="s">
        <v>148</v>
      </c>
      <c r="O227" t="s">
        <v>148</v>
      </c>
      <c r="P227" t="s">
        <v>1694</v>
      </c>
      <c r="Q227" t="s">
        <v>148</v>
      </c>
      <c r="R227" t="s">
        <v>148</v>
      </c>
      <c r="S227" t="s">
        <v>1602</v>
      </c>
      <c r="T227" t="s">
        <v>148</v>
      </c>
      <c r="U227" t="s">
        <v>148</v>
      </c>
      <c r="V227" t="s">
        <v>148</v>
      </c>
      <c r="W227" t="s">
        <v>148</v>
      </c>
      <c r="X227" t="s">
        <v>148</v>
      </c>
      <c r="Y227" t="s">
        <v>148</v>
      </c>
      <c r="Z227" t="s">
        <v>148</v>
      </c>
      <c r="AA227" t="s">
        <v>148</v>
      </c>
      <c r="AB227" t="s">
        <v>148</v>
      </c>
      <c r="AC227" t="s">
        <v>148</v>
      </c>
      <c r="AD227" t="s">
        <v>148</v>
      </c>
      <c r="AE227" t="s">
        <v>148</v>
      </c>
      <c r="AF227" t="s">
        <v>2982</v>
      </c>
      <c r="AG227" t="s">
        <v>148</v>
      </c>
      <c r="AH227" t="s">
        <v>148</v>
      </c>
      <c r="AI227" t="s">
        <v>148</v>
      </c>
      <c r="AJ227" t="s">
        <v>148</v>
      </c>
    </row>
    <row r="228" spans="1:36" x14ac:dyDescent="0.2">
      <c r="A228" t="s">
        <v>1057</v>
      </c>
      <c r="B228" t="s">
        <v>1058</v>
      </c>
      <c r="C228" t="s">
        <v>19</v>
      </c>
      <c r="D228" t="s">
        <v>1060</v>
      </c>
      <c r="E228" t="str">
        <f>HYPERLINK("/pdf/2025_10.1016_j.eij.2025.100684_Towards_lightweight_model_using_non-local-based_graph_convolution_neural_network_for_SQL_injection_detection.pdf","open")</f>
        <v>open</v>
      </c>
      <c r="F228" t="s">
        <v>2406</v>
      </c>
      <c r="G228" t="s">
        <v>1602</v>
      </c>
      <c r="H228" t="s">
        <v>2983</v>
      </c>
      <c r="I228" t="s">
        <v>2984</v>
      </c>
      <c r="J228" t="s">
        <v>1602</v>
      </c>
      <c r="K228" t="s">
        <v>1653</v>
      </c>
      <c r="L228" t="s">
        <v>148</v>
      </c>
      <c r="M228" t="s">
        <v>1864</v>
      </c>
      <c r="N228" t="s">
        <v>1611</v>
      </c>
      <c r="O228" t="s">
        <v>148</v>
      </c>
      <c r="P228" t="s">
        <v>148</v>
      </c>
      <c r="Q228" t="s">
        <v>148</v>
      </c>
      <c r="R228" t="s">
        <v>148</v>
      </c>
      <c r="S228" t="s">
        <v>1655</v>
      </c>
      <c r="T228" t="s">
        <v>2985</v>
      </c>
      <c r="U228" t="s">
        <v>148</v>
      </c>
      <c r="V228" t="s">
        <v>148</v>
      </c>
      <c r="W228" t="s">
        <v>148</v>
      </c>
      <c r="X228" t="s">
        <v>148</v>
      </c>
      <c r="Y228" t="s">
        <v>148</v>
      </c>
      <c r="Z228" t="s">
        <v>148</v>
      </c>
      <c r="AA228" t="s">
        <v>2986</v>
      </c>
      <c r="AB228" t="s">
        <v>1604</v>
      </c>
      <c r="AC228" t="s">
        <v>2987</v>
      </c>
      <c r="AD228" t="s">
        <v>148</v>
      </c>
      <c r="AE228" t="s">
        <v>148</v>
      </c>
      <c r="AF228" t="s">
        <v>2988</v>
      </c>
      <c r="AG228" t="s">
        <v>2989</v>
      </c>
      <c r="AH228" t="s">
        <v>2990</v>
      </c>
      <c r="AI228" t="s">
        <v>148</v>
      </c>
      <c r="AJ228" t="s">
        <v>148</v>
      </c>
    </row>
    <row r="229" spans="1:36" x14ac:dyDescent="0.2">
      <c r="A229" t="s">
        <v>1062</v>
      </c>
      <c r="B229" t="s">
        <v>1063</v>
      </c>
      <c r="C229" t="s">
        <v>54</v>
      </c>
      <c r="D229" t="s">
        <v>1065</v>
      </c>
      <c r="E229" t="str">
        <f>HYPERLINK("/pdf/2020_10.1109_bigdia51454.2020.00035_Analyzing_network_traffic_for_protocol_identification__An_ensemble_online_active_learning_method.pdf","open")</f>
        <v>open</v>
      </c>
      <c r="F229" t="s">
        <v>1606</v>
      </c>
      <c r="G229" t="s">
        <v>1602</v>
      </c>
      <c r="H229" t="s">
        <v>148</v>
      </c>
      <c r="I229" t="s">
        <v>148</v>
      </c>
      <c r="J229" t="s">
        <v>148</v>
      </c>
      <c r="K229" t="s">
        <v>148</v>
      </c>
      <c r="L229" t="s">
        <v>148</v>
      </c>
      <c r="M229" t="s">
        <v>2991</v>
      </c>
      <c r="N229" t="s">
        <v>1611</v>
      </c>
      <c r="O229" t="s">
        <v>148</v>
      </c>
      <c r="P229" t="s">
        <v>148</v>
      </c>
      <c r="Q229" t="s">
        <v>148</v>
      </c>
      <c r="R229" t="s">
        <v>148</v>
      </c>
      <c r="S229" t="s">
        <v>1602</v>
      </c>
      <c r="T229" t="s">
        <v>2992</v>
      </c>
      <c r="U229" t="s">
        <v>1604</v>
      </c>
      <c r="V229" t="s">
        <v>148</v>
      </c>
      <c r="W229" t="s">
        <v>148</v>
      </c>
      <c r="X229" t="s">
        <v>2993</v>
      </c>
      <c r="Y229" t="s">
        <v>148</v>
      </c>
      <c r="Z229" t="s">
        <v>148</v>
      </c>
      <c r="AA229" t="s">
        <v>2994</v>
      </c>
      <c r="AB229" t="s">
        <v>1604</v>
      </c>
      <c r="AC229" t="s">
        <v>148</v>
      </c>
      <c r="AD229" t="s">
        <v>148</v>
      </c>
      <c r="AE229" t="s">
        <v>148</v>
      </c>
      <c r="AF229" t="s">
        <v>2995</v>
      </c>
      <c r="AG229" t="s">
        <v>2996</v>
      </c>
      <c r="AH229" t="s">
        <v>2997</v>
      </c>
      <c r="AI229" t="s">
        <v>2998</v>
      </c>
      <c r="AJ229" t="s">
        <v>1771</v>
      </c>
    </row>
    <row r="230" spans="1:36" x14ac:dyDescent="0.2">
      <c r="A230" t="s">
        <v>1067</v>
      </c>
      <c r="B230" t="s">
        <v>1068</v>
      </c>
      <c r="C230" t="s">
        <v>363</v>
      </c>
      <c r="D230" t="s">
        <v>1070</v>
      </c>
      <c r="E230" t="str">
        <f>HYPERLINK("/pdf/2016_10.1145_2995959.2995967_Pragmatic_security__Modelling_it_security_management_responsibilities_for_SME_archetypes.pdf","open")</f>
        <v>open</v>
      </c>
      <c r="F230" t="s">
        <v>1602</v>
      </c>
      <c r="G230" t="s">
        <v>1602</v>
      </c>
      <c r="H230" t="s">
        <v>2999</v>
      </c>
      <c r="I230" t="s">
        <v>148</v>
      </c>
      <c r="J230" t="s">
        <v>148</v>
      </c>
      <c r="K230" t="s">
        <v>148</v>
      </c>
      <c r="L230" t="s">
        <v>148</v>
      </c>
      <c r="M230" t="s">
        <v>148</v>
      </c>
      <c r="N230" t="s">
        <v>148</v>
      </c>
      <c r="O230" t="s">
        <v>148</v>
      </c>
      <c r="P230" t="s">
        <v>148</v>
      </c>
      <c r="Q230" t="s">
        <v>148</v>
      </c>
      <c r="R230" t="s">
        <v>148</v>
      </c>
      <c r="S230" t="s">
        <v>148</v>
      </c>
      <c r="T230" t="s">
        <v>148</v>
      </c>
      <c r="U230" t="s">
        <v>148</v>
      </c>
      <c r="V230" t="s">
        <v>148</v>
      </c>
      <c r="W230" t="s">
        <v>148</v>
      </c>
      <c r="X230" t="s">
        <v>148</v>
      </c>
      <c r="Y230" t="s">
        <v>148</v>
      </c>
      <c r="Z230" t="s">
        <v>148</v>
      </c>
      <c r="AA230" t="s">
        <v>3000</v>
      </c>
      <c r="AB230" t="s">
        <v>1604</v>
      </c>
      <c r="AC230" t="s">
        <v>3001</v>
      </c>
      <c r="AD230" t="s">
        <v>148</v>
      </c>
      <c r="AE230" t="s">
        <v>148</v>
      </c>
      <c r="AF230" t="s">
        <v>3002</v>
      </c>
      <c r="AG230" t="s">
        <v>3003</v>
      </c>
      <c r="AH230" t="s">
        <v>148</v>
      </c>
      <c r="AI230" t="s">
        <v>148</v>
      </c>
      <c r="AJ230" t="s">
        <v>3004</v>
      </c>
    </row>
    <row r="231" spans="1:36" x14ac:dyDescent="0.2">
      <c r="A231" t="s">
        <v>538</v>
      </c>
      <c r="B231" t="s">
        <v>536</v>
      </c>
      <c r="C231" t="s">
        <v>25</v>
      </c>
      <c r="D231" t="s">
        <v>538</v>
      </c>
      <c r="E231" t="str">
        <f>HYPERLINK("/pdf/2023_10_32604_cmes_2023_044169_enhancing_healthcare_data_security_and_disease_detection_using_crossover_based_multilayer.pdf","open")</f>
        <v>open</v>
      </c>
      <c r="F231" t="s">
        <v>1606</v>
      </c>
      <c r="G231" t="s">
        <v>3005</v>
      </c>
      <c r="H231" t="s">
        <v>3006</v>
      </c>
      <c r="I231" t="s">
        <v>148</v>
      </c>
      <c r="J231" t="s">
        <v>1602</v>
      </c>
      <c r="K231" t="s">
        <v>148</v>
      </c>
      <c r="L231" t="s">
        <v>148</v>
      </c>
      <c r="M231" t="s">
        <v>2865</v>
      </c>
      <c r="N231" t="s">
        <v>148</v>
      </c>
      <c r="O231" t="s">
        <v>148</v>
      </c>
      <c r="P231" t="s">
        <v>148</v>
      </c>
      <c r="Q231" t="s">
        <v>148</v>
      </c>
      <c r="R231" t="s">
        <v>148</v>
      </c>
      <c r="S231" t="s">
        <v>1654</v>
      </c>
      <c r="T231" t="s">
        <v>148</v>
      </c>
      <c r="U231" t="s">
        <v>148</v>
      </c>
      <c r="V231" t="s">
        <v>148</v>
      </c>
      <c r="W231" t="s">
        <v>148</v>
      </c>
      <c r="X231" t="s">
        <v>148</v>
      </c>
      <c r="Y231" t="s">
        <v>148</v>
      </c>
      <c r="Z231" t="s">
        <v>148</v>
      </c>
      <c r="AA231" t="s">
        <v>3007</v>
      </c>
      <c r="AB231" t="s">
        <v>1604</v>
      </c>
      <c r="AC231" t="s">
        <v>148</v>
      </c>
      <c r="AD231" t="s">
        <v>148</v>
      </c>
      <c r="AE231" t="s">
        <v>148</v>
      </c>
      <c r="AF231" t="s">
        <v>3008</v>
      </c>
      <c r="AG231" t="s">
        <v>1614</v>
      </c>
      <c r="AH231" t="s">
        <v>3009</v>
      </c>
      <c r="AI231" t="s">
        <v>148</v>
      </c>
      <c r="AJ231" t="s">
        <v>148</v>
      </c>
    </row>
    <row r="232" spans="1:36" x14ac:dyDescent="0.2">
      <c r="A232" t="s">
        <v>1073</v>
      </c>
      <c r="B232" t="s">
        <v>1074</v>
      </c>
      <c r="C232" t="s">
        <v>210</v>
      </c>
      <c r="D232" t="s">
        <v>148</v>
      </c>
      <c r="E232" t="str">
        <f>HYPERLINK("/pdf/2015_10.1109_icscn.2015.7219827_Complex_Event_Processing_based_Hybrid_Intrusion_Detection_System.pdf","open")</f>
        <v>open</v>
      </c>
      <c r="F232" t="s">
        <v>1618</v>
      </c>
      <c r="G232" t="s">
        <v>1607</v>
      </c>
      <c r="H232" t="s">
        <v>3010</v>
      </c>
      <c r="I232" t="s">
        <v>148</v>
      </c>
      <c r="J232" t="s">
        <v>148</v>
      </c>
      <c r="K232" t="s">
        <v>148</v>
      </c>
      <c r="L232" t="s">
        <v>148</v>
      </c>
      <c r="M232" t="s">
        <v>3011</v>
      </c>
      <c r="N232" t="s">
        <v>148</v>
      </c>
      <c r="O232" t="s">
        <v>148</v>
      </c>
      <c r="P232" t="s">
        <v>148</v>
      </c>
      <c r="Q232" t="s">
        <v>148</v>
      </c>
      <c r="R232" t="s">
        <v>148</v>
      </c>
      <c r="S232" t="s">
        <v>148</v>
      </c>
      <c r="T232" t="s">
        <v>148</v>
      </c>
      <c r="U232" t="s">
        <v>148</v>
      </c>
      <c r="V232" t="s">
        <v>148</v>
      </c>
      <c r="W232" t="s">
        <v>148</v>
      </c>
      <c r="X232" t="s">
        <v>148</v>
      </c>
      <c r="Y232" t="s">
        <v>148</v>
      </c>
      <c r="Z232" t="s">
        <v>148</v>
      </c>
      <c r="AA232" t="s">
        <v>3012</v>
      </c>
      <c r="AB232" t="s">
        <v>1604</v>
      </c>
      <c r="AC232" t="s">
        <v>148</v>
      </c>
      <c r="AD232" t="s">
        <v>148</v>
      </c>
      <c r="AE232" t="s">
        <v>148</v>
      </c>
      <c r="AF232" t="s">
        <v>3013</v>
      </c>
      <c r="AG232" t="s">
        <v>2195</v>
      </c>
      <c r="AH232" t="s">
        <v>3014</v>
      </c>
      <c r="AI232" t="s">
        <v>148</v>
      </c>
      <c r="AJ232" t="s">
        <v>148</v>
      </c>
    </row>
    <row r="233" spans="1:36" x14ac:dyDescent="0.2">
      <c r="A233" t="s">
        <v>1077</v>
      </c>
      <c r="B233" t="s">
        <v>1078</v>
      </c>
      <c r="C233" t="s">
        <v>190</v>
      </c>
      <c r="D233" t="s">
        <v>1080</v>
      </c>
      <c r="E233" t="str">
        <f>HYPERLINK("/pdf/2017_10.1007_s11277-017-4229-9_The_Vulnerability_Exploitation_Conveying_Digital_Data_Over_Mobile_Voice_Call_Channels.pdf","open")</f>
        <v>open</v>
      </c>
      <c r="F233" t="s">
        <v>1602</v>
      </c>
      <c r="G233" t="s">
        <v>1691</v>
      </c>
      <c r="H233" t="s">
        <v>3015</v>
      </c>
      <c r="I233" t="s">
        <v>148</v>
      </c>
      <c r="J233" t="s">
        <v>148</v>
      </c>
      <c r="K233" t="s">
        <v>148</v>
      </c>
      <c r="L233" t="s">
        <v>148</v>
      </c>
      <c r="M233" t="s">
        <v>148</v>
      </c>
      <c r="N233" t="s">
        <v>148</v>
      </c>
      <c r="O233" t="s">
        <v>148</v>
      </c>
      <c r="P233" t="s">
        <v>148</v>
      </c>
      <c r="Q233" t="s">
        <v>148</v>
      </c>
      <c r="R233" t="s">
        <v>148</v>
      </c>
      <c r="S233" t="s">
        <v>148</v>
      </c>
      <c r="T233" t="s">
        <v>148</v>
      </c>
      <c r="U233" t="s">
        <v>148</v>
      </c>
      <c r="V233" t="s">
        <v>148</v>
      </c>
      <c r="W233" t="s">
        <v>148</v>
      </c>
      <c r="X233" t="s">
        <v>148</v>
      </c>
      <c r="Y233" t="s">
        <v>148</v>
      </c>
      <c r="Z233" t="s">
        <v>148</v>
      </c>
      <c r="AA233" t="s">
        <v>148</v>
      </c>
      <c r="AB233" t="s">
        <v>148</v>
      </c>
      <c r="AC233" t="s">
        <v>148</v>
      </c>
      <c r="AD233" t="s">
        <v>148</v>
      </c>
      <c r="AE233" t="s">
        <v>148</v>
      </c>
      <c r="AF233" t="s">
        <v>3016</v>
      </c>
      <c r="AG233" t="s">
        <v>3017</v>
      </c>
      <c r="AH233" t="s">
        <v>148</v>
      </c>
      <c r="AI233" t="s">
        <v>148</v>
      </c>
      <c r="AJ233" t="s">
        <v>148</v>
      </c>
    </row>
    <row r="234" spans="1:36" x14ac:dyDescent="0.2">
      <c r="A234" t="s">
        <v>1082</v>
      </c>
      <c r="B234" t="s">
        <v>1083</v>
      </c>
      <c r="C234" t="s">
        <v>25</v>
      </c>
      <c r="D234" t="s">
        <v>1085</v>
      </c>
      <c r="E234" t="str">
        <f>HYPERLINK("/pdf/2023_10.1109_comsci59259.2023.10315901_Zero-Trust_in_Instant_Messaging.pdf","open")</f>
        <v>open</v>
      </c>
      <c r="F234" t="s">
        <v>1602</v>
      </c>
      <c r="G234" t="s">
        <v>1602</v>
      </c>
      <c r="H234" t="s">
        <v>3018</v>
      </c>
      <c r="I234" t="s">
        <v>148</v>
      </c>
      <c r="J234" t="s">
        <v>148</v>
      </c>
      <c r="K234" t="s">
        <v>148</v>
      </c>
      <c r="L234" t="s">
        <v>148</v>
      </c>
      <c r="M234" t="s">
        <v>148</v>
      </c>
      <c r="N234" t="s">
        <v>148</v>
      </c>
      <c r="O234" t="s">
        <v>148</v>
      </c>
      <c r="P234" t="s">
        <v>148</v>
      </c>
      <c r="Q234" t="s">
        <v>148</v>
      </c>
      <c r="R234" t="s">
        <v>148</v>
      </c>
      <c r="S234" t="s">
        <v>148</v>
      </c>
      <c r="T234" t="s">
        <v>148</v>
      </c>
      <c r="U234" t="s">
        <v>148</v>
      </c>
      <c r="V234" t="s">
        <v>148</v>
      </c>
      <c r="W234" t="s">
        <v>148</v>
      </c>
      <c r="X234" t="s">
        <v>148</v>
      </c>
      <c r="Y234" t="s">
        <v>148</v>
      </c>
      <c r="Z234" t="s">
        <v>148</v>
      </c>
      <c r="AA234" t="s">
        <v>148</v>
      </c>
      <c r="AB234" t="s">
        <v>148</v>
      </c>
      <c r="AC234" t="s">
        <v>148</v>
      </c>
      <c r="AD234" t="s">
        <v>148</v>
      </c>
      <c r="AE234" t="s">
        <v>148</v>
      </c>
      <c r="AF234" t="s">
        <v>148</v>
      </c>
      <c r="AG234" t="s">
        <v>148</v>
      </c>
      <c r="AH234" t="s">
        <v>148</v>
      </c>
      <c r="AI234" t="s">
        <v>148</v>
      </c>
      <c r="AJ234" t="s">
        <v>148</v>
      </c>
    </row>
    <row r="235" spans="1:36" x14ac:dyDescent="0.2">
      <c r="A235" t="s">
        <v>1087</v>
      </c>
      <c r="B235" t="s">
        <v>1088</v>
      </c>
      <c r="C235" t="s">
        <v>19</v>
      </c>
      <c r="D235" t="s">
        <v>1087</v>
      </c>
      <c r="E235" t="str">
        <f>HYPERLINK("/pdf/2025_10_11591_ijai_v14_i6_pp4913_4922_comparative_evaluation_of_machine_learning_models_for_intrusion_detection_in_wsns_using_th.pdf","open")</f>
        <v>open</v>
      </c>
      <c r="F235" t="s">
        <v>1606</v>
      </c>
      <c r="G235" t="s">
        <v>1607</v>
      </c>
      <c r="H235" t="s">
        <v>3019</v>
      </c>
      <c r="I235" t="s">
        <v>148</v>
      </c>
      <c r="J235" t="s">
        <v>148</v>
      </c>
      <c r="K235" t="s">
        <v>148</v>
      </c>
      <c r="L235" t="s">
        <v>148</v>
      </c>
      <c r="M235" t="s">
        <v>1636</v>
      </c>
      <c r="N235" t="s">
        <v>148</v>
      </c>
      <c r="O235" t="s">
        <v>1604</v>
      </c>
      <c r="P235" t="s">
        <v>3020</v>
      </c>
      <c r="Q235" t="s">
        <v>3021</v>
      </c>
      <c r="R235" t="s">
        <v>3022</v>
      </c>
      <c r="S235" t="s">
        <v>1654</v>
      </c>
      <c r="T235" t="s">
        <v>3023</v>
      </c>
      <c r="U235" t="s">
        <v>148</v>
      </c>
      <c r="V235" t="s">
        <v>148</v>
      </c>
      <c r="W235" t="s">
        <v>148</v>
      </c>
      <c r="X235" t="s">
        <v>2244</v>
      </c>
      <c r="Y235" t="s">
        <v>148</v>
      </c>
      <c r="Z235" t="s">
        <v>148</v>
      </c>
      <c r="AA235" t="s">
        <v>3024</v>
      </c>
      <c r="AB235" t="s">
        <v>148</v>
      </c>
      <c r="AC235" t="s">
        <v>148</v>
      </c>
      <c r="AD235" t="s">
        <v>148</v>
      </c>
      <c r="AE235" t="s">
        <v>148</v>
      </c>
      <c r="AF235" t="s">
        <v>3025</v>
      </c>
      <c r="AG235" t="s">
        <v>1629</v>
      </c>
      <c r="AH235" t="s">
        <v>3026</v>
      </c>
      <c r="AI235" t="s">
        <v>3027</v>
      </c>
      <c r="AJ235" t="s">
        <v>3028</v>
      </c>
    </row>
    <row r="236" spans="1:36" x14ac:dyDescent="0.2">
      <c r="A236" t="s">
        <v>1091</v>
      </c>
      <c r="B236" t="s">
        <v>1092</v>
      </c>
      <c r="C236" t="s">
        <v>60</v>
      </c>
      <c r="D236" t="s">
        <v>1094</v>
      </c>
      <c r="E236" t="str">
        <f>HYPERLINK("/pdf/2025_10.1108_ics-03-2024-0059_Data_breach_announcements__evaluating_the_content_and_timing_of_breach_announcements_and_their_effect_on_firm_.pdf","open")</f>
        <v>open</v>
      </c>
      <c r="F236" t="s">
        <v>1602</v>
      </c>
      <c r="G236" t="s">
        <v>1602</v>
      </c>
      <c r="H236" t="s">
        <v>3029</v>
      </c>
      <c r="I236" t="s">
        <v>148</v>
      </c>
      <c r="J236" t="s">
        <v>148</v>
      </c>
      <c r="K236" t="s">
        <v>148</v>
      </c>
      <c r="L236" t="s">
        <v>148</v>
      </c>
      <c r="M236" t="s">
        <v>148</v>
      </c>
      <c r="N236" t="s">
        <v>148</v>
      </c>
      <c r="O236" t="s">
        <v>148</v>
      </c>
      <c r="P236" t="s">
        <v>148</v>
      </c>
      <c r="Q236" t="s">
        <v>148</v>
      </c>
      <c r="R236" t="s">
        <v>148</v>
      </c>
      <c r="S236" t="s">
        <v>148</v>
      </c>
      <c r="T236" t="s">
        <v>148</v>
      </c>
      <c r="U236" t="s">
        <v>148</v>
      </c>
      <c r="V236" t="s">
        <v>148</v>
      </c>
      <c r="W236" t="s">
        <v>3030</v>
      </c>
      <c r="X236" t="s">
        <v>148</v>
      </c>
      <c r="Y236" t="s">
        <v>148</v>
      </c>
      <c r="Z236" t="s">
        <v>148</v>
      </c>
      <c r="AA236" t="s">
        <v>3031</v>
      </c>
      <c r="AB236" t="s">
        <v>148</v>
      </c>
      <c r="AC236" t="s">
        <v>148</v>
      </c>
      <c r="AD236" t="s">
        <v>148</v>
      </c>
      <c r="AE236" t="s">
        <v>3032</v>
      </c>
      <c r="AF236" t="s">
        <v>3033</v>
      </c>
      <c r="AG236" t="s">
        <v>3034</v>
      </c>
      <c r="AH236" t="s">
        <v>3035</v>
      </c>
      <c r="AI236" t="s">
        <v>148</v>
      </c>
      <c r="AJ236" t="s">
        <v>3036</v>
      </c>
    </row>
    <row r="237" spans="1:36" x14ac:dyDescent="0.2">
      <c r="A237" t="s">
        <v>1096</v>
      </c>
      <c r="B237" t="s">
        <v>1097</v>
      </c>
      <c r="C237" t="s">
        <v>48</v>
      </c>
      <c r="D237" t="s">
        <v>1099</v>
      </c>
      <c r="E237" t="str">
        <f>HYPERLINK("/pdf/2026_10.1007_s12243-026-01154-z_Intrusion_detection_in_CAN_protocol_using_novel_spatial-temporal_deep_learning_model_for_secure_autonomous_veh.pdf","open")</f>
        <v>open</v>
      </c>
      <c r="F237" t="s">
        <v>1633</v>
      </c>
      <c r="G237" t="s">
        <v>1607</v>
      </c>
      <c r="H237" t="s">
        <v>3037</v>
      </c>
      <c r="I237" t="s">
        <v>148</v>
      </c>
      <c r="J237" t="s">
        <v>1602</v>
      </c>
      <c r="K237" t="s">
        <v>148</v>
      </c>
      <c r="L237" t="s">
        <v>148</v>
      </c>
      <c r="M237" t="s">
        <v>3038</v>
      </c>
      <c r="N237" t="s">
        <v>1611</v>
      </c>
      <c r="O237" t="s">
        <v>1604</v>
      </c>
      <c r="P237" t="s">
        <v>3039</v>
      </c>
      <c r="Q237" t="s">
        <v>3040</v>
      </c>
      <c r="R237" t="s">
        <v>3041</v>
      </c>
      <c r="S237" t="s">
        <v>1602</v>
      </c>
      <c r="T237" t="s">
        <v>3042</v>
      </c>
      <c r="U237" t="s">
        <v>1604</v>
      </c>
      <c r="V237" t="s">
        <v>1604</v>
      </c>
      <c r="W237" t="s">
        <v>148</v>
      </c>
      <c r="X237" t="s">
        <v>3043</v>
      </c>
      <c r="Y237" t="s">
        <v>148</v>
      </c>
      <c r="Z237" t="s">
        <v>148</v>
      </c>
      <c r="AA237" t="s">
        <v>3044</v>
      </c>
      <c r="AB237" t="s">
        <v>1604</v>
      </c>
      <c r="AC237" t="s">
        <v>3045</v>
      </c>
      <c r="AD237" t="s">
        <v>148</v>
      </c>
      <c r="AE237" t="s">
        <v>148</v>
      </c>
      <c r="AF237" t="s">
        <v>3046</v>
      </c>
      <c r="AG237" t="s">
        <v>1629</v>
      </c>
      <c r="AH237" t="s">
        <v>3047</v>
      </c>
      <c r="AI237" t="s">
        <v>3048</v>
      </c>
      <c r="AJ237" t="s">
        <v>3049</v>
      </c>
    </row>
    <row r="238" spans="1:36" x14ac:dyDescent="0.2">
      <c r="A238" t="s">
        <v>1101</v>
      </c>
      <c r="B238" t="s">
        <v>1102</v>
      </c>
      <c r="C238" t="s">
        <v>12</v>
      </c>
      <c r="D238" t="s">
        <v>148</v>
      </c>
      <c r="E238" t="str">
        <f>HYPERLINK("/pdf/2018_Propagation_misclassified_instances_to_handle_nonstationary_imbalanced_data_stream.pdf","open")</f>
        <v>open</v>
      </c>
      <c r="F238" t="s">
        <v>1606</v>
      </c>
      <c r="G238" t="s">
        <v>1602</v>
      </c>
      <c r="H238" t="s">
        <v>148</v>
      </c>
      <c r="I238" t="s">
        <v>148</v>
      </c>
      <c r="J238" t="s">
        <v>148</v>
      </c>
      <c r="K238" t="s">
        <v>148</v>
      </c>
      <c r="L238" t="s">
        <v>148</v>
      </c>
      <c r="M238" t="s">
        <v>3050</v>
      </c>
      <c r="N238" t="s">
        <v>3051</v>
      </c>
      <c r="O238" t="s">
        <v>148</v>
      </c>
      <c r="P238" t="s">
        <v>3052</v>
      </c>
      <c r="Q238" t="s">
        <v>148</v>
      </c>
      <c r="R238" t="s">
        <v>148</v>
      </c>
      <c r="S238" t="s">
        <v>1624</v>
      </c>
      <c r="T238" t="s">
        <v>3053</v>
      </c>
      <c r="U238" t="s">
        <v>1604</v>
      </c>
      <c r="V238" t="s">
        <v>148</v>
      </c>
      <c r="W238" t="s">
        <v>148</v>
      </c>
      <c r="X238" t="s">
        <v>3054</v>
      </c>
      <c r="Y238" t="s">
        <v>148</v>
      </c>
      <c r="Z238" t="s">
        <v>3055</v>
      </c>
      <c r="AA238" t="s">
        <v>3056</v>
      </c>
      <c r="AB238" t="s">
        <v>1604</v>
      </c>
      <c r="AC238" t="s">
        <v>148</v>
      </c>
      <c r="AD238" t="s">
        <v>148</v>
      </c>
      <c r="AE238" t="s">
        <v>148</v>
      </c>
      <c r="AF238" t="s">
        <v>3057</v>
      </c>
      <c r="AG238" t="s">
        <v>2996</v>
      </c>
      <c r="AH238" t="s">
        <v>3058</v>
      </c>
      <c r="AI238" t="s">
        <v>148</v>
      </c>
      <c r="AJ238" t="s">
        <v>148</v>
      </c>
    </row>
    <row r="239" spans="1:36" x14ac:dyDescent="0.2">
      <c r="A239" t="s">
        <v>1105</v>
      </c>
      <c r="B239" t="s">
        <v>1106</v>
      </c>
      <c r="C239" t="s">
        <v>363</v>
      </c>
      <c r="D239" t="s">
        <v>148</v>
      </c>
      <c r="E239" t="str">
        <f>HYPERLINK("/pdf/2016_10.1109_uemcon.2016.7777821_A_hybrid_analysis_for_mobile_security_threat_detection.pdf","open")</f>
        <v>open</v>
      </c>
      <c r="F239" t="s">
        <v>1602</v>
      </c>
      <c r="G239" t="s">
        <v>1651</v>
      </c>
      <c r="H239" t="s">
        <v>3059</v>
      </c>
      <c r="I239" t="s">
        <v>3060</v>
      </c>
      <c r="J239" t="s">
        <v>3061</v>
      </c>
      <c r="K239" t="s">
        <v>1664</v>
      </c>
      <c r="L239" t="s">
        <v>148</v>
      </c>
      <c r="M239" t="s">
        <v>148</v>
      </c>
      <c r="N239" t="s">
        <v>148</v>
      </c>
      <c r="O239" t="s">
        <v>148</v>
      </c>
      <c r="P239" t="s">
        <v>148</v>
      </c>
      <c r="Q239" t="s">
        <v>148</v>
      </c>
      <c r="R239" t="s">
        <v>148</v>
      </c>
      <c r="S239" t="s">
        <v>148</v>
      </c>
      <c r="T239" t="s">
        <v>148</v>
      </c>
      <c r="U239" t="s">
        <v>148</v>
      </c>
      <c r="V239" t="s">
        <v>148</v>
      </c>
      <c r="W239" t="s">
        <v>148</v>
      </c>
      <c r="X239" t="s">
        <v>148</v>
      </c>
      <c r="Y239" t="s">
        <v>148</v>
      </c>
      <c r="Z239" t="s">
        <v>148</v>
      </c>
      <c r="AA239" t="s">
        <v>148</v>
      </c>
      <c r="AB239" t="s">
        <v>148</v>
      </c>
      <c r="AC239" t="s">
        <v>148</v>
      </c>
      <c r="AD239" t="s">
        <v>148</v>
      </c>
      <c r="AE239" t="s">
        <v>148</v>
      </c>
      <c r="AF239" t="s">
        <v>148</v>
      </c>
      <c r="AG239" t="s">
        <v>148</v>
      </c>
      <c r="AH239" t="s">
        <v>148</v>
      </c>
      <c r="AI239" t="s">
        <v>148</v>
      </c>
      <c r="AJ239" t="s">
        <v>148</v>
      </c>
    </row>
    <row r="240" spans="1:36" x14ac:dyDescent="0.2">
      <c r="A240" t="s">
        <v>1108</v>
      </c>
      <c r="B240" t="s">
        <v>1109</v>
      </c>
      <c r="C240" t="s">
        <v>190</v>
      </c>
      <c r="D240" t="s">
        <v>1108</v>
      </c>
      <c r="E240" t="str">
        <f>HYPERLINK("/pdf/2017_10.1155_2017_7397812_Selecting_Critical_Data_Flows_in_Android_Applications_for_Abnormal_Behavior_Detection.pdf","open")</f>
        <v>open</v>
      </c>
      <c r="F240" t="s">
        <v>1618</v>
      </c>
      <c r="G240" t="s">
        <v>1651</v>
      </c>
      <c r="H240" t="s">
        <v>3062</v>
      </c>
      <c r="I240" t="s">
        <v>3063</v>
      </c>
      <c r="J240" t="s">
        <v>1602</v>
      </c>
      <c r="K240" t="s">
        <v>1653</v>
      </c>
      <c r="L240" t="s">
        <v>148</v>
      </c>
      <c r="M240" t="s">
        <v>3064</v>
      </c>
      <c r="N240" t="s">
        <v>3051</v>
      </c>
      <c r="O240" t="s">
        <v>148</v>
      </c>
      <c r="P240" t="s">
        <v>148</v>
      </c>
      <c r="Q240" t="s">
        <v>148</v>
      </c>
      <c r="R240" t="s">
        <v>148</v>
      </c>
      <c r="S240" t="s">
        <v>1654</v>
      </c>
      <c r="T240" t="s">
        <v>3065</v>
      </c>
      <c r="U240" t="s">
        <v>148</v>
      </c>
      <c r="V240" t="s">
        <v>148</v>
      </c>
      <c r="W240" t="s">
        <v>148</v>
      </c>
      <c r="X240" t="s">
        <v>1655</v>
      </c>
      <c r="Y240" t="s">
        <v>148</v>
      </c>
      <c r="Z240" t="s">
        <v>148</v>
      </c>
      <c r="AA240" t="s">
        <v>3066</v>
      </c>
      <c r="AB240" t="s">
        <v>1604</v>
      </c>
      <c r="AC240" t="s">
        <v>148</v>
      </c>
      <c r="AD240" t="s">
        <v>1604</v>
      </c>
      <c r="AE240" t="s">
        <v>3067</v>
      </c>
      <c r="AF240" t="s">
        <v>3068</v>
      </c>
      <c r="AG240" t="s">
        <v>2996</v>
      </c>
      <c r="AH240" t="s">
        <v>3069</v>
      </c>
      <c r="AI240" t="s">
        <v>957</v>
      </c>
      <c r="AJ240" t="s">
        <v>3070</v>
      </c>
    </row>
    <row r="241" spans="1:36" x14ac:dyDescent="0.2">
      <c r="A241" t="s">
        <v>1112</v>
      </c>
      <c r="B241" t="s">
        <v>1113</v>
      </c>
      <c r="C241" t="s">
        <v>100</v>
      </c>
      <c r="D241" t="s">
        <v>1115</v>
      </c>
      <c r="E241" t="str">
        <f>HYPERLINK("/pdf/2022_10.1109_iccwamtip56608.2022.10016605_A_Novel_and_Efficient_Sequential_Learning-Based_Malware_Classification_Model.pdf","open")</f>
        <v>open</v>
      </c>
      <c r="F241" t="s">
        <v>1633</v>
      </c>
      <c r="G241" t="s">
        <v>1651</v>
      </c>
      <c r="H241" t="s">
        <v>3071</v>
      </c>
      <c r="I241" t="s">
        <v>148</v>
      </c>
      <c r="J241" t="s">
        <v>1602</v>
      </c>
      <c r="K241" t="s">
        <v>148</v>
      </c>
      <c r="L241" t="s">
        <v>148</v>
      </c>
      <c r="M241" t="s">
        <v>1636</v>
      </c>
      <c r="N241" t="s">
        <v>1611</v>
      </c>
      <c r="O241" t="s">
        <v>148</v>
      </c>
      <c r="P241" t="s">
        <v>3072</v>
      </c>
      <c r="Q241" t="s">
        <v>148</v>
      </c>
      <c r="R241" t="s">
        <v>3073</v>
      </c>
      <c r="S241" t="s">
        <v>1655</v>
      </c>
      <c r="T241" t="s">
        <v>1750</v>
      </c>
      <c r="U241" t="s">
        <v>1609</v>
      </c>
      <c r="V241" t="s">
        <v>148</v>
      </c>
      <c r="W241" t="s">
        <v>1604</v>
      </c>
      <c r="X241" t="s">
        <v>148</v>
      </c>
      <c r="Y241" t="s">
        <v>148</v>
      </c>
      <c r="Z241" t="s">
        <v>148</v>
      </c>
      <c r="AA241" t="s">
        <v>3074</v>
      </c>
      <c r="AB241" t="s">
        <v>1604</v>
      </c>
      <c r="AC241" t="s">
        <v>148</v>
      </c>
      <c r="AD241" t="s">
        <v>148</v>
      </c>
      <c r="AE241" t="s">
        <v>148</v>
      </c>
      <c r="AF241" t="s">
        <v>3075</v>
      </c>
      <c r="AG241" t="s">
        <v>2715</v>
      </c>
      <c r="AH241" t="s">
        <v>3076</v>
      </c>
      <c r="AI241" t="s">
        <v>2816</v>
      </c>
      <c r="AJ241" t="s">
        <v>3077</v>
      </c>
    </row>
    <row r="242" spans="1:36" x14ac:dyDescent="0.2">
      <c r="A242" t="s">
        <v>1117</v>
      </c>
      <c r="B242" t="s">
        <v>1118</v>
      </c>
      <c r="C242" t="s">
        <v>48</v>
      </c>
      <c r="D242" t="s">
        <v>1120</v>
      </c>
      <c r="E242" t="str">
        <f>HYPERLINK("/pdf/2026_10_30598_barekengvol20iss2pp1675_1692_a_comparative_study_of_pipeline_validated_machine_learning_classifiers_for_permission_base.pdf","open")</f>
        <v>open</v>
      </c>
      <c r="F242" t="s">
        <v>1606</v>
      </c>
      <c r="G242" t="s">
        <v>1651</v>
      </c>
      <c r="H242" t="s">
        <v>3078</v>
      </c>
      <c r="I242" t="s">
        <v>1609</v>
      </c>
      <c r="J242" t="s">
        <v>148</v>
      </c>
      <c r="K242" t="s">
        <v>148</v>
      </c>
      <c r="L242" t="s">
        <v>148</v>
      </c>
      <c r="M242" t="s">
        <v>2843</v>
      </c>
      <c r="N242" t="s">
        <v>1611</v>
      </c>
      <c r="O242" t="s">
        <v>1604</v>
      </c>
      <c r="P242" t="s">
        <v>3079</v>
      </c>
      <c r="Q242" t="s">
        <v>3080</v>
      </c>
      <c r="R242" t="s">
        <v>3081</v>
      </c>
      <c r="S242" t="s">
        <v>1654</v>
      </c>
      <c r="T242" t="s">
        <v>3082</v>
      </c>
      <c r="U242" t="s">
        <v>148</v>
      </c>
      <c r="V242" t="s">
        <v>148</v>
      </c>
      <c r="W242" t="s">
        <v>1604</v>
      </c>
      <c r="X242" t="s">
        <v>2371</v>
      </c>
      <c r="Y242" t="s">
        <v>148</v>
      </c>
      <c r="Z242" t="s">
        <v>148</v>
      </c>
      <c r="AA242" t="s">
        <v>3083</v>
      </c>
      <c r="AB242" t="s">
        <v>1604</v>
      </c>
      <c r="AC242" t="s">
        <v>3084</v>
      </c>
      <c r="AD242" t="s">
        <v>148</v>
      </c>
      <c r="AE242" t="s">
        <v>148</v>
      </c>
      <c r="AF242" t="s">
        <v>3085</v>
      </c>
      <c r="AG242" t="s">
        <v>2229</v>
      </c>
      <c r="AH242" t="s">
        <v>3086</v>
      </c>
      <c r="AI242" t="s">
        <v>3087</v>
      </c>
      <c r="AJ242" t="s">
        <v>3088</v>
      </c>
    </row>
    <row r="243" spans="1:36" x14ac:dyDescent="0.2">
      <c r="A243" t="s">
        <v>1122</v>
      </c>
      <c r="B243" t="s">
        <v>1123</v>
      </c>
      <c r="C243" t="s">
        <v>19</v>
      </c>
      <c r="D243" t="s">
        <v>148</v>
      </c>
      <c r="E243" t="str">
        <f>HYPERLINK("/pdf/2025_10_34190_eccws_24_1_3542_cybersecurity_challenges_and_mitigations_for_llms_in_dod_applications.pdf","open")</f>
        <v>open</v>
      </c>
      <c r="F243" t="s">
        <v>1602</v>
      </c>
      <c r="G243" t="s">
        <v>1602</v>
      </c>
      <c r="H243" t="s">
        <v>3089</v>
      </c>
      <c r="I243" t="s">
        <v>148</v>
      </c>
      <c r="J243" t="s">
        <v>148</v>
      </c>
      <c r="K243" t="s">
        <v>148</v>
      </c>
      <c r="L243" t="s">
        <v>148</v>
      </c>
      <c r="M243" t="s">
        <v>148</v>
      </c>
      <c r="N243" t="s">
        <v>148</v>
      </c>
      <c r="O243" t="s">
        <v>148</v>
      </c>
      <c r="P243" t="s">
        <v>148</v>
      </c>
      <c r="Q243" t="s">
        <v>148</v>
      </c>
      <c r="R243" t="s">
        <v>148</v>
      </c>
      <c r="S243" t="s">
        <v>148</v>
      </c>
      <c r="T243" t="s">
        <v>148</v>
      </c>
      <c r="U243" t="s">
        <v>148</v>
      </c>
      <c r="V243" t="s">
        <v>148</v>
      </c>
      <c r="W243" t="s">
        <v>148</v>
      </c>
      <c r="X243" t="s">
        <v>148</v>
      </c>
      <c r="Y243" t="s">
        <v>148</v>
      </c>
      <c r="Z243" t="s">
        <v>148</v>
      </c>
      <c r="AA243" t="s">
        <v>148</v>
      </c>
      <c r="AB243" t="s">
        <v>148</v>
      </c>
      <c r="AC243" t="s">
        <v>148</v>
      </c>
      <c r="AD243" t="s">
        <v>148</v>
      </c>
      <c r="AE243" t="s">
        <v>148</v>
      </c>
      <c r="AF243" t="s">
        <v>148</v>
      </c>
      <c r="AG243" t="s">
        <v>148</v>
      </c>
      <c r="AH243" t="s">
        <v>148</v>
      </c>
      <c r="AI243" t="s">
        <v>148</v>
      </c>
      <c r="AJ243" t="s">
        <v>148</v>
      </c>
    </row>
    <row r="244" spans="1:36" x14ac:dyDescent="0.2">
      <c r="A244" t="s">
        <v>1126</v>
      </c>
      <c r="B244" t="s">
        <v>1127</v>
      </c>
      <c r="C244" t="s">
        <v>25</v>
      </c>
      <c r="D244" t="s">
        <v>1128</v>
      </c>
      <c r="E244" t="str">
        <f>HYPERLINK("/pdf/2023_10_1007_978_3_031_33488_7_20_efficient_network_representation_for_gnn_based_intrusion_detection.pdf","open")</f>
        <v>open</v>
      </c>
      <c r="F244" t="s">
        <v>2071</v>
      </c>
      <c r="G244" t="s">
        <v>1607</v>
      </c>
      <c r="H244" t="s">
        <v>3090</v>
      </c>
      <c r="I244" t="s">
        <v>3091</v>
      </c>
      <c r="J244" t="s">
        <v>1733</v>
      </c>
      <c r="K244" t="s">
        <v>1653</v>
      </c>
      <c r="L244" t="s">
        <v>1609</v>
      </c>
      <c r="M244" t="s">
        <v>3092</v>
      </c>
      <c r="N244" t="s">
        <v>1611</v>
      </c>
      <c r="O244" t="s">
        <v>1604</v>
      </c>
      <c r="P244" t="s">
        <v>3093</v>
      </c>
      <c r="Q244" t="s">
        <v>3094</v>
      </c>
      <c r="R244" t="s">
        <v>3095</v>
      </c>
      <c r="S244" t="s">
        <v>3096</v>
      </c>
      <c r="T244" t="s">
        <v>3097</v>
      </c>
      <c r="U244" t="s">
        <v>148</v>
      </c>
      <c r="V244" t="s">
        <v>1604</v>
      </c>
      <c r="W244" t="s">
        <v>3098</v>
      </c>
      <c r="X244" t="s">
        <v>3099</v>
      </c>
      <c r="Y244" t="s">
        <v>148</v>
      </c>
      <c r="Z244" t="s">
        <v>148</v>
      </c>
      <c r="AA244" t="s">
        <v>3100</v>
      </c>
      <c r="AB244" t="s">
        <v>1604</v>
      </c>
      <c r="AC244" t="s">
        <v>148</v>
      </c>
      <c r="AD244" t="s">
        <v>148</v>
      </c>
      <c r="AE244" t="s">
        <v>148</v>
      </c>
      <c r="AF244" t="s">
        <v>3101</v>
      </c>
      <c r="AG244" t="s">
        <v>1629</v>
      </c>
      <c r="AH244" t="s">
        <v>3102</v>
      </c>
      <c r="AI244" t="s">
        <v>3103</v>
      </c>
      <c r="AJ244" t="s">
        <v>3104</v>
      </c>
    </row>
    <row r="245" spans="1:36" x14ac:dyDescent="0.2">
      <c r="A245" t="s">
        <v>1130</v>
      </c>
      <c r="B245" t="s">
        <v>710</v>
      </c>
      <c r="C245" t="s">
        <v>19</v>
      </c>
      <c r="D245" t="s">
        <v>711</v>
      </c>
      <c r="E245" t="str">
        <f>HYPERLINK("/pdf/2025_10_1038_s41598_025_17799_0_multi_resolution_transfer_learning_for_tampered_image_classification_using_se_enhanced_fus.pdf","open")</f>
        <v>open</v>
      </c>
      <c r="F245" t="s">
        <v>1606</v>
      </c>
      <c r="G245" t="s">
        <v>1602</v>
      </c>
      <c r="H245" t="s">
        <v>3105</v>
      </c>
      <c r="I245" t="s">
        <v>148</v>
      </c>
      <c r="J245" t="s">
        <v>1602</v>
      </c>
      <c r="K245" t="s">
        <v>1653</v>
      </c>
      <c r="L245" t="s">
        <v>148</v>
      </c>
      <c r="M245" t="s">
        <v>3106</v>
      </c>
      <c r="N245" t="s">
        <v>1611</v>
      </c>
      <c r="O245" t="s">
        <v>148</v>
      </c>
      <c r="P245" t="s">
        <v>148</v>
      </c>
      <c r="Q245" t="s">
        <v>148</v>
      </c>
      <c r="R245" t="s">
        <v>148</v>
      </c>
      <c r="S245" t="s">
        <v>1655</v>
      </c>
      <c r="T245" t="s">
        <v>3107</v>
      </c>
      <c r="U245" t="s">
        <v>1609</v>
      </c>
      <c r="V245" t="s">
        <v>1609</v>
      </c>
      <c r="W245" t="s">
        <v>148</v>
      </c>
      <c r="X245" t="s">
        <v>3108</v>
      </c>
      <c r="Y245" t="s">
        <v>148</v>
      </c>
      <c r="Z245" t="s">
        <v>148</v>
      </c>
      <c r="AA245" t="s">
        <v>3109</v>
      </c>
      <c r="AB245" t="s">
        <v>1604</v>
      </c>
      <c r="AC245" t="s">
        <v>148</v>
      </c>
      <c r="AD245" t="s">
        <v>148</v>
      </c>
      <c r="AE245" t="s">
        <v>148</v>
      </c>
      <c r="AF245" t="s">
        <v>3110</v>
      </c>
      <c r="AG245" t="s">
        <v>1834</v>
      </c>
      <c r="AH245" t="s">
        <v>3111</v>
      </c>
      <c r="AI245" t="s">
        <v>3112</v>
      </c>
      <c r="AJ245" t="s">
        <v>3113</v>
      </c>
    </row>
    <row r="246" spans="1:36" x14ac:dyDescent="0.2">
      <c r="A246" t="s">
        <v>1132</v>
      </c>
      <c r="B246" t="s">
        <v>1133</v>
      </c>
      <c r="C246" t="s">
        <v>363</v>
      </c>
      <c r="D246" t="s">
        <v>1135</v>
      </c>
      <c r="E246" t="str">
        <f>HYPERLINK("/pdf/2016_10.1016_j.infsof.2016.03.004_Effective_detection_of_android_malware_based_on_the_usage_of_data_flow_APIs_and_machine_learning.pdf","open")</f>
        <v>open</v>
      </c>
      <c r="F246" t="s">
        <v>1606</v>
      </c>
      <c r="G246" t="s">
        <v>1651</v>
      </c>
      <c r="H246" t="s">
        <v>3114</v>
      </c>
      <c r="I246" t="s">
        <v>3115</v>
      </c>
      <c r="J246" t="s">
        <v>3061</v>
      </c>
      <c r="K246" t="s">
        <v>1653</v>
      </c>
      <c r="L246" t="s">
        <v>148</v>
      </c>
      <c r="M246" t="s">
        <v>2865</v>
      </c>
      <c r="N246" t="s">
        <v>148</v>
      </c>
      <c r="O246" t="s">
        <v>148</v>
      </c>
      <c r="P246" t="s">
        <v>1694</v>
      </c>
      <c r="Q246" t="s">
        <v>148</v>
      </c>
      <c r="R246" t="s">
        <v>148</v>
      </c>
      <c r="S246" t="s">
        <v>1654</v>
      </c>
      <c r="T246" t="s">
        <v>3116</v>
      </c>
      <c r="U246" t="s">
        <v>148</v>
      </c>
      <c r="V246" t="s">
        <v>148</v>
      </c>
      <c r="W246" t="s">
        <v>148</v>
      </c>
      <c r="X246" t="s">
        <v>1655</v>
      </c>
      <c r="Y246" t="s">
        <v>148</v>
      </c>
      <c r="Z246" t="s">
        <v>148</v>
      </c>
      <c r="AA246" t="s">
        <v>3117</v>
      </c>
      <c r="AB246" t="s">
        <v>1604</v>
      </c>
      <c r="AC246" t="s">
        <v>3118</v>
      </c>
      <c r="AD246" t="s">
        <v>148</v>
      </c>
      <c r="AE246" t="s">
        <v>148</v>
      </c>
      <c r="AF246" t="s">
        <v>3119</v>
      </c>
      <c r="AG246" t="s">
        <v>3120</v>
      </c>
      <c r="AH246" t="s">
        <v>3121</v>
      </c>
      <c r="AI246" t="s">
        <v>2816</v>
      </c>
      <c r="AJ246" t="s">
        <v>3122</v>
      </c>
    </row>
    <row r="247" spans="1:36" x14ac:dyDescent="0.2">
      <c r="A247" t="s">
        <v>1137</v>
      </c>
      <c r="B247" t="s">
        <v>1138</v>
      </c>
      <c r="C247" t="s">
        <v>25</v>
      </c>
      <c r="D247" t="s">
        <v>1140</v>
      </c>
      <c r="E247" t="str">
        <f>HYPERLINK("/pdf/2023_10.1109_iceei59426.2023.10346644_Managing_Security_Hazards_in_BYOD__A_Comparative_Analysis_of_Artificial_Intelligent_Techniques.pdf","open")</f>
        <v>open</v>
      </c>
      <c r="F247" t="s">
        <v>1618</v>
      </c>
      <c r="G247" t="s">
        <v>1602</v>
      </c>
      <c r="H247" t="s">
        <v>3123</v>
      </c>
      <c r="I247" t="s">
        <v>148</v>
      </c>
      <c r="J247" t="s">
        <v>148</v>
      </c>
      <c r="K247" t="s">
        <v>148</v>
      </c>
      <c r="L247" t="s">
        <v>148</v>
      </c>
      <c r="M247" t="s">
        <v>148</v>
      </c>
      <c r="N247" t="s">
        <v>148</v>
      </c>
      <c r="O247" t="s">
        <v>148</v>
      </c>
      <c r="P247" t="s">
        <v>148</v>
      </c>
      <c r="Q247" t="s">
        <v>148</v>
      </c>
      <c r="R247" t="s">
        <v>148</v>
      </c>
      <c r="S247" t="s">
        <v>148</v>
      </c>
      <c r="T247" t="s">
        <v>148</v>
      </c>
      <c r="U247" t="s">
        <v>148</v>
      </c>
      <c r="V247" t="s">
        <v>148</v>
      </c>
      <c r="W247" t="s">
        <v>148</v>
      </c>
      <c r="X247" t="s">
        <v>148</v>
      </c>
      <c r="Y247" t="s">
        <v>148</v>
      </c>
      <c r="Z247" t="s">
        <v>148</v>
      </c>
      <c r="AA247" t="s">
        <v>148</v>
      </c>
      <c r="AB247" t="s">
        <v>148</v>
      </c>
      <c r="AC247" t="s">
        <v>148</v>
      </c>
      <c r="AD247" t="s">
        <v>148</v>
      </c>
      <c r="AE247" t="s">
        <v>148</v>
      </c>
      <c r="AF247" t="s">
        <v>148</v>
      </c>
      <c r="AG247" t="s">
        <v>148</v>
      </c>
      <c r="AH247" t="s">
        <v>148</v>
      </c>
      <c r="AI247" t="s">
        <v>148</v>
      </c>
      <c r="AJ247" t="s">
        <v>148</v>
      </c>
    </row>
    <row r="248" spans="1:36" x14ac:dyDescent="0.2">
      <c r="A248" t="s">
        <v>1142</v>
      </c>
      <c r="B248" t="s">
        <v>1143</v>
      </c>
      <c r="C248" t="s">
        <v>25</v>
      </c>
      <c r="D248" t="s">
        <v>1142</v>
      </c>
      <c r="E248" t="str">
        <f>HYPERLINK("/pdf/2023_10.1145_3577923.3583650_Infotainment_System_Matters__Understanding_the_Impact_and_Implications_of_In-Vehicle_Infotainment_System_Hacki.pdf","open")</f>
        <v>open</v>
      </c>
      <c r="F248" t="s">
        <v>1602</v>
      </c>
      <c r="G248" t="s">
        <v>1602</v>
      </c>
      <c r="H248" t="s">
        <v>3124</v>
      </c>
      <c r="I248" t="s">
        <v>148</v>
      </c>
      <c r="J248" t="s">
        <v>148</v>
      </c>
      <c r="K248" t="s">
        <v>148</v>
      </c>
      <c r="L248" t="s">
        <v>148</v>
      </c>
      <c r="M248" t="s">
        <v>148</v>
      </c>
      <c r="N248" t="s">
        <v>148</v>
      </c>
      <c r="O248" t="s">
        <v>148</v>
      </c>
      <c r="P248" t="s">
        <v>148</v>
      </c>
      <c r="Q248" t="s">
        <v>148</v>
      </c>
      <c r="R248" t="s">
        <v>148</v>
      </c>
      <c r="S248" t="s">
        <v>148</v>
      </c>
      <c r="T248" t="s">
        <v>148</v>
      </c>
      <c r="U248" t="s">
        <v>148</v>
      </c>
      <c r="V248" t="s">
        <v>148</v>
      </c>
      <c r="W248" t="s">
        <v>148</v>
      </c>
      <c r="X248" t="s">
        <v>148</v>
      </c>
      <c r="Y248" t="s">
        <v>148</v>
      </c>
      <c r="Z248" t="s">
        <v>148</v>
      </c>
      <c r="AA248" t="s">
        <v>148</v>
      </c>
      <c r="AB248" t="s">
        <v>148</v>
      </c>
      <c r="AC248" t="s">
        <v>148</v>
      </c>
      <c r="AD248" t="s">
        <v>148</v>
      </c>
      <c r="AE248" t="s">
        <v>148</v>
      </c>
      <c r="AF248" t="s">
        <v>3125</v>
      </c>
      <c r="AG248" t="s">
        <v>3126</v>
      </c>
      <c r="AH248" t="s">
        <v>148</v>
      </c>
      <c r="AI248" t="s">
        <v>3127</v>
      </c>
      <c r="AJ248" t="s">
        <v>3128</v>
      </c>
    </row>
    <row r="249" spans="1:36" x14ac:dyDescent="0.2">
      <c r="A249" t="s">
        <v>1146</v>
      </c>
      <c r="B249" t="s">
        <v>1147</v>
      </c>
      <c r="C249" t="s">
        <v>60</v>
      </c>
      <c r="D249" t="s">
        <v>1149</v>
      </c>
      <c r="E249" t="str">
        <f>HYPERLINK("/pdf/2025_10_3390_virtualworlds4010001_cybersecurity_and_privacy_challenges_in_extended_reality_threats_solutions_and_risk_mit.pdf","open")</f>
        <v>open</v>
      </c>
      <c r="F249" t="s">
        <v>1618</v>
      </c>
      <c r="G249" t="s">
        <v>1602</v>
      </c>
      <c r="H249" t="s">
        <v>3129</v>
      </c>
      <c r="I249" t="s">
        <v>148</v>
      </c>
      <c r="J249" t="s">
        <v>148</v>
      </c>
      <c r="K249" t="s">
        <v>148</v>
      </c>
      <c r="L249" t="s">
        <v>148</v>
      </c>
      <c r="M249" t="s">
        <v>148</v>
      </c>
      <c r="N249" t="s">
        <v>148</v>
      </c>
      <c r="O249" t="s">
        <v>148</v>
      </c>
      <c r="P249" t="s">
        <v>148</v>
      </c>
      <c r="Q249" t="s">
        <v>148</v>
      </c>
      <c r="R249" t="s">
        <v>148</v>
      </c>
      <c r="S249" t="s">
        <v>148</v>
      </c>
      <c r="T249" t="s">
        <v>148</v>
      </c>
      <c r="U249" t="s">
        <v>148</v>
      </c>
      <c r="V249" t="s">
        <v>148</v>
      </c>
      <c r="W249" t="s">
        <v>148</v>
      </c>
      <c r="X249" t="s">
        <v>148</v>
      </c>
      <c r="Y249" t="s">
        <v>148</v>
      </c>
      <c r="Z249" t="s">
        <v>148</v>
      </c>
      <c r="AA249" t="s">
        <v>148</v>
      </c>
      <c r="AB249" t="s">
        <v>148</v>
      </c>
      <c r="AC249" t="s">
        <v>148</v>
      </c>
      <c r="AD249" t="s">
        <v>148</v>
      </c>
      <c r="AE249" t="s">
        <v>148</v>
      </c>
      <c r="AF249" t="s">
        <v>3130</v>
      </c>
      <c r="AG249" t="s">
        <v>2012</v>
      </c>
      <c r="AH249" t="s">
        <v>3131</v>
      </c>
      <c r="AI249" t="s">
        <v>148</v>
      </c>
      <c r="AJ249" t="s">
        <v>148</v>
      </c>
    </row>
    <row r="250" spans="1:36" x14ac:dyDescent="0.2">
      <c r="A250" t="s">
        <v>1151</v>
      </c>
      <c r="B250" t="s">
        <v>1152</v>
      </c>
      <c r="C250" t="s">
        <v>60</v>
      </c>
      <c r="D250" t="s">
        <v>1154</v>
      </c>
      <c r="E250" t="str">
        <f>HYPERLINK("/pdf/2024_10.1109_dicct61038.2024.10532908_Malware_Detection_Using_Control_Flow_Graphs.pdf","open")</f>
        <v>open</v>
      </c>
      <c r="F250" t="s">
        <v>2406</v>
      </c>
      <c r="G250" t="s">
        <v>1651</v>
      </c>
      <c r="H250" t="s">
        <v>3132</v>
      </c>
      <c r="I250" t="s">
        <v>3133</v>
      </c>
      <c r="J250" t="s">
        <v>3061</v>
      </c>
      <c r="K250" t="s">
        <v>1653</v>
      </c>
      <c r="L250" t="s">
        <v>148</v>
      </c>
      <c r="M250" t="s">
        <v>1636</v>
      </c>
      <c r="N250" t="s">
        <v>1611</v>
      </c>
      <c r="O250" t="s">
        <v>148</v>
      </c>
      <c r="P250" t="s">
        <v>148</v>
      </c>
      <c r="Q250" t="s">
        <v>148</v>
      </c>
      <c r="R250" t="s">
        <v>148</v>
      </c>
      <c r="S250" t="s">
        <v>1655</v>
      </c>
      <c r="T250" t="s">
        <v>3134</v>
      </c>
      <c r="U250" t="s">
        <v>148</v>
      </c>
      <c r="V250" t="s">
        <v>148</v>
      </c>
      <c r="W250" t="s">
        <v>148</v>
      </c>
      <c r="X250" t="s">
        <v>148</v>
      </c>
      <c r="Y250" t="s">
        <v>148</v>
      </c>
      <c r="Z250" t="s">
        <v>148</v>
      </c>
      <c r="AA250" t="s">
        <v>3135</v>
      </c>
      <c r="AB250" t="s">
        <v>1604</v>
      </c>
      <c r="AC250" t="s">
        <v>148</v>
      </c>
      <c r="AD250" t="s">
        <v>148</v>
      </c>
      <c r="AE250" t="s">
        <v>148</v>
      </c>
      <c r="AF250" t="s">
        <v>3136</v>
      </c>
      <c r="AG250" t="s">
        <v>1614</v>
      </c>
      <c r="AH250" t="s">
        <v>148</v>
      </c>
      <c r="AI250" t="s">
        <v>44</v>
      </c>
      <c r="AJ250" t="s">
        <v>3137</v>
      </c>
    </row>
    <row r="251" spans="1:36" x14ac:dyDescent="0.2">
      <c r="A251" t="s">
        <v>1156</v>
      </c>
      <c r="B251" t="s">
        <v>1157</v>
      </c>
      <c r="C251" t="s">
        <v>54</v>
      </c>
      <c r="D251" t="s">
        <v>1159</v>
      </c>
      <c r="E251" t="str">
        <f>HYPERLINK("/pdf/2020_10.1109_icin48450.2020.9059472_Cache-Property-Aware_Features_for_DNS_Tunneling_Detection.pdf","open")</f>
        <v>open</v>
      </c>
      <c r="F251" t="s">
        <v>1618</v>
      </c>
      <c r="G251" t="s">
        <v>1602</v>
      </c>
      <c r="H251" t="s">
        <v>3138</v>
      </c>
      <c r="I251" t="s">
        <v>148</v>
      </c>
      <c r="J251" t="s">
        <v>148</v>
      </c>
      <c r="K251" t="s">
        <v>148</v>
      </c>
      <c r="L251" t="s">
        <v>148</v>
      </c>
      <c r="M251" t="s">
        <v>148</v>
      </c>
      <c r="N251" t="s">
        <v>148</v>
      </c>
      <c r="O251" t="s">
        <v>148</v>
      </c>
      <c r="P251" t="s">
        <v>148</v>
      </c>
      <c r="Q251" t="s">
        <v>148</v>
      </c>
      <c r="R251" t="s">
        <v>148</v>
      </c>
      <c r="S251" t="s">
        <v>1602</v>
      </c>
      <c r="T251" t="s">
        <v>148</v>
      </c>
      <c r="U251" t="s">
        <v>148</v>
      </c>
      <c r="V251" t="s">
        <v>148</v>
      </c>
      <c r="W251" t="s">
        <v>148</v>
      </c>
      <c r="X251" t="s">
        <v>1602</v>
      </c>
      <c r="Y251" t="s">
        <v>148</v>
      </c>
      <c r="Z251" t="s">
        <v>148</v>
      </c>
      <c r="AA251" t="s">
        <v>3139</v>
      </c>
      <c r="AB251" t="s">
        <v>148</v>
      </c>
      <c r="AC251" t="s">
        <v>148</v>
      </c>
      <c r="AD251" t="s">
        <v>148</v>
      </c>
      <c r="AE251" t="s">
        <v>148</v>
      </c>
      <c r="AF251" t="s">
        <v>148</v>
      </c>
      <c r="AG251" t="s">
        <v>148</v>
      </c>
      <c r="AH251" t="s">
        <v>3140</v>
      </c>
      <c r="AI251" t="s">
        <v>148</v>
      </c>
      <c r="AJ251" t="s">
        <v>3141</v>
      </c>
    </row>
    <row r="252" spans="1:36" x14ac:dyDescent="0.2">
      <c r="A252" t="s">
        <v>1161</v>
      </c>
      <c r="B252" t="s">
        <v>1162</v>
      </c>
      <c r="C252" t="s">
        <v>60</v>
      </c>
      <c r="D252" t="s">
        <v>1164</v>
      </c>
      <c r="E252" t="str">
        <f>HYPERLINK("/pdf/2024_10.1145_3649403.3656483_A_Privacy_Preserving_Context_Sensitive_Kernel.pdf","open")</f>
        <v>open</v>
      </c>
      <c r="F252" t="s">
        <v>1606</v>
      </c>
      <c r="G252" t="s">
        <v>1602</v>
      </c>
      <c r="H252" t="s">
        <v>3142</v>
      </c>
      <c r="I252" t="s">
        <v>148</v>
      </c>
      <c r="J252" t="s">
        <v>148</v>
      </c>
      <c r="K252" t="s">
        <v>148</v>
      </c>
      <c r="L252" t="s">
        <v>148</v>
      </c>
      <c r="M252" t="s">
        <v>3143</v>
      </c>
      <c r="N252" t="s">
        <v>148</v>
      </c>
      <c r="O252" t="s">
        <v>148</v>
      </c>
      <c r="P252" t="s">
        <v>1694</v>
      </c>
      <c r="Q252" t="s">
        <v>148</v>
      </c>
      <c r="R252" t="s">
        <v>148</v>
      </c>
      <c r="S252" t="s">
        <v>148</v>
      </c>
      <c r="T252" t="s">
        <v>148</v>
      </c>
      <c r="U252" t="s">
        <v>148</v>
      </c>
      <c r="V252" t="s">
        <v>148</v>
      </c>
      <c r="W252" t="s">
        <v>148</v>
      </c>
      <c r="X252" t="s">
        <v>148</v>
      </c>
      <c r="Y252" t="s">
        <v>148</v>
      </c>
      <c r="Z252" t="s">
        <v>148</v>
      </c>
      <c r="AA252" t="s">
        <v>3144</v>
      </c>
      <c r="AB252" t="s">
        <v>1609</v>
      </c>
      <c r="AC252" t="s">
        <v>148</v>
      </c>
      <c r="AD252" t="s">
        <v>148</v>
      </c>
      <c r="AE252" t="s">
        <v>148</v>
      </c>
      <c r="AF252" t="s">
        <v>3145</v>
      </c>
      <c r="AG252" t="s">
        <v>1614</v>
      </c>
      <c r="AH252" t="s">
        <v>148</v>
      </c>
      <c r="AI252" t="s">
        <v>148</v>
      </c>
      <c r="AJ252" t="s">
        <v>148</v>
      </c>
    </row>
    <row r="253" spans="1:36" x14ac:dyDescent="0.2">
      <c r="A253" t="s">
        <v>1166</v>
      </c>
      <c r="B253" t="s">
        <v>1167</v>
      </c>
      <c r="C253" t="s">
        <v>25</v>
      </c>
      <c r="D253" t="s">
        <v>1169</v>
      </c>
      <c r="E253" t="str">
        <f>HYPERLINK("/pdf/2023_10.1016_j.procs.2023.03.102_Broadening_the_Solution_Space_of_Feature_Selection_in_Time-interval-based_Malware_Detection.pdf","open")</f>
        <v>open</v>
      </c>
      <c r="F253" t="s">
        <v>1606</v>
      </c>
      <c r="G253" t="s">
        <v>1651</v>
      </c>
      <c r="H253" t="s">
        <v>3146</v>
      </c>
      <c r="I253" t="s">
        <v>148</v>
      </c>
      <c r="J253" t="s">
        <v>1602</v>
      </c>
      <c r="K253" t="s">
        <v>2871</v>
      </c>
      <c r="L253" t="s">
        <v>148</v>
      </c>
      <c r="M253" t="s">
        <v>3147</v>
      </c>
      <c r="N253" t="s">
        <v>148</v>
      </c>
      <c r="O253" t="s">
        <v>148</v>
      </c>
      <c r="P253" t="s">
        <v>1694</v>
      </c>
      <c r="Q253" t="s">
        <v>148</v>
      </c>
      <c r="R253" t="s">
        <v>148</v>
      </c>
      <c r="S253" t="s">
        <v>148</v>
      </c>
      <c r="T253" t="s">
        <v>148</v>
      </c>
      <c r="U253" t="s">
        <v>148</v>
      </c>
      <c r="V253" t="s">
        <v>148</v>
      </c>
      <c r="W253" t="s">
        <v>148</v>
      </c>
      <c r="X253" t="s">
        <v>3148</v>
      </c>
      <c r="Y253" t="s">
        <v>148</v>
      </c>
      <c r="Z253" t="s">
        <v>148</v>
      </c>
      <c r="AA253" t="s">
        <v>3149</v>
      </c>
      <c r="AB253" t="s">
        <v>1604</v>
      </c>
      <c r="AC253" t="s">
        <v>3150</v>
      </c>
      <c r="AD253" t="s">
        <v>148</v>
      </c>
      <c r="AE253" t="s">
        <v>148</v>
      </c>
      <c r="AF253" t="s">
        <v>3151</v>
      </c>
      <c r="AG253" t="s">
        <v>1614</v>
      </c>
      <c r="AH253" t="s">
        <v>3152</v>
      </c>
      <c r="AI253" t="s">
        <v>3153</v>
      </c>
      <c r="AJ253" t="s">
        <v>148</v>
      </c>
    </row>
    <row r="254" spans="1:36" x14ac:dyDescent="0.2">
      <c r="A254" t="s">
        <v>1171</v>
      </c>
      <c r="B254" t="s">
        <v>1172</v>
      </c>
      <c r="C254" t="s">
        <v>25</v>
      </c>
      <c r="D254" t="s">
        <v>1174</v>
      </c>
      <c r="E254" t="str">
        <f>HYPERLINK("/pdf/2023_10.1109_i-smac58438.2023.10290155_Efficient_Secured_Cloud_Storage_System_using_Dynamic_Multiple_Clouds_Cryptographic_Algorithm.pdf","open")</f>
        <v>open</v>
      </c>
      <c r="F254" t="s">
        <v>1602</v>
      </c>
      <c r="G254" t="s">
        <v>1602</v>
      </c>
      <c r="H254" t="s">
        <v>3154</v>
      </c>
      <c r="I254" t="s">
        <v>148</v>
      </c>
      <c r="J254" t="s">
        <v>148</v>
      </c>
      <c r="K254" t="s">
        <v>148</v>
      </c>
      <c r="L254" t="s">
        <v>148</v>
      </c>
      <c r="M254" t="s">
        <v>148</v>
      </c>
      <c r="N254" t="s">
        <v>148</v>
      </c>
      <c r="O254" t="s">
        <v>148</v>
      </c>
      <c r="P254" t="s">
        <v>148</v>
      </c>
      <c r="Q254" t="s">
        <v>148</v>
      </c>
      <c r="R254" t="s">
        <v>148</v>
      </c>
      <c r="S254" t="s">
        <v>148</v>
      </c>
      <c r="T254" t="s">
        <v>148</v>
      </c>
      <c r="U254" t="s">
        <v>148</v>
      </c>
      <c r="V254" t="s">
        <v>148</v>
      </c>
      <c r="W254" t="s">
        <v>148</v>
      </c>
      <c r="X254" t="s">
        <v>148</v>
      </c>
      <c r="Y254" t="s">
        <v>148</v>
      </c>
      <c r="Z254" t="s">
        <v>148</v>
      </c>
      <c r="AA254" t="s">
        <v>148</v>
      </c>
      <c r="AB254" t="s">
        <v>148</v>
      </c>
      <c r="AC254" t="s">
        <v>148</v>
      </c>
      <c r="AD254" t="s">
        <v>148</v>
      </c>
      <c r="AE254" t="s">
        <v>148</v>
      </c>
      <c r="AF254" t="s">
        <v>3155</v>
      </c>
      <c r="AG254" t="s">
        <v>3156</v>
      </c>
      <c r="AH254" t="s">
        <v>3157</v>
      </c>
      <c r="AI254" t="s">
        <v>148</v>
      </c>
      <c r="AJ254" t="s">
        <v>148</v>
      </c>
    </row>
    <row r="255" spans="1:36" x14ac:dyDescent="0.2">
      <c r="A255" t="s">
        <v>1176</v>
      </c>
      <c r="B255" t="s">
        <v>1177</v>
      </c>
      <c r="C255" t="s">
        <v>136</v>
      </c>
      <c r="D255" t="s">
        <v>1178</v>
      </c>
      <c r="E255" t="str">
        <f>HYPERLINK("/pdf/2019_10_3390_electronics8090968_dynamic_deep_forest_an_ensemble_classification_method_for_network_intrusion_detection.pdf","open")</f>
        <v>open</v>
      </c>
      <c r="F255" t="s">
        <v>1606</v>
      </c>
      <c r="G255" t="s">
        <v>1607</v>
      </c>
      <c r="H255" t="s">
        <v>3158</v>
      </c>
      <c r="I255" t="s">
        <v>148</v>
      </c>
      <c r="J255" t="s">
        <v>1602</v>
      </c>
      <c r="K255" t="s">
        <v>148</v>
      </c>
      <c r="L255" t="s">
        <v>148</v>
      </c>
      <c r="M255" t="s">
        <v>2865</v>
      </c>
      <c r="N255" t="s">
        <v>148</v>
      </c>
      <c r="O255" t="s">
        <v>148</v>
      </c>
      <c r="P255" t="s">
        <v>148</v>
      </c>
      <c r="Q255" t="s">
        <v>148</v>
      </c>
      <c r="R255" t="s">
        <v>148</v>
      </c>
      <c r="S255" t="s">
        <v>1654</v>
      </c>
      <c r="T255" t="s">
        <v>3159</v>
      </c>
      <c r="U255" t="s">
        <v>148</v>
      </c>
      <c r="V255" t="s">
        <v>148</v>
      </c>
      <c r="W255" t="s">
        <v>148</v>
      </c>
      <c r="X255" t="s">
        <v>148</v>
      </c>
      <c r="Y255" t="s">
        <v>148</v>
      </c>
      <c r="Z255" t="s">
        <v>148</v>
      </c>
      <c r="AA255" t="s">
        <v>3160</v>
      </c>
      <c r="AB255" t="s">
        <v>1604</v>
      </c>
      <c r="AC255" t="s">
        <v>3161</v>
      </c>
      <c r="AD255" t="s">
        <v>148</v>
      </c>
      <c r="AE255" t="s">
        <v>148</v>
      </c>
      <c r="AF255" t="s">
        <v>3162</v>
      </c>
      <c r="AG255" t="s">
        <v>1614</v>
      </c>
      <c r="AH255" t="s">
        <v>3163</v>
      </c>
      <c r="AI255" t="s">
        <v>148</v>
      </c>
      <c r="AJ255" t="s">
        <v>148</v>
      </c>
    </row>
    <row r="256" spans="1:36" x14ac:dyDescent="0.2">
      <c r="A256" t="s">
        <v>1180</v>
      </c>
      <c r="B256" t="s">
        <v>1181</v>
      </c>
      <c r="C256" t="s">
        <v>60</v>
      </c>
      <c r="D256" t="s">
        <v>148</v>
      </c>
      <c r="E256" t="str">
        <f>HYPERLINK("/pdf/2024_10.7492_qcqm1g12_AI-Powered_Cyber_Threat_Detection__Leveraging_Machine_Learning_for_RealTime_Anomaly_Identification_and_Threat_.pdf","open")</f>
        <v>open</v>
      </c>
      <c r="F256" t="s">
        <v>1618</v>
      </c>
      <c r="G256" t="s">
        <v>1607</v>
      </c>
      <c r="H256" t="s">
        <v>1691</v>
      </c>
      <c r="I256" t="s">
        <v>148</v>
      </c>
      <c r="J256" t="s">
        <v>1602</v>
      </c>
      <c r="K256" t="s">
        <v>148</v>
      </c>
      <c r="L256" t="s">
        <v>148</v>
      </c>
      <c r="M256" t="s">
        <v>148</v>
      </c>
      <c r="N256" t="s">
        <v>148</v>
      </c>
      <c r="O256" t="s">
        <v>148</v>
      </c>
      <c r="P256" t="s">
        <v>148</v>
      </c>
      <c r="Q256" t="s">
        <v>148</v>
      </c>
      <c r="R256" t="s">
        <v>148</v>
      </c>
      <c r="S256" t="s">
        <v>148</v>
      </c>
      <c r="T256" t="s">
        <v>148</v>
      </c>
      <c r="U256" t="s">
        <v>148</v>
      </c>
      <c r="V256" t="s">
        <v>148</v>
      </c>
      <c r="W256" t="s">
        <v>148</v>
      </c>
      <c r="X256" t="s">
        <v>148</v>
      </c>
      <c r="Y256" t="s">
        <v>148</v>
      </c>
      <c r="Z256" t="s">
        <v>148</v>
      </c>
      <c r="AA256" t="s">
        <v>148</v>
      </c>
      <c r="AB256" t="s">
        <v>148</v>
      </c>
      <c r="AC256" t="s">
        <v>148</v>
      </c>
      <c r="AD256" t="s">
        <v>148</v>
      </c>
      <c r="AE256" t="s">
        <v>148</v>
      </c>
      <c r="AF256" t="s">
        <v>148</v>
      </c>
      <c r="AG256" t="s">
        <v>148</v>
      </c>
      <c r="AH256" t="s">
        <v>148</v>
      </c>
      <c r="AI256" t="s">
        <v>148</v>
      </c>
      <c r="AJ256" t="s">
        <v>148</v>
      </c>
    </row>
    <row r="257" spans="1:36" x14ac:dyDescent="0.2">
      <c r="A257" t="s">
        <v>1184</v>
      </c>
      <c r="B257" t="s">
        <v>1185</v>
      </c>
      <c r="C257" t="s">
        <v>54</v>
      </c>
      <c r="D257" t="s">
        <v>1187</v>
      </c>
      <c r="E257" t="str">
        <f>HYPERLINK("/pdf/2020_10.1145_3365578_Hardware_Trojan_mitigation_in_pipelined_MPSoCs.pdf","open")</f>
        <v>open</v>
      </c>
      <c r="F257" t="s">
        <v>1602</v>
      </c>
      <c r="G257" t="s">
        <v>1602</v>
      </c>
      <c r="H257" t="s">
        <v>3164</v>
      </c>
      <c r="I257" t="s">
        <v>148</v>
      </c>
      <c r="J257" t="s">
        <v>1602</v>
      </c>
      <c r="K257" t="s">
        <v>148</v>
      </c>
      <c r="L257" t="s">
        <v>148</v>
      </c>
      <c r="M257" t="s">
        <v>148</v>
      </c>
      <c r="N257" t="s">
        <v>148</v>
      </c>
      <c r="O257" t="s">
        <v>148</v>
      </c>
      <c r="P257" t="s">
        <v>1694</v>
      </c>
      <c r="Q257" t="s">
        <v>148</v>
      </c>
      <c r="R257" t="s">
        <v>148</v>
      </c>
      <c r="S257" t="s">
        <v>148</v>
      </c>
      <c r="T257" t="s">
        <v>148</v>
      </c>
      <c r="U257" t="s">
        <v>148</v>
      </c>
      <c r="V257" t="s">
        <v>148</v>
      </c>
      <c r="W257" t="s">
        <v>148</v>
      </c>
      <c r="X257" t="s">
        <v>148</v>
      </c>
      <c r="Y257" t="s">
        <v>148</v>
      </c>
      <c r="Z257" t="s">
        <v>148</v>
      </c>
      <c r="AA257" t="s">
        <v>3165</v>
      </c>
      <c r="AB257" t="s">
        <v>148</v>
      </c>
      <c r="AC257" t="s">
        <v>148</v>
      </c>
      <c r="AD257" t="s">
        <v>148</v>
      </c>
      <c r="AE257" t="s">
        <v>148</v>
      </c>
      <c r="AF257" t="s">
        <v>3166</v>
      </c>
      <c r="AG257" t="s">
        <v>3167</v>
      </c>
      <c r="AH257" t="s">
        <v>3168</v>
      </c>
      <c r="AI257" t="s">
        <v>148</v>
      </c>
      <c r="AJ257" t="s">
        <v>148</v>
      </c>
    </row>
    <row r="258" spans="1:36" x14ac:dyDescent="0.2">
      <c r="A258" t="s">
        <v>1189</v>
      </c>
      <c r="B258" t="s">
        <v>1190</v>
      </c>
      <c r="C258" t="s">
        <v>19</v>
      </c>
      <c r="D258" t="s">
        <v>1192</v>
      </c>
      <c r="E258" t="str">
        <f>HYPERLINK("/pdf/2025_10.1109_icoin63865.2025.10993160_Privacy-Preserving_Generative_Adversarial_Network-Based_Data_Synthesis_for_Intelligent_Intrusion_Detection_Sys.pdf","open")</f>
        <v>open</v>
      </c>
      <c r="F258" t="s">
        <v>1606</v>
      </c>
      <c r="G258" t="s">
        <v>1607</v>
      </c>
      <c r="H258" t="s">
        <v>3169</v>
      </c>
      <c r="I258" t="s">
        <v>148</v>
      </c>
      <c r="J258" t="s">
        <v>1602</v>
      </c>
      <c r="K258" t="s">
        <v>148</v>
      </c>
      <c r="L258" t="s">
        <v>148</v>
      </c>
      <c r="M258" t="s">
        <v>148</v>
      </c>
      <c r="N258" t="s">
        <v>148</v>
      </c>
      <c r="O258" t="s">
        <v>3170</v>
      </c>
      <c r="P258" t="s">
        <v>1694</v>
      </c>
      <c r="Q258" t="s">
        <v>148</v>
      </c>
      <c r="R258" t="s">
        <v>148</v>
      </c>
      <c r="S258" t="s">
        <v>148</v>
      </c>
      <c r="T258" t="s">
        <v>148</v>
      </c>
      <c r="U258" t="s">
        <v>148</v>
      </c>
      <c r="V258" t="s">
        <v>148</v>
      </c>
      <c r="W258" t="s">
        <v>148</v>
      </c>
      <c r="X258" t="s">
        <v>3171</v>
      </c>
      <c r="Y258" t="s">
        <v>148</v>
      </c>
      <c r="Z258" t="s">
        <v>148</v>
      </c>
      <c r="AA258" t="s">
        <v>3172</v>
      </c>
      <c r="AB258" t="s">
        <v>1604</v>
      </c>
      <c r="AC258" t="s">
        <v>148</v>
      </c>
      <c r="AD258" t="s">
        <v>148</v>
      </c>
      <c r="AE258" t="s">
        <v>148</v>
      </c>
      <c r="AF258" t="s">
        <v>3173</v>
      </c>
      <c r="AG258" t="s">
        <v>1614</v>
      </c>
      <c r="AH258" t="s">
        <v>3174</v>
      </c>
      <c r="AI258" t="s">
        <v>148</v>
      </c>
      <c r="AJ258" t="s">
        <v>148</v>
      </c>
    </row>
    <row r="259" spans="1:36" x14ac:dyDescent="0.2">
      <c r="A259" t="s">
        <v>1194</v>
      </c>
      <c r="B259" t="s">
        <v>1195</v>
      </c>
      <c r="C259" t="s">
        <v>25</v>
      </c>
      <c r="D259" t="s">
        <v>1197</v>
      </c>
      <c r="E259" t="str">
        <f>HYPERLINK("/pdf/2023_10.1145_3603781.3603906_Detection_of_Network_Time_Covert_Channels_Based_on_Image_Processing.pdf","open")</f>
        <v>open</v>
      </c>
      <c r="F259" t="s">
        <v>1606</v>
      </c>
      <c r="G259" t="s">
        <v>1602</v>
      </c>
      <c r="H259" t="s">
        <v>3175</v>
      </c>
      <c r="I259" t="s">
        <v>148</v>
      </c>
      <c r="J259" t="s">
        <v>1602</v>
      </c>
      <c r="K259" t="s">
        <v>2871</v>
      </c>
      <c r="L259" t="s">
        <v>148</v>
      </c>
      <c r="M259" t="s">
        <v>2865</v>
      </c>
      <c r="N259" t="s">
        <v>148</v>
      </c>
      <c r="O259" t="s">
        <v>1604</v>
      </c>
      <c r="P259" t="s">
        <v>1762</v>
      </c>
      <c r="Q259" t="s">
        <v>148</v>
      </c>
      <c r="R259" t="s">
        <v>148</v>
      </c>
      <c r="S259" t="s">
        <v>1602</v>
      </c>
      <c r="T259" t="s">
        <v>3176</v>
      </c>
      <c r="U259" t="s">
        <v>148</v>
      </c>
      <c r="V259" t="s">
        <v>148</v>
      </c>
      <c r="W259" t="s">
        <v>148</v>
      </c>
      <c r="X259" t="s">
        <v>3177</v>
      </c>
      <c r="Y259" t="s">
        <v>148</v>
      </c>
      <c r="Z259" t="s">
        <v>148</v>
      </c>
      <c r="AA259" t="s">
        <v>3178</v>
      </c>
      <c r="AB259" t="s">
        <v>1604</v>
      </c>
      <c r="AC259" t="s">
        <v>148</v>
      </c>
      <c r="AD259" t="s">
        <v>148</v>
      </c>
      <c r="AE259" t="s">
        <v>148</v>
      </c>
      <c r="AF259" t="s">
        <v>2411</v>
      </c>
      <c r="AG259" t="s">
        <v>1614</v>
      </c>
      <c r="AH259" t="s">
        <v>3179</v>
      </c>
      <c r="AI259" t="s">
        <v>148</v>
      </c>
      <c r="AJ259" t="s">
        <v>3180</v>
      </c>
    </row>
    <row r="260" spans="1:36" x14ac:dyDescent="0.2">
      <c r="A260" t="s">
        <v>1199</v>
      </c>
      <c r="B260" t="s">
        <v>1200</v>
      </c>
      <c r="C260" t="s">
        <v>36</v>
      </c>
      <c r="D260" t="s">
        <v>148</v>
      </c>
      <c r="E260" t="str">
        <f>HYPERLINK("/pdf/2022_SECURE_ASPECTS_OF_DIGITALIZATION_IN_MANAGEMENT_ACCOUNTING_AND_FINANCES_OF_THE_SUBJECT_OF_THE_NATIONAL_ECONOMY_.pdf","open")</f>
        <v>open</v>
      </c>
      <c r="F260" t="s">
        <v>1602</v>
      </c>
      <c r="G260" t="s">
        <v>1602</v>
      </c>
      <c r="H260" t="s">
        <v>3181</v>
      </c>
      <c r="I260" t="s">
        <v>1602</v>
      </c>
      <c r="J260" t="s">
        <v>1602</v>
      </c>
      <c r="K260" t="s">
        <v>1653</v>
      </c>
      <c r="L260" t="s">
        <v>148</v>
      </c>
      <c r="M260" t="s">
        <v>148</v>
      </c>
      <c r="N260" t="s">
        <v>148</v>
      </c>
      <c r="O260" t="s">
        <v>148</v>
      </c>
      <c r="P260" t="s">
        <v>148</v>
      </c>
      <c r="Q260" t="s">
        <v>148</v>
      </c>
      <c r="R260" t="s">
        <v>148</v>
      </c>
      <c r="S260" t="s">
        <v>148</v>
      </c>
      <c r="T260" t="s">
        <v>148</v>
      </c>
      <c r="U260" t="s">
        <v>148</v>
      </c>
      <c r="V260" t="s">
        <v>148</v>
      </c>
      <c r="W260" t="s">
        <v>148</v>
      </c>
      <c r="X260" t="s">
        <v>148</v>
      </c>
      <c r="Y260" t="s">
        <v>148</v>
      </c>
      <c r="Z260" t="s">
        <v>148</v>
      </c>
      <c r="AA260" t="s">
        <v>3182</v>
      </c>
      <c r="AB260" t="s">
        <v>148</v>
      </c>
      <c r="AC260" t="s">
        <v>148</v>
      </c>
      <c r="AD260" t="s">
        <v>148</v>
      </c>
      <c r="AE260" t="s">
        <v>148</v>
      </c>
      <c r="AF260" t="s">
        <v>3183</v>
      </c>
      <c r="AG260" t="s">
        <v>3184</v>
      </c>
      <c r="AH260" t="s">
        <v>148</v>
      </c>
      <c r="AI260" t="s">
        <v>148</v>
      </c>
      <c r="AJ260" t="s">
        <v>3185</v>
      </c>
    </row>
    <row r="261" spans="1:36" x14ac:dyDescent="0.2">
      <c r="B261" t="s">
        <v>1203</v>
      </c>
      <c r="C261" t="s">
        <v>148</v>
      </c>
      <c r="D261" t="s">
        <v>148</v>
      </c>
      <c r="E261" t="str">
        <f>HYPERLINK("/pdf/2014_10.1049_cp.2014.1340_Android's_sensitive_data_leakage_detection_based_on_API_monitoring.pdf","open")</f>
        <v>open</v>
      </c>
      <c r="F261" t="s">
        <v>1602</v>
      </c>
      <c r="G261" t="s">
        <v>1651</v>
      </c>
      <c r="H261" t="s">
        <v>3186</v>
      </c>
      <c r="I261" t="s">
        <v>148</v>
      </c>
      <c r="J261" t="s">
        <v>1602</v>
      </c>
      <c r="K261" t="s">
        <v>148</v>
      </c>
      <c r="L261" t="s">
        <v>148</v>
      </c>
      <c r="M261" t="s">
        <v>148</v>
      </c>
      <c r="N261" t="s">
        <v>148</v>
      </c>
      <c r="O261" t="s">
        <v>148</v>
      </c>
      <c r="P261" t="s">
        <v>148</v>
      </c>
      <c r="Q261" t="s">
        <v>148</v>
      </c>
      <c r="R261" t="s">
        <v>148</v>
      </c>
      <c r="S261" t="s">
        <v>148</v>
      </c>
      <c r="T261" t="s">
        <v>148</v>
      </c>
      <c r="U261" t="s">
        <v>148</v>
      </c>
      <c r="V261" t="s">
        <v>148</v>
      </c>
      <c r="W261" t="s">
        <v>148</v>
      </c>
      <c r="X261" t="s">
        <v>148</v>
      </c>
      <c r="Y261" t="s">
        <v>148</v>
      </c>
      <c r="Z261" t="s">
        <v>148</v>
      </c>
      <c r="AA261" t="s">
        <v>3187</v>
      </c>
      <c r="AB261" t="s">
        <v>148</v>
      </c>
      <c r="AC261" t="s">
        <v>148</v>
      </c>
      <c r="AD261" t="s">
        <v>148</v>
      </c>
      <c r="AE261" t="s">
        <v>148</v>
      </c>
      <c r="AF261" t="s">
        <v>148</v>
      </c>
      <c r="AG261" t="s">
        <v>148</v>
      </c>
      <c r="AH261" t="s">
        <v>148</v>
      </c>
      <c r="AI261" t="s">
        <v>148</v>
      </c>
      <c r="AJ261" t="s">
        <v>3188</v>
      </c>
    </row>
    <row r="262" spans="1:36" x14ac:dyDescent="0.2">
      <c r="A262" t="s">
        <v>1205</v>
      </c>
      <c r="B262" t="s">
        <v>1206</v>
      </c>
      <c r="C262" t="s">
        <v>36</v>
      </c>
      <c r="D262" t="s">
        <v>1208</v>
      </c>
      <c r="E262" t="str">
        <f>HYPERLINK("/pdf/2021_10_1109_tnsm_2021_3078428_dns_tunneling_detection_by_cache_property_aware_features.pdf","open")</f>
        <v>open</v>
      </c>
      <c r="F262" t="s">
        <v>1618</v>
      </c>
      <c r="G262" t="s">
        <v>1602</v>
      </c>
      <c r="H262" t="s">
        <v>3189</v>
      </c>
      <c r="I262" t="s">
        <v>148</v>
      </c>
      <c r="J262" t="s">
        <v>148</v>
      </c>
      <c r="K262" t="s">
        <v>148</v>
      </c>
      <c r="L262" t="s">
        <v>148</v>
      </c>
      <c r="M262" t="s">
        <v>3190</v>
      </c>
      <c r="N262" t="s">
        <v>148</v>
      </c>
      <c r="O262" t="s">
        <v>148</v>
      </c>
      <c r="P262" t="s">
        <v>148</v>
      </c>
      <c r="Q262" t="s">
        <v>148</v>
      </c>
      <c r="R262" t="s">
        <v>148</v>
      </c>
      <c r="S262" t="s">
        <v>1624</v>
      </c>
      <c r="T262" t="s">
        <v>3191</v>
      </c>
      <c r="U262" t="s">
        <v>1604</v>
      </c>
      <c r="V262" t="s">
        <v>3192</v>
      </c>
      <c r="W262" t="s">
        <v>148</v>
      </c>
      <c r="X262" t="s">
        <v>148</v>
      </c>
      <c r="Y262" t="s">
        <v>148</v>
      </c>
      <c r="Z262" t="s">
        <v>148</v>
      </c>
      <c r="AA262" t="s">
        <v>3193</v>
      </c>
      <c r="AB262" t="s">
        <v>1609</v>
      </c>
      <c r="AC262" t="s">
        <v>148</v>
      </c>
      <c r="AD262" t="s">
        <v>148</v>
      </c>
      <c r="AE262" t="s">
        <v>148</v>
      </c>
      <c r="AF262" t="s">
        <v>3194</v>
      </c>
      <c r="AG262" t="s">
        <v>3195</v>
      </c>
      <c r="AH262" t="s">
        <v>3196</v>
      </c>
      <c r="AI262" t="s">
        <v>3197</v>
      </c>
      <c r="AJ262" t="s">
        <v>3198</v>
      </c>
    </row>
    <row r="263" spans="1:36" x14ac:dyDescent="0.2">
      <c r="A263" t="s">
        <v>1210</v>
      </c>
      <c r="B263" t="s">
        <v>760</v>
      </c>
      <c r="C263" t="s">
        <v>48</v>
      </c>
      <c r="D263" t="s">
        <v>761</v>
      </c>
      <c r="E263" t="str">
        <f>HYPERLINK("/pdf/2026_10.1038_s41598-026-36731-8_ASTRID-Net__SE-enhanced_triple_attention_deep_learning_framework_for_IoT_and_IIoT_security.pdf","open")</f>
        <v>open</v>
      </c>
      <c r="F263" t="s">
        <v>1606</v>
      </c>
      <c r="G263" t="s">
        <v>1607</v>
      </c>
      <c r="H263" t="s">
        <v>3199</v>
      </c>
      <c r="I263" t="s">
        <v>148</v>
      </c>
      <c r="J263" t="s">
        <v>1602</v>
      </c>
      <c r="K263" t="s">
        <v>148</v>
      </c>
      <c r="L263" t="s">
        <v>148</v>
      </c>
      <c r="M263" t="s">
        <v>2865</v>
      </c>
      <c r="N263" t="s">
        <v>148</v>
      </c>
      <c r="O263" t="s">
        <v>1604</v>
      </c>
      <c r="P263" t="s">
        <v>1762</v>
      </c>
      <c r="Q263" t="s">
        <v>148</v>
      </c>
      <c r="R263" t="s">
        <v>3200</v>
      </c>
      <c r="S263" t="s">
        <v>1655</v>
      </c>
      <c r="T263" t="s">
        <v>3201</v>
      </c>
      <c r="U263" t="s">
        <v>148</v>
      </c>
      <c r="V263" t="s">
        <v>148</v>
      </c>
      <c r="W263" t="s">
        <v>148</v>
      </c>
      <c r="X263" t="s">
        <v>148</v>
      </c>
      <c r="Y263" t="s">
        <v>148</v>
      </c>
      <c r="Z263" t="s">
        <v>148</v>
      </c>
      <c r="AA263" t="s">
        <v>2590</v>
      </c>
      <c r="AB263" t="s">
        <v>1604</v>
      </c>
      <c r="AC263" t="s">
        <v>2591</v>
      </c>
      <c r="AD263" t="s">
        <v>1604</v>
      </c>
      <c r="AE263" t="s">
        <v>2592</v>
      </c>
      <c r="AF263" t="s">
        <v>2472</v>
      </c>
      <c r="AG263" t="s">
        <v>1614</v>
      </c>
      <c r="AH263" t="s">
        <v>2593</v>
      </c>
      <c r="AI263" t="s">
        <v>15</v>
      </c>
      <c r="AJ263" t="s">
        <v>148</v>
      </c>
    </row>
    <row r="264" spans="1:36" x14ac:dyDescent="0.2">
      <c r="A264" t="s">
        <v>1212</v>
      </c>
      <c r="B264" t="s">
        <v>1213</v>
      </c>
      <c r="C264" t="s">
        <v>19</v>
      </c>
      <c r="D264" t="s">
        <v>1215</v>
      </c>
      <c r="E264" t="str">
        <f>HYPERLINK("/pdf/2025_10.70389_pjs.100115_Psyche_Components_in_the_Organization_of_Safety_Systems__The_Role_of_a_Person_in_the_Protection_of_Facilities_.pdf","open")</f>
        <v>open</v>
      </c>
      <c r="F264" t="s">
        <v>1602</v>
      </c>
      <c r="G264" t="s">
        <v>1602</v>
      </c>
      <c r="H264" t="s">
        <v>148</v>
      </c>
      <c r="I264" t="s">
        <v>148</v>
      </c>
      <c r="J264" t="s">
        <v>148</v>
      </c>
      <c r="K264" t="s">
        <v>148</v>
      </c>
      <c r="L264" t="s">
        <v>148</v>
      </c>
      <c r="M264" t="s">
        <v>148</v>
      </c>
      <c r="N264" t="s">
        <v>148</v>
      </c>
      <c r="O264" t="s">
        <v>148</v>
      </c>
      <c r="P264" t="s">
        <v>148</v>
      </c>
      <c r="Q264" t="s">
        <v>148</v>
      </c>
      <c r="R264" t="s">
        <v>148</v>
      </c>
      <c r="S264" t="s">
        <v>148</v>
      </c>
      <c r="T264" t="s">
        <v>148</v>
      </c>
      <c r="U264" t="s">
        <v>148</v>
      </c>
      <c r="V264" t="s">
        <v>148</v>
      </c>
      <c r="W264" t="s">
        <v>148</v>
      </c>
      <c r="X264" t="s">
        <v>148</v>
      </c>
      <c r="Y264" t="s">
        <v>148</v>
      </c>
      <c r="Z264" t="s">
        <v>148</v>
      </c>
      <c r="AA264" t="s">
        <v>148</v>
      </c>
      <c r="AB264" t="s">
        <v>148</v>
      </c>
      <c r="AC264" t="s">
        <v>148</v>
      </c>
      <c r="AD264" t="s">
        <v>148</v>
      </c>
      <c r="AE264" t="s">
        <v>148</v>
      </c>
      <c r="AF264" t="s">
        <v>148</v>
      </c>
      <c r="AG264" t="s">
        <v>148</v>
      </c>
      <c r="AH264" t="s">
        <v>148</v>
      </c>
      <c r="AI264" t="s">
        <v>148</v>
      </c>
      <c r="AJ264" t="s">
        <v>148</v>
      </c>
    </row>
    <row r="265" spans="1:36" x14ac:dyDescent="0.2">
      <c r="A265" t="s">
        <v>148</v>
      </c>
      <c r="B265" t="s">
        <v>1217</v>
      </c>
      <c r="C265" t="s">
        <v>25</v>
      </c>
      <c r="D265" t="s">
        <v>1219</v>
      </c>
      <c r="E265" t="str">
        <f>HYPERLINK("/pdf/2023_10.1109_iccasit58768.2023.10351717_Research_and_Application_of_Cybersecurity_Situation_Awareness_for_Smart_Grid_Power_Control_System.pdf","open")</f>
        <v>open</v>
      </c>
      <c r="F265" t="s">
        <v>1618</v>
      </c>
      <c r="G265" t="s">
        <v>1607</v>
      </c>
      <c r="H265" t="s">
        <v>3202</v>
      </c>
      <c r="I265" t="s">
        <v>3203</v>
      </c>
      <c r="J265" t="s">
        <v>1602</v>
      </c>
      <c r="K265" t="s">
        <v>148</v>
      </c>
      <c r="L265" t="s">
        <v>148</v>
      </c>
      <c r="M265" t="s">
        <v>148</v>
      </c>
      <c r="N265" t="s">
        <v>148</v>
      </c>
      <c r="O265" t="s">
        <v>148</v>
      </c>
      <c r="P265" t="s">
        <v>148</v>
      </c>
      <c r="Q265" t="s">
        <v>148</v>
      </c>
      <c r="R265" t="s">
        <v>148</v>
      </c>
      <c r="S265" t="s">
        <v>148</v>
      </c>
      <c r="T265" t="s">
        <v>148</v>
      </c>
      <c r="U265" t="s">
        <v>148</v>
      </c>
      <c r="V265" t="s">
        <v>148</v>
      </c>
      <c r="W265" t="s">
        <v>148</v>
      </c>
      <c r="X265" t="s">
        <v>148</v>
      </c>
      <c r="Y265" t="s">
        <v>148</v>
      </c>
      <c r="Z265" t="s">
        <v>148</v>
      </c>
      <c r="AA265" t="s">
        <v>148</v>
      </c>
      <c r="AB265" t="s">
        <v>148</v>
      </c>
      <c r="AC265" t="s">
        <v>148</v>
      </c>
      <c r="AD265" t="s">
        <v>148</v>
      </c>
      <c r="AE265" t="s">
        <v>148</v>
      </c>
      <c r="AF265" t="s">
        <v>148</v>
      </c>
      <c r="AG265" t="s">
        <v>148</v>
      </c>
      <c r="AH265" t="s">
        <v>148</v>
      </c>
      <c r="AI265" t="s">
        <v>148</v>
      </c>
      <c r="AJ265" t="s">
        <v>148</v>
      </c>
    </row>
    <row r="266" spans="1:36" x14ac:dyDescent="0.2">
      <c r="A266" t="s">
        <v>1221</v>
      </c>
      <c r="B266" t="s">
        <v>1222</v>
      </c>
      <c r="C266" t="s">
        <v>25</v>
      </c>
      <c r="D266" t="s">
        <v>1224</v>
      </c>
      <c r="E266" t="str">
        <f>HYPERLINK("/pdf/2023_10_1109_fmec59375_2023_10305886_an_overview_of_using_of_artificial_intelligence_in_enhancing_security_and_privac.pdf","open")</f>
        <v>open</v>
      </c>
      <c r="F266" t="s">
        <v>148</v>
      </c>
      <c r="G266" t="s">
        <v>1602</v>
      </c>
      <c r="H266" t="s">
        <v>3204</v>
      </c>
      <c r="I266" t="s">
        <v>148</v>
      </c>
      <c r="J266" t="s">
        <v>148</v>
      </c>
      <c r="K266" t="s">
        <v>148</v>
      </c>
      <c r="L266" t="s">
        <v>148</v>
      </c>
      <c r="M266" t="s">
        <v>148</v>
      </c>
      <c r="N266" t="s">
        <v>148</v>
      </c>
      <c r="O266" t="s">
        <v>148</v>
      </c>
      <c r="P266" t="s">
        <v>148</v>
      </c>
      <c r="Q266" t="s">
        <v>148</v>
      </c>
      <c r="R266" t="s">
        <v>148</v>
      </c>
      <c r="S266" t="s">
        <v>148</v>
      </c>
      <c r="T266" t="s">
        <v>148</v>
      </c>
      <c r="U266" t="s">
        <v>148</v>
      </c>
      <c r="V266" t="s">
        <v>148</v>
      </c>
      <c r="W266" t="s">
        <v>148</v>
      </c>
      <c r="X266" t="s">
        <v>148</v>
      </c>
      <c r="Y266" t="s">
        <v>148</v>
      </c>
      <c r="Z266" t="s">
        <v>148</v>
      </c>
      <c r="AA266" t="s">
        <v>148</v>
      </c>
      <c r="AB266" t="s">
        <v>148</v>
      </c>
      <c r="AC266" t="s">
        <v>148</v>
      </c>
      <c r="AD266" t="s">
        <v>148</v>
      </c>
      <c r="AE266" t="s">
        <v>148</v>
      </c>
      <c r="AF266" t="s">
        <v>148</v>
      </c>
      <c r="AG266" t="s">
        <v>148</v>
      </c>
      <c r="AH266" t="s">
        <v>148</v>
      </c>
      <c r="AI266" t="s">
        <v>148</v>
      </c>
      <c r="AJ266" t="s">
        <v>148</v>
      </c>
    </row>
    <row r="267" spans="1:36" x14ac:dyDescent="0.2">
      <c r="A267" t="s">
        <v>1226</v>
      </c>
      <c r="B267" t="s">
        <v>1227</v>
      </c>
      <c r="C267" t="s">
        <v>363</v>
      </c>
      <c r="D267" t="s">
        <v>1229</v>
      </c>
      <c r="E267" t="str">
        <f>HYPERLINK("/pdf/2016_10_13052_jcsm2245_1439_521_lazarus_data_leakage_with_pgp_and_resurrection_of_the_revoked_user.pdf","open")</f>
        <v>open</v>
      </c>
      <c r="F267" t="s">
        <v>1602</v>
      </c>
      <c r="G267" t="s">
        <v>1602</v>
      </c>
      <c r="H267" t="s">
        <v>3205</v>
      </c>
      <c r="I267" t="s">
        <v>148</v>
      </c>
      <c r="J267" t="s">
        <v>148</v>
      </c>
      <c r="K267" t="s">
        <v>148</v>
      </c>
      <c r="L267" t="s">
        <v>148</v>
      </c>
      <c r="M267" t="s">
        <v>148</v>
      </c>
      <c r="N267" t="s">
        <v>148</v>
      </c>
      <c r="O267" t="s">
        <v>148</v>
      </c>
      <c r="P267" t="s">
        <v>1694</v>
      </c>
      <c r="Q267" t="s">
        <v>148</v>
      </c>
      <c r="R267" t="s">
        <v>148</v>
      </c>
      <c r="S267" t="s">
        <v>148</v>
      </c>
      <c r="T267" t="s">
        <v>148</v>
      </c>
      <c r="U267" t="s">
        <v>148</v>
      </c>
      <c r="V267" t="s">
        <v>148</v>
      </c>
      <c r="W267" t="s">
        <v>148</v>
      </c>
      <c r="X267" t="s">
        <v>148</v>
      </c>
      <c r="Y267" t="s">
        <v>148</v>
      </c>
      <c r="Z267" t="s">
        <v>148</v>
      </c>
      <c r="AA267" t="s">
        <v>148</v>
      </c>
      <c r="AB267" t="s">
        <v>148</v>
      </c>
      <c r="AC267" t="s">
        <v>148</v>
      </c>
      <c r="AD267" t="s">
        <v>148</v>
      </c>
      <c r="AE267" t="s">
        <v>148</v>
      </c>
      <c r="AF267" t="s">
        <v>148</v>
      </c>
      <c r="AG267" t="s">
        <v>148</v>
      </c>
      <c r="AH267" t="s">
        <v>148</v>
      </c>
      <c r="AI267" t="s">
        <v>148</v>
      </c>
      <c r="AJ267" t="s">
        <v>148</v>
      </c>
    </row>
    <row r="268" spans="1:36" x14ac:dyDescent="0.2">
      <c r="A268" t="s">
        <v>1231</v>
      </c>
      <c r="B268" t="s">
        <v>1232</v>
      </c>
      <c r="C268" t="s">
        <v>190</v>
      </c>
      <c r="D268" t="s">
        <v>1234</v>
      </c>
      <c r="E268" t="str">
        <f>HYPERLINK("/pdf/2017_10.1145_3171592.3171597_Network_behavioral_features_for_detecting_remote_access_trojans_in_the_early_stage.pdf","open")</f>
        <v>open</v>
      </c>
      <c r="F268" t="s">
        <v>1606</v>
      </c>
      <c r="G268" t="s">
        <v>1651</v>
      </c>
      <c r="H268" t="s">
        <v>3206</v>
      </c>
      <c r="I268" t="s">
        <v>1609</v>
      </c>
      <c r="J268" t="s">
        <v>148</v>
      </c>
      <c r="K268" t="s">
        <v>148</v>
      </c>
      <c r="L268" t="s">
        <v>148</v>
      </c>
      <c r="M268" t="s">
        <v>3207</v>
      </c>
      <c r="N268" t="s">
        <v>148</v>
      </c>
      <c r="O268" t="s">
        <v>148</v>
      </c>
      <c r="P268" t="s">
        <v>148</v>
      </c>
      <c r="Q268" t="s">
        <v>148</v>
      </c>
      <c r="R268" t="s">
        <v>148</v>
      </c>
      <c r="S268" t="s">
        <v>1654</v>
      </c>
      <c r="T268" t="s">
        <v>3208</v>
      </c>
      <c r="U268" t="s">
        <v>1609</v>
      </c>
      <c r="V268" t="s">
        <v>148</v>
      </c>
      <c r="W268" t="s">
        <v>148</v>
      </c>
      <c r="X268" t="s">
        <v>3209</v>
      </c>
      <c r="Y268" t="s">
        <v>148</v>
      </c>
      <c r="Z268" t="s">
        <v>148</v>
      </c>
      <c r="AA268" t="s">
        <v>3210</v>
      </c>
      <c r="AB268" t="s">
        <v>1609</v>
      </c>
      <c r="AC268" t="s">
        <v>148</v>
      </c>
      <c r="AD268" t="s">
        <v>148</v>
      </c>
      <c r="AE268" t="s">
        <v>148</v>
      </c>
      <c r="AF268" t="s">
        <v>3211</v>
      </c>
      <c r="AG268" t="s">
        <v>1614</v>
      </c>
      <c r="AH268" t="s">
        <v>3212</v>
      </c>
      <c r="AI268" t="s">
        <v>148</v>
      </c>
      <c r="AJ268" t="s">
        <v>148</v>
      </c>
    </row>
    <row r="269" spans="1:36" x14ac:dyDescent="0.2">
      <c r="A269" t="s">
        <v>1236</v>
      </c>
      <c r="B269" t="s">
        <v>1237</v>
      </c>
      <c r="C269" t="s">
        <v>36</v>
      </c>
      <c r="D269" t="s">
        <v>1239</v>
      </c>
      <c r="E269" t="str">
        <f>HYPERLINK("/pdf/2021_10.1109_ent50460.2021.9681727_Specifics_of_Communication_Organization_and_Attacks_on_Medical_Cyber-physical_Devices.pdf","open")</f>
        <v>open</v>
      </c>
      <c r="F269" t="s">
        <v>1602</v>
      </c>
      <c r="G269" t="s">
        <v>1602</v>
      </c>
      <c r="H269" t="s">
        <v>3213</v>
      </c>
      <c r="I269" t="s">
        <v>148</v>
      </c>
      <c r="J269" t="s">
        <v>148</v>
      </c>
      <c r="K269" t="s">
        <v>148</v>
      </c>
      <c r="L269" t="s">
        <v>148</v>
      </c>
      <c r="M269" t="s">
        <v>148</v>
      </c>
      <c r="N269" t="s">
        <v>148</v>
      </c>
      <c r="O269" t="s">
        <v>148</v>
      </c>
      <c r="P269" t="s">
        <v>148</v>
      </c>
      <c r="Q269" t="s">
        <v>148</v>
      </c>
      <c r="R269" t="s">
        <v>148</v>
      </c>
      <c r="S269" t="s">
        <v>148</v>
      </c>
      <c r="T269" t="s">
        <v>148</v>
      </c>
      <c r="U269" t="s">
        <v>148</v>
      </c>
      <c r="V269" t="s">
        <v>148</v>
      </c>
      <c r="W269" t="s">
        <v>148</v>
      </c>
      <c r="X269" t="s">
        <v>148</v>
      </c>
      <c r="Y269" t="s">
        <v>148</v>
      </c>
      <c r="Z269" t="s">
        <v>148</v>
      </c>
      <c r="AA269" t="s">
        <v>148</v>
      </c>
      <c r="AB269" t="s">
        <v>148</v>
      </c>
      <c r="AC269" t="s">
        <v>148</v>
      </c>
      <c r="AD269" t="s">
        <v>148</v>
      </c>
      <c r="AE269" t="s">
        <v>148</v>
      </c>
      <c r="AF269" t="s">
        <v>148</v>
      </c>
      <c r="AG269" t="s">
        <v>148</v>
      </c>
      <c r="AH269" t="s">
        <v>148</v>
      </c>
      <c r="AI269" t="s">
        <v>148</v>
      </c>
      <c r="AJ269" t="s">
        <v>148</v>
      </c>
    </row>
    <row r="270" spans="1:36" x14ac:dyDescent="0.2">
      <c r="A270" t="s">
        <v>1241</v>
      </c>
      <c r="B270" t="s">
        <v>1043</v>
      </c>
      <c r="C270" t="s">
        <v>210</v>
      </c>
      <c r="D270" t="s">
        <v>148</v>
      </c>
      <c r="E270" t="str">
        <f>HYPERLINK("/pdf/2016_10.1109_ccst.2015.7389685_A_Digital_Triage_Forensics_framework_of_Window_malware_forensic_toolkit__Based_on_ISO_IEC_27037_2012.pdf","open")</f>
        <v>open</v>
      </c>
      <c r="F270" t="s">
        <v>1602</v>
      </c>
      <c r="G270" t="s">
        <v>1651</v>
      </c>
      <c r="H270" t="s">
        <v>1651</v>
      </c>
      <c r="I270" t="s">
        <v>148</v>
      </c>
      <c r="J270" t="s">
        <v>148</v>
      </c>
      <c r="K270" t="s">
        <v>148</v>
      </c>
      <c r="L270" t="s">
        <v>148</v>
      </c>
      <c r="M270" t="s">
        <v>148</v>
      </c>
      <c r="N270" t="s">
        <v>148</v>
      </c>
      <c r="O270" t="s">
        <v>148</v>
      </c>
      <c r="P270" t="s">
        <v>148</v>
      </c>
      <c r="Q270" t="s">
        <v>148</v>
      </c>
      <c r="R270" t="s">
        <v>148</v>
      </c>
      <c r="S270" t="s">
        <v>148</v>
      </c>
      <c r="T270" t="s">
        <v>148</v>
      </c>
      <c r="U270" t="s">
        <v>148</v>
      </c>
      <c r="V270" t="s">
        <v>148</v>
      </c>
      <c r="W270" t="s">
        <v>148</v>
      </c>
      <c r="X270" t="s">
        <v>148</v>
      </c>
      <c r="Y270" t="s">
        <v>148</v>
      </c>
      <c r="Z270" t="s">
        <v>148</v>
      </c>
      <c r="AA270" t="s">
        <v>148</v>
      </c>
      <c r="AB270" t="s">
        <v>148</v>
      </c>
      <c r="AC270" t="s">
        <v>148</v>
      </c>
      <c r="AD270" t="s">
        <v>148</v>
      </c>
      <c r="AE270" t="s">
        <v>148</v>
      </c>
      <c r="AF270" t="s">
        <v>148</v>
      </c>
      <c r="AG270" t="s">
        <v>148</v>
      </c>
      <c r="AH270" t="s">
        <v>148</v>
      </c>
      <c r="AI270" t="s">
        <v>148</v>
      </c>
      <c r="AJ270" t="s">
        <v>148</v>
      </c>
    </row>
    <row r="271" spans="1:36" x14ac:dyDescent="0.2">
      <c r="A271" t="s">
        <v>1243</v>
      </c>
      <c r="B271" t="s">
        <v>1244</v>
      </c>
      <c r="C271" t="s">
        <v>100</v>
      </c>
      <c r="D271" t="s">
        <v>148</v>
      </c>
      <c r="E271" t="str">
        <f>HYPERLINK("/pdf/2022_10.23919_apsipaasc55919.2022.9979923_A_Comparison_of_Feature_Selection_and_Feature_Extraction_in_Network_Intrusion_Detection_Systems.pdf","open")</f>
        <v>open</v>
      </c>
      <c r="F271" t="s">
        <v>1606</v>
      </c>
      <c r="G271" t="s">
        <v>1607</v>
      </c>
      <c r="H271" t="s">
        <v>3214</v>
      </c>
      <c r="I271" t="s">
        <v>148</v>
      </c>
      <c r="J271" t="s">
        <v>148</v>
      </c>
      <c r="K271" t="s">
        <v>148</v>
      </c>
      <c r="L271" t="s">
        <v>148</v>
      </c>
      <c r="M271" t="s">
        <v>148</v>
      </c>
      <c r="N271" t="s">
        <v>148</v>
      </c>
      <c r="O271" t="s">
        <v>148</v>
      </c>
      <c r="P271" t="s">
        <v>148</v>
      </c>
      <c r="Q271" t="s">
        <v>148</v>
      </c>
      <c r="R271" t="s">
        <v>148</v>
      </c>
      <c r="S271" t="s">
        <v>1602</v>
      </c>
      <c r="T271" t="s">
        <v>2965</v>
      </c>
      <c r="U271" t="s">
        <v>148</v>
      </c>
      <c r="V271" t="s">
        <v>148</v>
      </c>
      <c r="W271" t="s">
        <v>148</v>
      </c>
      <c r="X271" t="s">
        <v>148</v>
      </c>
      <c r="Y271" t="s">
        <v>148</v>
      </c>
      <c r="Z271" t="s">
        <v>148</v>
      </c>
      <c r="AA271" t="s">
        <v>1866</v>
      </c>
      <c r="AB271" t="s">
        <v>1604</v>
      </c>
      <c r="AC271" t="s">
        <v>148</v>
      </c>
      <c r="AD271" t="s">
        <v>148</v>
      </c>
      <c r="AE271" t="s">
        <v>148</v>
      </c>
      <c r="AF271" t="s">
        <v>3215</v>
      </c>
      <c r="AG271" t="s">
        <v>1629</v>
      </c>
      <c r="AH271" t="s">
        <v>3216</v>
      </c>
      <c r="AI271" t="s">
        <v>3217</v>
      </c>
      <c r="AJ271" t="s">
        <v>148</v>
      </c>
    </row>
    <row r="272" spans="1:36" x14ac:dyDescent="0.2">
      <c r="A272" t="s">
        <v>1247</v>
      </c>
      <c r="B272" t="s">
        <v>1248</v>
      </c>
      <c r="C272" t="s">
        <v>54</v>
      </c>
      <c r="D272" t="s">
        <v>1249</v>
      </c>
      <c r="E272" t="str">
        <f>HYPERLINK("/pdf/2020_10_1109_access_2020_2996214_a_machine_learning_security_framework_for_iot_systems.pdf","open")</f>
        <v>open</v>
      </c>
      <c r="F272" t="s">
        <v>3218</v>
      </c>
      <c r="G272" t="s">
        <v>1607</v>
      </c>
      <c r="H272" t="s">
        <v>3219</v>
      </c>
      <c r="I272" t="s">
        <v>148</v>
      </c>
      <c r="J272" t="s">
        <v>1602</v>
      </c>
      <c r="K272" t="s">
        <v>148</v>
      </c>
      <c r="L272" t="s">
        <v>148</v>
      </c>
      <c r="M272" t="s">
        <v>3220</v>
      </c>
      <c r="N272" t="s">
        <v>148</v>
      </c>
      <c r="O272" t="s">
        <v>3221</v>
      </c>
      <c r="P272" t="s">
        <v>3222</v>
      </c>
      <c r="Q272" t="s">
        <v>148</v>
      </c>
      <c r="R272" t="s">
        <v>3073</v>
      </c>
      <c r="S272" t="s">
        <v>3223</v>
      </c>
      <c r="T272" t="s">
        <v>3224</v>
      </c>
      <c r="U272" t="s">
        <v>148</v>
      </c>
      <c r="V272" t="s">
        <v>1602</v>
      </c>
      <c r="W272" t="s">
        <v>1604</v>
      </c>
      <c r="X272" t="s">
        <v>148</v>
      </c>
      <c r="Y272" t="s">
        <v>148</v>
      </c>
      <c r="Z272" t="s">
        <v>148</v>
      </c>
      <c r="AA272" t="s">
        <v>3225</v>
      </c>
      <c r="AB272" t="s">
        <v>1604</v>
      </c>
      <c r="AC272" t="s">
        <v>148</v>
      </c>
      <c r="AD272" t="s">
        <v>148</v>
      </c>
      <c r="AE272" t="s">
        <v>148</v>
      </c>
      <c r="AF272" t="s">
        <v>3226</v>
      </c>
      <c r="AG272" t="s">
        <v>3227</v>
      </c>
      <c r="AH272" t="s">
        <v>3228</v>
      </c>
      <c r="AI272" t="s">
        <v>2816</v>
      </c>
      <c r="AJ272" t="s">
        <v>3229</v>
      </c>
    </row>
    <row r="273" spans="1:36" x14ac:dyDescent="0.2">
      <c r="A273" t="s">
        <v>1251</v>
      </c>
      <c r="B273" t="s">
        <v>1252</v>
      </c>
      <c r="C273" t="s">
        <v>54</v>
      </c>
      <c r="D273" t="s">
        <v>1254</v>
      </c>
      <c r="E273" t="str">
        <f>HYPERLINK("/pdf/2020_10.1109_msn50589.2020.00060_Optimal_defense_strategy_against_evasion_attacks.pdf","open")</f>
        <v>open</v>
      </c>
      <c r="F273" t="s">
        <v>1602</v>
      </c>
      <c r="G273" t="s">
        <v>1691</v>
      </c>
      <c r="H273" t="s">
        <v>3230</v>
      </c>
      <c r="I273" t="s">
        <v>148</v>
      </c>
      <c r="J273" t="s">
        <v>148</v>
      </c>
      <c r="K273" t="s">
        <v>148</v>
      </c>
      <c r="L273" t="s">
        <v>148</v>
      </c>
      <c r="M273" t="s">
        <v>148</v>
      </c>
      <c r="N273" t="s">
        <v>148</v>
      </c>
      <c r="O273" t="s">
        <v>148</v>
      </c>
      <c r="P273" t="s">
        <v>148</v>
      </c>
      <c r="Q273" t="s">
        <v>148</v>
      </c>
      <c r="R273" t="s">
        <v>148</v>
      </c>
      <c r="S273" t="s">
        <v>148</v>
      </c>
      <c r="T273" t="s">
        <v>148</v>
      </c>
      <c r="U273" t="s">
        <v>148</v>
      </c>
      <c r="V273" t="s">
        <v>148</v>
      </c>
      <c r="W273" t="s">
        <v>148</v>
      </c>
      <c r="X273" t="s">
        <v>148</v>
      </c>
      <c r="Y273" t="s">
        <v>148</v>
      </c>
      <c r="Z273" t="s">
        <v>148</v>
      </c>
      <c r="AA273" t="s">
        <v>148</v>
      </c>
      <c r="AB273" t="s">
        <v>148</v>
      </c>
      <c r="AC273" t="s">
        <v>148</v>
      </c>
      <c r="AD273" t="s">
        <v>148</v>
      </c>
      <c r="AE273" t="s">
        <v>148</v>
      </c>
      <c r="AF273" t="s">
        <v>148</v>
      </c>
      <c r="AG273" t="s">
        <v>148</v>
      </c>
      <c r="AH273" t="s">
        <v>148</v>
      </c>
      <c r="AI273" t="s">
        <v>148</v>
      </c>
      <c r="AJ273" t="s">
        <v>148</v>
      </c>
    </row>
    <row r="274" spans="1:36" x14ac:dyDescent="0.2">
      <c r="A274" t="s">
        <v>1256</v>
      </c>
      <c r="B274" t="s">
        <v>1257</v>
      </c>
      <c r="C274" t="s">
        <v>48</v>
      </c>
      <c r="D274" t="s">
        <v>1258</v>
      </c>
      <c r="E274" t="str">
        <f>HYPERLINK("/pdf/2026_10.1109_tcad.2025.3580649_Dynamic_Interposer_Obfuscation_Through_Distributed_Scramblers_in_Heterogeneously_Integrated_2.5D_ICs.pdf","open")</f>
        <v>open</v>
      </c>
      <c r="F274" t="s">
        <v>1602</v>
      </c>
      <c r="G274" t="s">
        <v>1602</v>
      </c>
      <c r="H274" t="s">
        <v>3231</v>
      </c>
      <c r="I274" t="s">
        <v>3232</v>
      </c>
      <c r="J274" t="s">
        <v>1602</v>
      </c>
      <c r="K274" t="s">
        <v>148</v>
      </c>
      <c r="L274" t="s">
        <v>148</v>
      </c>
      <c r="M274" t="s">
        <v>148</v>
      </c>
      <c r="N274" t="s">
        <v>148</v>
      </c>
      <c r="O274" t="s">
        <v>148</v>
      </c>
      <c r="P274" t="s">
        <v>148</v>
      </c>
      <c r="Q274" t="s">
        <v>148</v>
      </c>
      <c r="R274" t="s">
        <v>148</v>
      </c>
      <c r="S274" t="s">
        <v>148</v>
      </c>
      <c r="T274" t="s">
        <v>148</v>
      </c>
      <c r="U274" t="s">
        <v>148</v>
      </c>
      <c r="V274" t="s">
        <v>148</v>
      </c>
      <c r="W274" t="s">
        <v>148</v>
      </c>
      <c r="X274" t="s">
        <v>148</v>
      </c>
      <c r="Y274" t="s">
        <v>148</v>
      </c>
      <c r="Z274" t="s">
        <v>148</v>
      </c>
      <c r="AA274" t="s">
        <v>3233</v>
      </c>
      <c r="AB274" t="s">
        <v>148</v>
      </c>
      <c r="AC274" t="s">
        <v>148</v>
      </c>
      <c r="AD274" t="s">
        <v>148</v>
      </c>
      <c r="AE274" t="s">
        <v>148</v>
      </c>
      <c r="AF274" t="s">
        <v>3234</v>
      </c>
      <c r="AG274" t="s">
        <v>148</v>
      </c>
      <c r="AH274" t="s">
        <v>3235</v>
      </c>
      <c r="AI274" t="s">
        <v>148</v>
      </c>
      <c r="AJ274" t="s">
        <v>148</v>
      </c>
    </row>
    <row r="275" spans="1:36" x14ac:dyDescent="0.2">
      <c r="A275" t="s">
        <v>1260</v>
      </c>
      <c r="B275" t="s">
        <v>1261</v>
      </c>
      <c r="C275" t="s">
        <v>25</v>
      </c>
      <c r="D275" t="s">
        <v>1263</v>
      </c>
      <c r="E275" t="str">
        <f>HYPERLINK("/pdf/2023_10.1109_rmkmate59243.2023.10369056_A_Survey_on_Cyber_Attack_Detection__Techniques,_Datasets,_and_Challenge.pdf","open")</f>
        <v>open</v>
      </c>
      <c r="F275" t="s">
        <v>1607</v>
      </c>
      <c r="G275" t="s">
        <v>1607</v>
      </c>
      <c r="H275" t="s">
        <v>3236</v>
      </c>
      <c r="I275" t="s">
        <v>148</v>
      </c>
      <c r="J275" t="s">
        <v>148</v>
      </c>
      <c r="K275" t="s">
        <v>148</v>
      </c>
      <c r="L275" t="s">
        <v>148</v>
      </c>
      <c r="M275" t="s">
        <v>3237</v>
      </c>
      <c r="N275" t="s">
        <v>148</v>
      </c>
      <c r="O275" t="s">
        <v>148</v>
      </c>
      <c r="P275" t="s">
        <v>148</v>
      </c>
      <c r="Q275" t="s">
        <v>148</v>
      </c>
      <c r="R275" t="s">
        <v>148</v>
      </c>
      <c r="S275" t="s">
        <v>148</v>
      </c>
      <c r="T275" t="s">
        <v>148</v>
      </c>
      <c r="U275" t="s">
        <v>148</v>
      </c>
      <c r="V275" t="s">
        <v>148</v>
      </c>
      <c r="W275" t="s">
        <v>148</v>
      </c>
      <c r="X275" t="s">
        <v>148</v>
      </c>
      <c r="Y275" t="s">
        <v>148</v>
      </c>
      <c r="Z275" t="s">
        <v>148</v>
      </c>
      <c r="AA275" t="s">
        <v>3238</v>
      </c>
      <c r="AB275" t="s">
        <v>1604</v>
      </c>
      <c r="AC275" t="s">
        <v>148</v>
      </c>
      <c r="AD275" t="s">
        <v>148</v>
      </c>
      <c r="AE275" t="s">
        <v>148</v>
      </c>
      <c r="AF275" t="s">
        <v>3239</v>
      </c>
      <c r="AG275" t="s">
        <v>3240</v>
      </c>
      <c r="AH275" t="s">
        <v>148</v>
      </c>
      <c r="AI275" t="s">
        <v>148</v>
      </c>
      <c r="AJ275" t="s">
        <v>3241</v>
      </c>
    </row>
    <row r="276" spans="1:36" x14ac:dyDescent="0.2">
      <c r="A276" t="s">
        <v>1265</v>
      </c>
      <c r="B276" t="s">
        <v>1266</v>
      </c>
      <c r="C276" t="s">
        <v>60</v>
      </c>
      <c r="D276" t="s">
        <v>1268</v>
      </c>
      <c r="E276" t="str">
        <f>HYPERLINK("/pdf/2024_10.1109_dcoss-iot61029.2024.00041_SAfER__Simplified_Auto-encoder_for_(Anomalous)_Event_Recognition.pdf","open")</f>
        <v>open</v>
      </c>
      <c r="F276" t="s">
        <v>1618</v>
      </c>
      <c r="G276" t="s">
        <v>1602</v>
      </c>
      <c r="H276" t="s">
        <v>3242</v>
      </c>
      <c r="I276" t="s">
        <v>148</v>
      </c>
      <c r="J276" t="s">
        <v>148</v>
      </c>
      <c r="K276" t="s">
        <v>148</v>
      </c>
      <c r="L276" t="s">
        <v>148</v>
      </c>
      <c r="M276" t="s">
        <v>3243</v>
      </c>
      <c r="N276" t="s">
        <v>148</v>
      </c>
      <c r="O276" t="s">
        <v>148</v>
      </c>
      <c r="P276" t="s">
        <v>148</v>
      </c>
      <c r="Q276" t="s">
        <v>148</v>
      </c>
      <c r="R276" t="s">
        <v>148</v>
      </c>
      <c r="S276" t="s">
        <v>1602</v>
      </c>
      <c r="T276" t="s">
        <v>3244</v>
      </c>
      <c r="U276" t="s">
        <v>148</v>
      </c>
      <c r="V276" t="s">
        <v>148</v>
      </c>
      <c r="W276" t="s">
        <v>148</v>
      </c>
      <c r="X276" t="s">
        <v>3245</v>
      </c>
      <c r="Y276" t="s">
        <v>148</v>
      </c>
      <c r="Z276" t="s">
        <v>148</v>
      </c>
      <c r="AA276" t="s">
        <v>3246</v>
      </c>
      <c r="AB276" t="s">
        <v>148</v>
      </c>
      <c r="AC276" t="s">
        <v>148</v>
      </c>
      <c r="AD276" t="s">
        <v>148</v>
      </c>
      <c r="AE276" t="s">
        <v>148</v>
      </c>
      <c r="AF276" t="s">
        <v>3247</v>
      </c>
      <c r="AG276" t="s">
        <v>3248</v>
      </c>
      <c r="AH276" t="s">
        <v>3249</v>
      </c>
      <c r="AI276" t="s">
        <v>148</v>
      </c>
      <c r="AJ276" t="s">
        <v>3250</v>
      </c>
    </row>
    <row r="277" spans="1:36" x14ac:dyDescent="0.2">
      <c r="A277" t="s">
        <v>1270</v>
      </c>
      <c r="B277" t="s">
        <v>1271</v>
      </c>
      <c r="C277" t="s">
        <v>156</v>
      </c>
      <c r="D277" t="s">
        <v>1273</v>
      </c>
      <c r="E277" t="str">
        <f>HYPERLINK("/pdf/2013_10.1145_2484313.2484378_Horizon_extender__Long-term_preservation_of_data_leakage_evidence_in_web_traffic.pdf","open")</f>
        <v>open</v>
      </c>
      <c r="F277" t="s">
        <v>1602</v>
      </c>
      <c r="G277" t="s">
        <v>1602</v>
      </c>
      <c r="H277" t="s">
        <v>3251</v>
      </c>
      <c r="I277" t="s">
        <v>148</v>
      </c>
      <c r="J277" t="s">
        <v>148</v>
      </c>
      <c r="K277" t="s">
        <v>148</v>
      </c>
      <c r="L277" t="s">
        <v>148</v>
      </c>
      <c r="M277" t="s">
        <v>148</v>
      </c>
      <c r="N277" t="s">
        <v>148</v>
      </c>
      <c r="O277" t="s">
        <v>148</v>
      </c>
      <c r="P277" t="s">
        <v>148</v>
      </c>
      <c r="Q277" t="s">
        <v>148</v>
      </c>
      <c r="R277" t="s">
        <v>148</v>
      </c>
      <c r="S277" t="s">
        <v>148</v>
      </c>
      <c r="T277" t="s">
        <v>148</v>
      </c>
      <c r="U277" t="s">
        <v>148</v>
      </c>
      <c r="V277" t="s">
        <v>148</v>
      </c>
      <c r="W277" t="s">
        <v>148</v>
      </c>
      <c r="X277" t="s">
        <v>148</v>
      </c>
      <c r="Y277" t="s">
        <v>148</v>
      </c>
      <c r="Z277" t="s">
        <v>148</v>
      </c>
      <c r="AA277" t="s">
        <v>3252</v>
      </c>
      <c r="AB277" t="s">
        <v>148</v>
      </c>
      <c r="AC277" t="s">
        <v>148</v>
      </c>
      <c r="AD277" t="s">
        <v>148</v>
      </c>
      <c r="AE277" t="s">
        <v>148</v>
      </c>
      <c r="AF277" t="s">
        <v>3253</v>
      </c>
      <c r="AG277" t="s">
        <v>3254</v>
      </c>
      <c r="AH277" t="s">
        <v>3255</v>
      </c>
      <c r="AI277" t="s">
        <v>148</v>
      </c>
      <c r="AJ277" t="s">
        <v>148</v>
      </c>
    </row>
    <row r="278" spans="1:36" x14ac:dyDescent="0.2">
      <c r="A278" t="s">
        <v>1275</v>
      </c>
      <c r="B278" t="s">
        <v>314</v>
      </c>
      <c r="C278" t="s">
        <v>36</v>
      </c>
      <c r="D278" t="s">
        <v>316</v>
      </c>
      <c r="E278" t="str">
        <f>HYPERLINK("/pdf/2022_10_1080_0144929x_2021_1953597_the_relationship_between_online_political_participation_and_privacy_protection.pdf","open")</f>
        <v>open</v>
      </c>
      <c r="F278" t="s">
        <v>1602</v>
      </c>
      <c r="G278" t="s">
        <v>1602</v>
      </c>
      <c r="H278" t="s">
        <v>148</v>
      </c>
      <c r="I278" t="s">
        <v>148</v>
      </c>
      <c r="J278" t="s">
        <v>148</v>
      </c>
      <c r="K278" t="s">
        <v>148</v>
      </c>
      <c r="L278" t="s">
        <v>148</v>
      </c>
      <c r="M278" t="s">
        <v>148</v>
      </c>
      <c r="N278" t="s">
        <v>148</v>
      </c>
      <c r="O278" t="s">
        <v>148</v>
      </c>
      <c r="P278" t="s">
        <v>148</v>
      </c>
      <c r="Q278" t="s">
        <v>148</v>
      </c>
      <c r="R278" t="s">
        <v>148</v>
      </c>
      <c r="S278" t="s">
        <v>1602</v>
      </c>
      <c r="T278" t="s">
        <v>148</v>
      </c>
      <c r="U278" t="s">
        <v>148</v>
      </c>
      <c r="V278" t="s">
        <v>148</v>
      </c>
      <c r="W278" t="s">
        <v>148</v>
      </c>
      <c r="X278" t="s">
        <v>3256</v>
      </c>
      <c r="Y278" t="s">
        <v>148</v>
      </c>
      <c r="Z278" t="s">
        <v>148</v>
      </c>
      <c r="AA278" t="s">
        <v>3257</v>
      </c>
      <c r="AB278" t="s">
        <v>148</v>
      </c>
      <c r="AC278" t="s">
        <v>148</v>
      </c>
      <c r="AD278" t="s">
        <v>148</v>
      </c>
      <c r="AE278" t="s">
        <v>148</v>
      </c>
      <c r="AF278" t="s">
        <v>3258</v>
      </c>
      <c r="AG278" t="s">
        <v>148</v>
      </c>
      <c r="AH278" t="s">
        <v>148</v>
      </c>
      <c r="AI278" t="s">
        <v>148</v>
      </c>
      <c r="AJ278" t="s">
        <v>3259</v>
      </c>
    </row>
    <row r="279" spans="1:36" x14ac:dyDescent="0.2">
      <c r="A279" t="s">
        <v>1278</v>
      </c>
      <c r="B279" t="s">
        <v>1279</v>
      </c>
      <c r="C279" t="s">
        <v>60</v>
      </c>
      <c r="D279" t="s">
        <v>1280</v>
      </c>
      <c r="E279" t="str">
        <f>HYPERLINK("/pdf/2024_10_3390_jcp4020009_on_data_leakage_prevention_maturity_adapting_the_c2m2_framework.pdf","open")</f>
        <v>open</v>
      </c>
      <c r="F279" t="s">
        <v>1602</v>
      </c>
      <c r="G279" t="s">
        <v>1602</v>
      </c>
      <c r="H279" t="s">
        <v>3260</v>
      </c>
      <c r="I279" t="s">
        <v>148</v>
      </c>
      <c r="J279" t="s">
        <v>148</v>
      </c>
      <c r="K279" t="s">
        <v>148</v>
      </c>
      <c r="L279" t="s">
        <v>148</v>
      </c>
      <c r="M279" t="s">
        <v>148</v>
      </c>
      <c r="N279" t="s">
        <v>148</v>
      </c>
      <c r="O279" t="s">
        <v>148</v>
      </c>
      <c r="P279" t="s">
        <v>148</v>
      </c>
      <c r="Q279" t="s">
        <v>148</v>
      </c>
      <c r="R279" t="s">
        <v>148</v>
      </c>
      <c r="S279" t="s">
        <v>148</v>
      </c>
      <c r="T279" t="s">
        <v>148</v>
      </c>
      <c r="U279" t="s">
        <v>148</v>
      </c>
      <c r="V279" t="s">
        <v>148</v>
      </c>
      <c r="W279" t="s">
        <v>148</v>
      </c>
      <c r="X279" t="s">
        <v>148</v>
      </c>
      <c r="Y279" t="s">
        <v>148</v>
      </c>
      <c r="Z279" t="s">
        <v>148</v>
      </c>
      <c r="AA279" t="s">
        <v>148</v>
      </c>
      <c r="AB279" t="s">
        <v>148</v>
      </c>
      <c r="AC279" t="s">
        <v>148</v>
      </c>
      <c r="AD279" t="s">
        <v>148</v>
      </c>
      <c r="AE279" t="s">
        <v>148</v>
      </c>
      <c r="AF279" t="s">
        <v>148</v>
      </c>
      <c r="AG279" t="s">
        <v>148</v>
      </c>
      <c r="AH279" t="s">
        <v>148</v>
      </c>
      <c r="AI279" t="s">
        <v>148</v>
      </c>
      <c r="AJ279" t="s">
        <v>148</v>
      </c>
    </row>
    <row r="280" spans="1:36" x14ac:dyDescent="0.2">
      <c r="A280" t="s">
        <v>1282</v>
      </c>
      <c r="B280" t="s">
        <v>1283</v>
      </c>
      <c r="C280" t="s">
        <v>100</v>
      </c>
      <c r="D280" t="s">
        <v>1285</v>
      </c>
      <c r="E280" t="str">
        <f>HYPERLINK("/pdf/2022_10_17341_gazimmfd_641580_a_new_document_classification_algorithm_against_malicious_data_leakage_attacks_zararli_ya.pdf","open")</f>
        <v>open</v>
      </c>
      <c r="F280" t="s">
        <v>1606</v>
      </c>
      <c r="G280" t="s">
        <v>1691</v>
      </c>
      <c r="H280" t="s">
        <v>3261</v>
      </c>
      <c r="I280" t="s">
        <v>148</v>
      </c>
      <c r="J280" t="s">
        <v>148</v>
      </c>
      <c r="K280" t="s">
        <v>148</v>
      </c>
      <c r="L280" t="s">
        <v>148</v>
      </c>
      <c r="M280" t="s">
        <v>3262</v>
      </c>
      <c r="N280" t="s">
        <v>148</v>
      </c>
      <c r="O280" t="s">
        <v>148</v>
      </c>
      <c r="P280" t="s">
        <v>148</v>
      </c>
      <c r="Q280" t="s">
        <v>148</v>
      </c>
      <c r="R280" t="s">
        <v>148</v>
      </c>
      <c r="S280" t="s">
        <v>1655</v>
      </c>
      <c r="T280" t="s">
        <v>2252</v>
      </c>
      <c r="U280" t="s">
        <v>148</v>
      </c>
      <c r="V280" t="s">
        <v>148</v>
      </c>
      <c r="W280" t="s">
        <v>148</v>
      </c>
      <c r="X280" t="s">
        <v>148</v>
      </c>
      <c r="Y280" t="s">
        <v>148</v>
      </c>
      <c r="Z280" t="s">
        <v>148</v>
      </c>
      <c r="AA280" t="s">
        <v>3263</v>
      </c>
      <c r="AB280" t="s">
        <v>1604</v>
      </c>
      <c r="AC280" t="s">
        <v>148</v>
      </c>
      <c r="AD280" t="s">
        <v>148</v>
      </c>
      <c r="AE280" t="s">
        <v>148</v>
      </c>
      <c r="AF280" t="s">
        <v>3264</v>
      </c>
      <c r="AG280" t="s">
        <v>3265</v>
      </c>
      <c r="AH280" t="s">
        <v>3266</v>
      </c>
      <c r="AI280" t="s">
        <v>148</v>
      </c>
      <c r="AJ280" t="s">
        <v>148</v>
      </c>
    </row>
    <row r="281" spans="1:36" x14ac:dyDescent="0.2">
      <c r="A281" t="s">
        <v>1287</v>
      </c>
      <c r="B281" t="s">
        <v>1288</v>
      </c>
      <c r="C281" t="s">
        <v>48</v>
      </c>
      <c r="D281" t="s">
        <v>1290</v>
      </c>
      <c r="E281" t="str">
        <f>HYPERLINK("/pdf/2026_10.1109_tce.2026.3652563_QFedPhish__A_Quantum-Inspired_Federated_Learning_Approach_for_Detecting_AI-Generated_Phishing_Attacks.pdf","open")</f>
        <v>open</v>
      </c>
      <c r="F281" t="s">
        <v>1606</v>
      </c>
      <c r="G281" t="s">
        <v>2180</v>
      </c>
      <c r="H281" t="s">
        <v>3267</v>
      </c>
      <c r="I281" t="s">
        <v>148</v>
      </c>
      <c r="J281" t="s">
        <v>1602</v>
      </c>
      <c r="K281" t="s">
        <v>148</v>
      </c>
      <c r="L281" t="s">
        <v>148</v>
      </c>
      <c r="M281" t="s">
        <v>2557</v>
      </c>
      <c r="N281" t="s">
        <v>148</v>
      </c>
      <c r="O281" t="s">
        <v>148</v>
      </c>
      <c r="P281" t="s">
        <v>148</v>
      </c>
      <c r="Q281" t="s">
        <v>148</v>
      </c>
      <c r="R281" t="s">
        <v>148</v>
      </c>
      <c r="S281" t="s">
        <v>1655</v>
      </c>
      <c r="T281" t="s">
        <v>148</v>
      </c>
      <c r="U281" t="s">
        <v>148</v>
      </c>
      <c r="V281" t="s">
        <v>148</v>
      </c>
      <c r="W281" t="s">
        <v>3268</v>
      </c>
      <c r="X281" t="s">
        <v>3269</v>
      </c>
      <c r="Y281" t="s">
        <v>148</v>
      </c>
      <c r="Z281" t="s">
        <v>148</v>
      </c>
      <c r="AA281" t="s">
        <v>3270</v>
      </c>
      <c r="AB281" t="s">
        <v>148</v>
      </c>
      <c r="AC281" t="s">
        <v>148</v>
      </c>
      <c r="AD281" t="s">
        <v>148</v>
      </c>
      <c r="AE281" t="s">
        <v>148</v>
      </c>
      <c r="AF281" t="s">
        <v>3271</v>
      </c>
      <c r="AG281" t="s">
        <v>1614</v>
      </c>
      <c r="AH281" t="s">
        <v>3272</v>
      </c>
      <c r="AI281" t="s">
        <v>148</v>
      </c>
      <c r="AJ281" t="s">
        <v>3273</v>
      </c>
    </row>
    <row r="282" spans="1:36" x14ac:dyDescent="0.2">
      <c r="A282" t="s">
        <v>1292</v>
      </c>
      <c r="B282" t="s">
        <v>120</v>
      </c>
      <c r="C282" t="s">
        <v>19</v>
      </c>
      <c r="D282" t="s">
        <v>122</v>
      </c>
      <c r="E282" t="str">
        <f>HYPERLINK("/pdf/2025_10_14445_23488549_ijece_v12i10p115_qryptashield_quantum_inspired_feature_selection_and_rl_calibrated_federated_learning_for.pdf","open")</f>
        <v>open</v>
      </c>
      <c r="F282" t="s">
        <v>1607</v>
      </c>
      <c r="G282" t="s">
        <v>1607</v>
      </c>
      <c r="H282" t="s">
        <v>3274</v>
      </c>
      <c r="I282" t="s">
        <v>3275</v>
      </c>
      <c r="J282" t="s">
        <v>1733</v>
      </c>
      <c r="K282" t="s">
        <v>2871</v>
      </c>
      <c r="L282" t="s">
        <v>3276</v>
      </c>
      <c r="M282" t="s">
        <v>3277</v>
      </c>
      <c r="N282" t="s">
        <v>148</v>
      </c>
      <c r="O282" t="s">
        <v>3278</v>
      </c>
      <c r="P282" t="s">
        <v>148</v>
      </c>
      <c r="Q282" t="s">
        <v>148</v>
      </c>
      <c r="R282" t="s">
        <v>148</v>
      </c>
      <c r="S282" t="s">
        <v>1655</v>
      </c>
      <c r="T282" t="s">
        <v>3279</v>
      </c>
      <c r="U282" t="s">
        <v>148</v>
      </c>
      <c r="V282" t="s">
        <v>148</v>
      </c>
      <c r="W282" t="s">
        <v>148</v>
      </c>
      <c r="X282" t="s">
        <v>148</v>
      </c>
      <c r="Y282" t="s">
        <v>148</v>
      </c>
      <c r="Z282" t="s">
        <v>148</v>
      </c>
      <c r="AA282" t="s">
        <v>3280</v>
      </c>
      <c r="AB282" t="s">
        <v>148</v>
      </c>
      <c r="AC282" t="s">
        <v>148</v>
      </c>
      <c r="AD282" t="s">
        <v>148</v>
      </c>
      <c r="AE282" t="s">
        <v>148</v>
      </c>
      <c r="AF282" t="s">
        <v>3281</v>
      </c>
      <c r="AG282" t="s">
        <v>148</v>
      </c>
      <c r="AH282" t="s">
        <v>3282</v>
      </c>
      <c r="AI282" t="s">
        <v>3283</v>
      </c>
      <c r="AJ282" t="s">
        <v>3284</v>
      </c>
    </row>
    <row r="283" spans="1:36" x14ac:dyDescent="0.2">
      <c r="A283" t="s">
        <v>1294</v>
      </c>
      <c r="B283" t="s">
        <v>1295</v>
      </c>
      <c r="C283" t="s">
        <v>25</v>
      </c>
      <c r="D283" t="s">
        <v>148</v>
      </c>
      <c r="E283" t="str">
        <f>HYPERLINK("/pdf/2024_10_1007_s10586_023_04089_5_machine_learning_based_intrusion_detection_feature_selection_versus_feature_extraction.pdf","open")</f>
        <v>open</v>
      </c>
      <c r="F283" t="s">
        <v>1606</v>
      </c>
      <c r="G283" t="s">
        <v>1607</v>
      </c>
      <c r="H283" t="s">
        <v>3285</v>
      </c>
      <c r="I283" t="s">
        <v>148</v>
      </c>
      <c r="J283" t="s">
        <v>148</v>
      </c>
      <c r="K283" t="s">
        <v>148</v>
      </c>
      <c r="L283" t="s">
        <v>148</v>
      </c>
      <c r="M283" t="s">
        <v>2843</v>
      </c>
      <c r="N283" t="s">
        <v>148</v>
      </c>
      <c r="O283" t="s">
        <v>148</v>
      </c>
      <c r="P283" t="s">
        <v>148</v>
      </c>
      <c r="Q283" t="s">
        <v>148</v>
      </c>
      <c r="R283" t="s">
        <v>148</v>
      </c>
      <c r="S283" t="s">
        <v>3286</v>
      </c>
      <c r="T283" t="s">
        <v>3287</v>
      </c>
      <c r="U283" t="s">
        <v>148</v>
      </c>
      <c r="V283" t="s">
        <v>148</v>
      </c>
      <c r="W283" t="s">
        <v>148</v>
      </c>
      <c r="X283" t="s">
        <v>148</v>
      </c>
      <c r="Y283" t="s">
        <v>148</v>
      </c>
      <c r="Z283" t="s">
        <v>148</v>
      </c>
      <c r="AA283" t="s">
        <v>1866</v>
      </c>
      <c r="AB283" t="s">
        <v>1604</v>
      </c>
      <c r="AC283" t="s">
        <v>148</v>
      </c>
      <c r="AD283" t="s">
        <v>148</v>
      </c>
      <c r="AE283" t="s">
        <v>148</v>
      </c>
      <c r="AF283" t="s">
        <v>3215</v>
      </c>
      <c r="AG283" t="s">
        <v>1629</v>
      </c>
      <c r="AH283" t="s">
        <v>3288</v>
      </c>
      <c r="AI283" t="s">
        <v>3289</v>
      </c>
      <c r="AJ283" t="s">
        <v>148</v>
      </c>
    </row>
    <row r="284" spans="1:36" x14ac:dyDescent="0.2">
      <c r="A284" t="s">
        <v>1297</v>
      </c>
      <c r="B284" t="s">
        <v>680</v>
      </c>
      <c r="C284" t="s">
        <v>19</v>
      </c>
      <c r="D284" t="s">
        <v>682</v>
      </c>
      <c r="E284" t="str">
        <f>HYPERLINK("/pdf/2025_10_37934_araset_51_2_153176_detecting_wormhole_attack_in_environmental_monitoring_system_for_agriculture_using_deep_le.pdf","open")</f>
        <v>open</v>
      </c>
      <c r="F284" t="s">
        <v>1606</v>
      </c>
      <c r="G284" t="s">
        <v>1607</v>
      </c>
      <c r="H284" t="s">
        <v>3290</v>
      </c>
      <c r="I284" t="s">
        <v>148</v>
      </c>
      <c r="J284" t="s">
        <v>148</v>
      </c>
      <c r="K284" t="s">
        <v>148</v>
      </c>
      <c r="L284" t="s">
        <v>148</v>
      </c>
      <c r="M284" t="s">
        <v>2843</v>
      </c>
      <c r="N284" t="s">
        <v>148</v>
      </c>
      <c r="O284" t="s">
        <v>148</v>
      </c>
      <c r="P284" t="s">
        <v>148</v>
      </c>
      <c r="Q284" t="s">
        <v>148</v>
      </c>
      <c r="R284" t="s">
        <v>148</v>
      </c>
      <c r="S284" t="s">
        <v>1655</v>
      </c>
      <c r="T284" t="s">
        <v>3291</v>
      </c>
      <c r="U284" t="s">
        <v>148</v>
      </c>
      <c r="V284" t="s">
        <v>148</v>
      </c>
      <c r="W284" t="s">
        <v>148</v>
      </c>
      <c r="X284" t="s">
        <v>148</v>
      </c>
      <c r="Y284" t="s">
        <v>148</v>
      </c>
      <c r="Z284" t="s">
        <v>148</v>
      </c>
      <c r="AA284" t="s">
        <v>3292</v>
      </c>
      <c r="AB284" t="s">
        <v>1604</v>
      </c>
      <c r="AC284" t="s">
        <v>2493</v>
      </c>
      <c r="AD284" t="s">
        <v>148</v>
      </c>
      <c r="AE284" t="s">
        <v>148</v>
      </c>
      <c r="AF284" t="s">
        <v>3293</v>
      </c>
      <c r="AG284" t="s">
        <v>2584</v>
      </c>
      <c r="AH284" t="s">
        <v>2495</v>
      </c>
      <c r="AI284" t="s">
        <v>2816</v>
      </c>
      <c r="AJ284" t="s">
        <v>148</v>
      </c>
    </row>
    <row r="285" spans="1:36" x14ac:dyDescent="0.2">
      <c r="A285" t="s">
        <v>1299</v>
      </c>
      <c r="B285" t="s">
        <v>1118</v>
      </c>
      <c r="C285" t="s">
        <v>48</v>
      </c>
      <c r="D285" t="s">
        <v>1300</v>
      </c>
      <c r="E285" t="str">
        <f>HYPERLINK("/pdf/2026_10_30598_barekengvol20iss2pp1675_1692_a_comparative_study_of_pipeline_validated_machine_learning_classifiers_for_permi.pdf","open")</f>
        <v>open</v>
      </c>
      <c r="F285" t="s">
        <v>1606</v>
      </c>
      <c r="G285" t="s">
        <v>1651</v>
      </c>
      <c r="H285" t="s">
        <v>3294</v>
      </c>
      <c r="I285" t="s">
        <v>1609</v>
      </c>
      <c r="J285" t="s">
        <v>148</v>
      </c>
      <c r="K285" t="s">
        <v>1653</v>
      </c>
      <c r="L285" t="s">
        <v>148</v>
      </c>
      <c r="M285" t="s">
        <v>3295</v>
      </c>
      <c r="N285" t="s">
        <v>1611</v>
      </c>
      <c r="O285" t="s">
        <v>1604</v>
      </c>
      <c r="P285" t="s">
        <v>3296</v>
      </c>
      <c r="Q285" t="s">
        <v>3297</v>
      </c>
      <c r="R285" t="s">
        <v>3298</v>
      </c>
      <c r="S285" t="s">
        <v>1654</v>
      </c>
      <c r="T285" t="s">
        <v>3116</v>
      </c>
      <c r="U285" t="s">
        <v>1609</v>
      </c>
      <c r="V285" t="s">
        <v>148</v>
      </c>
      <c r="W285" t="s">
        <v>1604</v>
      </c>
      <c r="X285" t="s">
        <v>2371</v>
      </c>
      <c r="Y285" t="s">
        <v>148</v>
      </c>
      <c r="Z285" t="s">
        <v>148</v>
      </c>
      <c r="AA285" t="s">
        <v>3299</v>
      </c>
      <c r="AB285" t="s">
        <v>1604</v>
      </c>
      <c r="AC285" t="s">
        <v>3084</v>
      </c>
      <c r="AD285" t="s">
        <v>148</v>
      </c>
      <c r="AE285" t="s">
        <v>148</v>
      </c>
      <c r="AF285" t="s">
        <v>3085</v>
      </c>
      <c r="AG285" t="s">
        <v>2229</v>
      </c>
      <c r="AH285" t="s">
        <v>3300</v>
      </c>
      <c r="AI285" t="s">
        <v>3301</v>
      </c>
      <c r="AJ285" t="s">
        <v>3302</v>
      </c>
    </row>
    <row r="286" spans="1:36" x14ac:dyDescent="0.2">
      <c r="A286" t="s">
        <v>1302</v>
      </c>
      <c r="B286" t="s">
        <v>1303</v>
      </c>
      <c r="C286" t="s">
        <v>60</v>
      </c>
      <c r="D286" t="s">
        <v>1302</v>
      </c>
      <c r="E286" t="str">
        <f>HYPERLINK("/pdf/2024_10.1145_3639821_TROP__TRust-aware_OPportunistic_Routing_in_NoC_with_Hardware_Trojans.pdf","open")</f>
        <v>open</v>
      </c>
      <c r="F286" t="s">
        <v>1602</v>
      </c>
      <c r="G286" t="s">
        <v>1602</v>
      </c>
      <c r="H286" t="s">
        <v>3303</v>
      </c>
      <c r="I286" t="s">
        <v>3304</v>
      </c>
      <c r="J286" t="s">
        <v>1602</v>
      </c>
      <c r="K286" t="s">
        <v>1664</v>
      </c>
      <c r="L286" t="s">
        <v>148</v>
      </c>
      <c r="M286" t="s">
        <v>148</v>
      </c>
      <c r="N286" t="s">
        <v>148</v>
      </c>
      <c r="O286" t="s">
        <v>148</v>
      </c>
      <c r="P286" t="s">
        <v>148</v>
      </c>
      <c r="Q286" t="s">
        <v>148</v>
      </c>
      <c r="R286" t="s">
        <v>148</v>
      </c>
      <c r="S286" t="s">
        <v>148</v>
      </c>
      <c r="T286" t="s">
        <v>148</v>
      </c>
      <c r="U286" t="s">
        <v>148</v>
      </c>
      <c r="V286" t="s">
        <v>148</v>
      </c>
      <c r="W286" t="s">
        <v>148</v>
      </c>
      <c r="X286" t="s">
        <v>148</v>
      </c>
      <c r="Y286" t="s">
        <v>148</v>
      </c>
      <c r="Z286" t="s">
        <v>148</v>
      </c>
      <c r="AA286" t="s">
        <v>3305</v>
      </c>
      <c r="AB286" t="s">
        <v>148</v>
      </c>
      <c r="AC286" t="s">
        <v>148</v>
      </c>
      <c r="AD286" t="s">
        <v>148</v>
      </c>
      <c r="AE286" t="s">
        <v>148</v>
      </c>
      <c r="AF286" t="s">
        <v>3306</v>
      </c>
      <c r="AG286" t="s">
        <v>3307</v>
      </c>
      <c r="AH286" t="s">
        <v>3308</v>
      </c>
      <c r="AI286" t="s">
        <v>148</v>
      </c>
      <c r="AJ286" t="s">
        <v>3309</v>
      </c>
    </row>
    <row r="287" spans="1:36" x14ac:dyDescent="0.2">
      <c r="A287" t="s">
        <v>1305</v>
      </c>
      <c r="B287" t="s">
        <v>1306</v>
      </c>
      <c r="C287" t="s">
        <v>19</v>
      </c>
      <c r="D287" t="s">
        <v>1307</v>
      </c>
      <c r="E287" t="str">
        <f>HYPERLINK("/pdf/2025_10.1109_iciccs65191.2025.10984918_Enhancing_Digital_Forensics_Security_Involves_the_Implementation_of_a_Robust_Storage_Framework_that_Employs_AE.pdf","open")</f>
        <v>open</v>
      </c>
      <c r="F287" t="s">
        <v>1602</v>
      </c>
      <c r="G287" t="s">
        <v>1602</v>
      </c>
      <c r="H287" t="s">
        <v>3310</v>
      </c>
      <c r="I287" t="s">
        <v>148</v>
      </c>
      <c r="J287" t="s">
        <v>148</v>
      </c>
      <c r="K287" t="s">
        <v>148</v>
      </c>
      <c r="L287" t="s">
        <v>148</v>
      </c>
      <c r="M287" t="s">
        <v>148</v>
      </c>
      <c r="N287" t="s">
        <v>148</v>
      </c>
      <c r="O287" t="s">
        <v>148</v>
      </c>
      <c r="P287" t="s">
        <v>148</v>
      </c>
      <c r="Q287" t="s">
        <v>148</v>
      </c>
      <c r="R287" t="s">
        <v>148</v>
      </c>
      <c r="S287" t="s">
        <v>148</v>
      </c>
      <c r="T287" t="s">
        <v>148</v>
      </c>
      <c r="U287" t="s">
        <v>148</v>
      </c>
      <c r="V287" t="s">
        <v>148</v>
      </c>
      <c r="W287" t="s">
        <v>148</v>
      </c>
      <c r="X287" t="s">
        <v>148</v>
      </c>
      <c r="Y287" t="s">
        <v>148</v>
      </c>
      <c r="Z287" t="s">
        <v>148</v>
      </c>
      <c r="AA287" t="s">
        <v>148</v>
      </c>
      <c r="AB287" t="s">
        <v>148</v>
      </c>
      <c r="AC287" t="s">
        <v>148</v>
      </c>
      <c r="AD287" t="s">
        <v>148</v>
      </c>
      <c r="AE287" t="s">
        <v>148</v>
      </c>
      <c r="AF287" t="s">
        <v>3311</v>
      </c>
      <c r="AG287" t="s">
        <v>148</v>
      </c>
      <c r="AH287" t="s">
        <v>3312</v>
      </c>
      <c r="AI287" t="s">
        <v>148</v>
      </c>
      <c r="AJ287" t="s">
        <v>148</v>
      </c>
    </row>
    <row r="288" spans="1:36" x14ac:dyDescent="0.2">
      <c r="A288" t="s">
        <v>1309</v>
      </c>
      <c r="B288" t="s">
        <v>719</v>
      </c>
      <c r="C288" t="s">
        <v>25</v>
      </c>
      <c r="D288" t="s">
        <v>721</v>
      </c>
      <c r="E288" t="str">
        <f>HYPERLINK("/pdf/2023_10.1109_ispa-bdcloud-socialcom-sustaincom59178.2023.00094_PE-FedAvg__A_Privacy-Enhanced_Federated_Learning_for_Distributed_Android_Malware_Detection.pdf","open")</f>
        <v>open</v>
      </c>
      <c r="F288" t="s">
        <v>1606</v>
      </c>
      <c r="G288" t="s">
        <v>1651</v>
      </c>
      <c r="H288" t="s">
        <v>3313</v>
      </c>
      <c r="I288" t="s">
        <v>1609</v>
      </c>
      <c r="J288" t="s">
        <v>148</v>
      </c>
      <c r="K288" t="s">
        <v>148</v>
      </c>
      <c r="L288" t="s">
        <v>148</v>
      </c>
      <c r="M288" t="s">
        <v>3314</v>
      </c>
      <c r="N288" t="s">
        <v>148</v>
      </c>
      <c r="O288" t="s">
        <v>148</v>
      </c>
      <c r="P288" t="s">
        <v>148</v>
      </c>
      <c r="Q288" t="s">
        <v>148</v>
      </c>
      <c r="R288" t="s">
        <v>148</v>
      </c>
      <c r="S288" t="s">
        <v>1654</v>
      </c>
      <c r="T288" t="s">
        <v>148</v>
      </c>
      <c r="U288" t="s">
        <v>148</v>
      </c>
      <c r="V288" t="s">
        <v>148</v>
      </c>
      <c r="W288" t="s">
        <v>148</v>
      </c>
      <c r="X288" t="s">
        <v>148</v>
      </c>
      <c r="Y288" t="s">
        <v>148</v>
      </c>
      <c r="Z288" t="s">
        <v>148</v>
      </c>
      <c r="AA288" t="s">
        <v>2541</v>
      </c>
      <c r="AB288" t="s">
        <v>1604</v>
      </c>
      <c r="AC288" t="s">
        <v>148</v>
      </c>
      <c r="AD288" t="s">
        <v>148</v>
      </c>
      <c r="AE288" t="s">
        <v>148</v>
      </c>
      <c r="AF288" t="s">
        <v>2542</v>
      </c>
      <c r="AG288" t="s">
        <v>1614</v>
      </c>
      <c r="AH288" t="s">
        <v>2543</v>
      </c>
      <c r="AI288" t="s">
        <v>3315</v>
      </c>
      <c r="AJ288" t="s">
        <v>148</v>
      </c>
    </row>
    <row r="289" spans="1:36" x14ac:dyDescent="0.2">
      <c r="A289" t="s">
        <v>1312</v>
      </c>
      <c r="B289" t="s">
        <v>1313</v>
      </c>
      <c r="C289" t="s">
        <v>19</v>
      </c>
      <c r="D289" t="s">
        <v>1315</v>
      </c>
      <c r="E289" t="str">
        <f>HYPERLINK("/pdf/2025_10.1109_qpain66474.2025.11171834_Analyzing_Threats_in_Public_Wi-Fi__A_Study_of_Attack_Vectors,_Vulnerability_and_User_Awareness.pdf","open")</f>
        <v>open</v>
      </c>
      <c r="F289" t="s">
        <v>1602</v>
      </c>
      <c r="G289" t="s">
        <v>1602</v>
      </c>
      <c r="H289" t="s">
        <v>3316</v>
      </c>
      <c r="I289" t="s">
        <v>148</v>
      </c>
      <c r="J289" t="s">
        <v>1602</v>
      </c>
      <c r="K289" t="s">
        <v>148</v>
      </c>
      <c r="L289" t="s">
        <v>148</v>
      </c>
      <c r="M289" t="s">
        <v>148</v>
      </c>
      <c r="N289" t="s">
        <v>148</v>
      </c>
      <c r="O289" t="s">
        <v>148</v>
      </c>
      <c r="P289" t="s">
        <v>148</v>
      </c>
      <c r="Q289" t="s">
        <v>148</v>
      </c>
      <c r="R289" t="s">
        <v>148</v>
      </c>
      <c r="S289" t="s">
        <v>148</v>
      </c>
      <c r="T289" t="s">
        <v>148</v>
      </c>
      <c r="U289" t="s">
        <v>148</v>
      </c>
      <c r="V289" t="s">
        <v>148</v>
      </c>
      <c r="W289" t="s">
        <v>148</v>
      </c>
      <c r="X289" t="s">
        <v>148</v>
      </c>
      <c r="Y289" t="s">
        <v>148</v>
      </c>
      <c r="Z289" t="s">
        <v>148</v>
      </c>
      <c r="AA289" t="s">
        <v>148</v>
      </c>
      <c r="AB289" t="s">
        <v>148</v>
      </c>
      <c r="AC289" t="s">
        <v>148</v>
      </c>
      <c r="AD289" t="s">
        <v>148</v>
      </c>
      <c r="AE289" t="s">
        <v>148</v>
      </c>
      <c r="AF289" t="s">
        <v>3317</v>
      </c>
      <c r="AG289" t="s">
        <v>3318</v>
      </c>
      <c r="AH289" t="s">
        <v>148</v>
      </c>
      <c r="AI289" t="s">
        <v>148</v>
      </c>
      <c r="AJ289" t="s">
        <v>148</v>
      </c>
    </row>
    <row r="290" spans="1:36" x14ac:dyDescent="0.2">
      <c r="B290" t="s">
        <v>1317</v>
      </c>
      <c r="C290" t="s">
        <v>36</v>
      </c>
      <c r="D290" t="s">
        <v>148</v>
      </c>
      <c r="E290" t="str">
        <f>HYPERLINK("/pdf/2021_10_1109_csr51186_2021_9527960_understanding_and_mitigating_banking_trojans_from_zeus_to_emotet.pdf","open")</f>
        <v>open</v>
      </c>
      <c r="F290" t="s">
        <v>1602</v>
      </c>
      <c r="G290" t="s">
        <v>1607</v>
      </c>
      <c r="H290" t="s">
        <v>3319</v>
      </c>
      <c r="I290" t="s">
        <v>3320</v>
      </c>
      <c r="J290" t="s">
        <v>1721</v>
      </c>
      <c r="K290" t="s">
        <v>1664</v>
      </c>
      <c r="L290" t="s">
        <v>1604</v>
      </c>
      <c r="M290" t="s">
        <v>148</v>
      </c>
      <c r="N290" t="s">
        <v>148</v>
      </c>
      <c r="O290" t="s">
        <v>148</v>
      </c>
      <c r="P290" t="s">
        <v>148</v>
      </c>
      <c r="Q290" t="s">
        <v>148</v>
      </c>
      <c r="R290" t="s">
        <v>148</v>
      </c>
      <c r="S290" t="s">
        <v>148</v>
      </c>
      <c r="T290" t="s">
        <v>148</v>
      </c>
      <c r="U290" t="s">
        <v>148</v>
      </c>
      <c r="V290" t="s">
        <v>148</v>
      </c>
      <c r="W290" t="s">
        <v>148</v>
      </c>
      <c r="X290" t="s">
        <v>148</v>
      </c>
      <c r="Y290" t="s">
        <v>148</v>
      </c>
      <c r="Z290" t="s">
        <v>148</v>
      </c>
      <c r="AA290" t="s">
        <v>3321</v>
      </c>
      <c r="AB290" t="s">
        <v>1609</v>
      </c>
      <c r="AC290" t="s">
        <v>148</v>
      </c>
      <c r="AD290" t="s">
        <v>148</v>
      </c>
      <c r="AE290" t="s">
        <v>148</v>
      </c>
      <c r="AF290" t="s">
        <v>148</v>
      </c>
      <c r="AG290" t="s">
        <v>148</v>
      </c>
      <c r="AH290" t="s">
        <v>148</v>
      </c>
      <c r="AI290" t="s">
        <v>44</v>
      </c>
      <c r="AJ290" t="s">
        <v>3322</v>
      </c>
    </row>
    <row r="291" spans="1:36" x14ac:dyDescent="0.2">
      <c r="A291" t="s">
        <v>1320</v>
      </c>
      <c r="B291" t="s">
        <v>1321</v>
      </c>
      <c r="C291" t="s">
        <v>19</v>
      </c>
      <c r="D291" t="s">
        <v>1323</v>
      </c>
      <c r="E291" t="str">
        <f>HYPERLINK("/pdf/2025_10.1109_icoeca66273.2025.00049_Simulation,_Prevention_and_Mitigation_of_Ransomware,_DDOS_and_Advanced_Persistent_Threats.pdf","open")</f>
        <v>open</v>
      </c>
      <c r="F291" t="s">
        <v>1602</v>
      </c>
      <c r="G291" t="s">
        <v>1691</v>
      </c>
      <c r="H291" t="s">
        <v>3323</v>
      </c>
      <c r="I291" t="s">
        <v>148</v>
      </c>
      <c r="J291" t="s">
        <v>148</v>
      </c>
      <c r="K291" t="s">
        <v>148</v>
      </c>
      <c r="L291" t="s">
        <v>148</v>
      </c>
      <c r="M291" t="s">
        <v>148</v>
      </c>
      <c r="N291" t="s">
        <v>148</v>
      </c>
      <c r="O291" t="s">
        <v>148</v>
      </c>
      <c r="P291" t="s">
        <v>148</v>
      </c>
      <c r="Q291" t="s">
        <v>148</v>
      </c>
      <c r="R291" t="s">
        <v>148</v>
      </c>
      <c r="S291" t="s">
        <v>148</v>
      </c>
      <c r="T291" t="s">
        <v>148</v>
      </c>
      <c r="U291" t="s">
        <v>148</v>
      </c>
      <c r="V291" t="s">
        <v>148</v>
      </c>
      <c r="W291" t="s">
        <v>148</v>
      </c>
      <c r="X291" t="s">
        <v>148</v>
      </c>
      <c r="Y291" t="s">
        <v>148</v>
      </c>
      <c r="Z291" t="s">
        <v>148</v>
      </c>
      <c r="AA291" t="s">
        <v>148</v>
      </c>
      <c r="AB291" t="s">
        <v>148</v>
      </c>
      <c r="AC291" t="s">
        <v>148</v>
      </c>
      <c r="AD291" t="s">
        <v>148</v>
      </c>
      <c r="AE291" t="s">
        <v>148</v>
      </c>
      <c r="AF291" t="s">
        <v>148</v>
      </c>
      <c r="AG291" t="s">
        <v>148</v>
      </c>
      <c r="AH291" t="s">
        <v>148</v>
      </c>
      <c r="AI291" t="s">
        <v>148</v>
      </c>
      <c r="AJ291" t="s">
        <v>148</v>
      </c>
    </row>
    <row r="292" spans="1:36" x14ac:dyDescent="0.2">
      <c r="A292" t="s">
        <v>1325</v>
      </c>
      <c r="B292" t="s">
        <v>1326</v>
      </c>
      <c r="C292" t="s">
        <v>19</v>
      </c>
      <c r="D292" t="s">
        <v>1328</v>
      </c>
      <c r="E292" t="str">
        <f>HYPERLINK("/pdf/2025_10_3390_jcp5040095_ai_augmented_soc_a_survey_of_llms_and_agents_for_security_automation.pdf","open")</f>
        <v>open</v>
      </c>
      <c r="F292" t="s">
        <v>1602</v>
      </c>
      <c r="G292" t="s">
        <v>1602</v>
      </c>
      <c r="H292" t="s">
        <v>3324</v>
      </c>
      <c r="I292" t="s">
        <v>148</v>
      </c>
      <c r="J292" t="s">
        <v>1602</v>
      </c>
      <c r="K292" t="s">
        <v>148</v>
      </c>
      <c r="L292" t="s">
        <v>148</v>
      </c>
      <c r="M292" t="s">
        <v>148</v>
      </c>
      <c r="N292" t="s">
        <v>148</v>
      </c>
      <c r="O292" t="s">
        <v>3325</v>
      </c>
      <c r="P292" t="s">
        <v>1762</v>
      </c>
      <c r="Q292" t="s">
        <v>148</v>
      </c>
      <c r="R292" t="s">
        <v>148</v>
      </c>
      <c r="S292" t="s">
        <v>148</v>
      </c>
      <c r="T292" t="s">
        <v>148</v>
      </c>
      <c r="U292" t="s">
        <v>148</v>
      </c>
      <c r="V292" t="s">
        <v>148</v>
      </c>
      <c r="W292" t="s">
        <v>148</v>
      </c>
      <c r="X292" t="s">
        <v>148</v>
      </c>
      <c r="Y292" t="s">
        <v>148</v>
      </c>
      <c r="Z292" t="s">
        <v>148</v>
      </c>
      <c r="AA292" t="s">
        <v>3326</v>
      </c>
      <c r="AB292" t="s">
        <v>148</v>
      </c>
      <c r="AC292" t="s">
        <v>148</v>
      </c>
      <c r="AD292" t="s">
        <v>148</v>
      </c>
      <c r="AE292" t="s">
        <v>148</v>
      </c>
      <c r="AF292" t="s">
        <v>3327</v>
      </c>
      <c r="AG292" t="s">
        <v>148</v>
      </c>
      <c r="AH292" t="s">
        <v>148</v>
      </c>
      <c r="AI292" t="s">
        <v>148</v>
      </c>
      <c r="AJ292" t="s">
        <v>3328</v>
      </c>
    </row>
    <row r="293" spans="1:36" x14ac:dyDescent="0.2">
      <c r="A293" t="s">
        <v>1330</v>
      </c>
      <c r="B293" t="s">
        <v>1331</v>
      </c>
      <c r="C293" t="s">
        <v>25</v>
      </c>
      <c r="D293" t="s">
        <v>1333</v>
      </c>
      <c r="E293" t="str">
        <f>HYPERLINK("/pdf/2023_10.1109_icpics58376.2023.10235404_Detection_of_Data_Leakage_Based_on_DNS_Traffic.pdf","open")</f>
        <v>open</v>
      </c>
      <c r="F293" t="s">
        <v>1618</v>
      </c>
      <c r="G293" t="s">
        <v>1651</v>
      </c>
      <c r="H293" t="s">
        <v>3329</v>
      </c>
      <c r="I293" t="s">
        <v>148</v>
      </c>
      <c r="J293" t="s">
        <v>148</v>
      </c>
      <c r="K293" t="s">
        <v>148</v>
      </c>
      <c r="L293" t="s">
        <v>148</v>
      </c>
      <c r="M293" t="s">
        <v>3330</v>
      </c>
      <c r="N293" t="s">
        <v>148</v>
      </c>
      <c r="O293" t="s">
        <v>148</v>
      </c>
      <c r="P293" t="s">
        <v>148</v>
      </c>
      <c r="Q293" t="s">
        <v>148</v>
      </c>
      <c r="R293" t="s">
        <v>148</v>
      </c>
      <c r="S293" t="s">
        <v>1624</v>
      </c>
      <c r="T293" t="s">
        <v>3331</v>
      </c>
      <c r="U293" t="s">
        <v>3332</v>
      </c>
      <c r="V293" t="s">
        <v>148</v>
      </c>
      <c r="W293" t="s">
        <v>3333</v>
      </c>
      <c r="X293" t="s">
        <v>148</v>
      </c>
      <c r="Y293" t="s">
        <v>148</v>
      </c>
      <c r="Z293" t="s">
        <v>148</v>
      </c>
      <c r="AA293" t="s">
        <v>3334</v>
      </c>
      <c r="AB293" t="s">
        <v>1609</v>
      </c>
      <c r="AC293" t="s">
        <v>148</v>
      </c>
      <c r="AD293" t="s">
        <v>148</v>
      </c>
      <c r="AE293" t="s">
        <v>148</v>
      </c>
      <c r="AF293" t="s">
        <v>3335</v>
      </c>
      <c r="AG293" t="s">
        <v>3336</v>
      </c>
      <c r="AH293" t="s">
        <v>3337</v>
      </c>
      <c r="AI293" t="s">
        <v>3338</v>
      </c>
      <c r="AJ293" t="s">
        <v>3339</v>
      </c>
    </row>
    <row r="294" spans="1:36" x14ac:dyDescent="0.2">
      <c r="A294" t="s">
        <v>1335</v>
      </c>
      <c r="B294" t="s">
        <v>1336</v>
      </c>
      <c r="C294" t="s">
        <v>190</v>
      </c>
      <c r="D294" t="s">
        <v>1338</v>
      </c>
      <c r="E294" t="str">
        <f>HYPERLINK("/pdf/2017_10.5220_0006195803800388_Enhancing_accuracy_of_android_malware_detection_using_intent_instrumentation.pdf","open")</f>
        <v>open</v>
      </c>
      <c r="F294" t="s">
        <v>1602</v>
      </c>
      <c r="G294" t="s">
        <v>1651</v>
      </c>
      <c r="H294" t="s">
        <v>3340</v>
      </c>
      <c r="I294" t="s">
        <v>1604</v>
      </c>
      <c r="J294" t="s">
        <v>3061</v>
      </c>
      <c r="K294" t="s">
        <v>1653</v>
      </c>
      <c r="L294" t="s">
        <v>148</v>
      </c>
      <c r="M294" t="s">
        <v>148</v>
      </c>
      <c r="N294" t="s">
        <v>148</v>
      </c>
      <c r="O294" t="s">
        <v>148</v>
      </c>
      <c r="P294" t="s">
        <v>1694</v>
      </c>
      <c r="Q294" t="s">
        <v>148</v>
      </c>
      <c r="R294" t="s">
        <v>148</v>
      </c>
      <c r="S294" t="s">
        <v>148</v>
      </c>
      <c r="T294" t="s">
        <v>148</v>
      </c>
      <c r="U294" t="s">
        <v>148</v>
      </c>
      <c r="V294" t="s">
        <v>148</v>
      </c>
      <c r="W294" t="s">
        <v>148</v>
      </c>
      <c r="X294" t="s">
        <v>148</v>
      </c>
      <c r="Y294" t="s">
        <v>148</v>
      </c>
      <c r="Z294" t="s">
        <v>148</v>
      </c>
      <c r="AA294" t="s">
        <v>3341</v>
      </c>
      <c r="AB294" t="s">
        <v>1604</v>
      </c>
      <c r="AC294" t="s">
        <v>3342</v>
      </c>
      <c r="AD294" t="s">
        <v>148</v>
      </c>
      <c r="AE294" t="s">
        <v>148</v>
      </c>
      <c r="AF294" t="s">
        <v>3343</v>
      </c>
      <c r="AG294" t="s">
        <v>3344</v>
      </c>
      <c r="AH294" t="s">
        <v>3345</v>
      </c>
      <c r="AI294" t="s">
        <v>3346</v>
      </c>
      <c r="AJ294" t="s">
        <v>3347</v>
      </c>
    </row>
    <row r="295" spans="1:36" x14ac:dyDescent="0.2">
      <c r="A295" t="s">
        <v>1340</v>
      </c>
      <c r="B295" t="s">
        <v>1341</v>
      </c>
      <c r="C295" t="s">
        <v>19</v>
      </c>
      <c r="D295" t="s">
        <v>1343</v>
      </c>
      <c r="E295" t="str">
        <f>HYPERLINK("/pdf/2025_10.1007_978-981-96-2468-3_63_An_Approach_for_Malware_Classification_via_API_Call_Extraction_from_Disassembly_Code.pdf","open")</f>
        <v>open</v>
      </c>
      <c r="F295" t="s">
        <v>1618</v>
      </c>
      <c r="G295" t="s">
        <v>3348</v>
      </c>
      <c r="H295" t="s">
        <v>3349</v>
      </c>
      <c r="I295" t="s">
        <v>148</v>
      </c>
      <c r="J295" t="s">
        <v>148</v>
      </c>
      <c r="K295" t="s">
        <v>148</v>
      </c>
      <c r="L295" t="s">
        <v>148</v>
      </c>
      <c r="M295" t="s">
        <v>148</v>
      </c>
      <c r="N295" t="s">
        <v>148</v>
      </c>
      <c r="O295" t="s">
        <v>148</v>
      </c>
      <c r="P295" t="s">
        <v>148</v>
      </c>
      <c r="Q295" t="s">
        <v>148</v>
      </c>
      <c r="R295" t="s">
        <v>148</v>
      </c>
      <c r="S295" t="s">
        <v>148</v>
      </c>
      <c r="T295" t="s">
        <v>148</v>
      </c>
      <c r="U295" t="s">
        <v>148</v>
      </c>
      <c r="V295" t="s">
        <v>148</v>
      </c>
      <c r="W295" t="s">
        <v>148</v>
      </c>
      <c r="X295" t="s">
        <v>148</v>
      </c>
      <c r="Y295" t="s">
        <v>148</v>
      </c>
      <c r="Z295" t="s">
        <v>148</v>
      </c>
      <c r="AA295" t="s">
        <v>148</v>
      </c>
      <c r="AB295" t="s">
        <v>148</v>
      </c>
      <c r="AC295" t="s">
        <v>148</v>
      </c>
      <c r="AD295" t="s">
        <v>148</v>
      </c>
      <c r="AE295" t="s">
        <v>148</v>
      </c>
      <c r="AF295" t="s">
        <v>148</v>
      </c>
      <c r="AG295" t="s">
        <v>148</v>
      </c>
      <c r="AH295" t="s">
        <v>148</v>
      </c>
      <c r="AI295" t="s">
        <v>148</v>
      </c>
      <c r="AJ295" t="s">
        <v>148</v>
      </c>
    </row>
    <row r="296" spans="1:36" x14ac:dyDescent="0.2">
      <c r="A296" t="s">
        <v>1345</v>
      </c>
      <c r="B296" t="s">
        <v>1346</v>
      </c>
      <c r="C296" t="s">
        <v>12</v>
      </c>
      <c r="D296" t="s">
        <v>1347</v>
      </c>
      <c r="E296" t="str">
        <f>HYPERLINK("/pdf/2018_10_11591_ijece_v8i4_pp2247_2253_a_survey_data_leakage_detection_techniques.pdf","open")</f>
        <v>open</v>
      </c>
      <c r="F296" t="s">
        <v>1602</v>
      </c>
      <c r="G296" t="s">
        <v>1602</v>
      </c>
      <c r="H296" t="s">
        <v>3350</v>
      </c>
      <c r="I296" t="s">
        <v>148</v>
      </c>
      <c r="J296" t="s">
        <v>148</v>
      </c>
      <c r="K296" t="s">
        <v>148</v>
      </c>
      <c r="L296" t="s">
        <v>148</v>
      </c>
      <c r="M296" t="s">
        <v>148</v>
      </c>
      <c r="N296" t="s">
        <v>148</v>
      </c>
      <c r="O296" t="s">
        <v>148</v>
      </c>
      <c r="P296" t="s">
        <v>148</v>
      </c>
      <c r="Q296" t="s">
        <v>148</v>
      </c>
      <c r="R296" t="s">
        <v>148</v>
      </c>
      <c r="S296" t="s">
        <v>148</v>
      </c>
      <c r="T296" t="s">
        <v>148</v>
      </c>
      <c r="U296" t="s">
        <v>148</v>
      </c>
      <c r="V296" t="s">
        <v>148</v>
      </c>
      <c r="W296" t="s">
        <v>148</v>
      </c>
      <c r="X296" t="s">
        <v>3351</v>
      </c>
      <c r="Y296" t="s">
        <v>148</v>
      </c>
      <c r="Z296" t="s">
        <v>148</v>
      </c>
      <c r="AA296" t="s">
        <v>3352</v>
      </c>
      <c r="AB296" t="s">
        <v>148</v>
      </c>
      <c r="AC296" t="s">
        <v>148</v>
      </c>
      <c r="AD296" t="s">
        <v>148</v>
      </c>
      <c r="AE296" t="s">
        <v>148</v>
      </c>
      <c r="AF296" t="s">
        <v>3353</v>
      </c>
      <c r="AG296" t="s">
        <v>3354</v>
      </c>
      <c r="AH296" t="s">
        <v>148</v>
      </c>
      <c r="AI296" t="s">
        <v>148</v>
      </c>
      <c r="AJ296" t="s">
        <v>148</v>
      </c>
    </row>
    <row r="297" spans="1:36" x14ac:dyDescent="0.2">
      <c r="A297" t="s">
        <v>1349</v>
      </c>
      <c r="B297" t="s">
        <v>1350</v>
      </c>
      <c r="C297" t="s">
        <v>100</v>
      </c>
      <c r="D297" t="s">
        <v>148</v>
      </c>
      <c r="E297" t="str">
        <f>HYPERLINK("/pdf/2023_10_1109_tdsc_2022_3179698_blockchain_based_transparency_framework_for_privacy_preserving_third_party_services.pdf","open")</f>
        <v>open</v>
      </c>
      <c r="F297" t="s">
        <v>1602</v>
      </c>
      <c r="G297" t="s">
        <v>1602</v>
      </c>
      <c r="H297" t="s">
        <v>3355</v>
      </c>
      <c r="I297" t="s">
        <v>148</v>
      </c>
      <c r="J297" t="s">
        <v>148</v>
      </c>
      <c r="K297" t="s">
        <v>148</v>
      </c>
      <c r="L297" t="s">
        <v>148</v>
      </c>
      <c r="M297" t="s">
        <v>148</v>
      </c>
      <c r="N297" t="s">
        <v>148</v>
      </c>
      <c r="O297" t="s">
        <v>148</v>
      </c>
      <c r="P297" t="s">
        <v>148</v>
      </c>
      <c r="Q297" t="s">
        <v>148</v>
      </c>
      <c r="R297" t="s">
        <v>148</v>
      </c>
      <c r="S297" t="s">
        <v>148</v>
      </c>
      <c r="T297" t="s">
        <v>148</v>
      </c>
      <c r="U297" t="s">
        <v>148</v>
      </c>
      <c r="V297" t="s">
        <v>148</v>
      </c>
      <c r="W297" t="s">
        <v>148</v>
      </c>
      <c r="X297" t="s">
        <v>148</v>
      </c>
      <c r="Y297" t="s">
        <v>148</v>
      </c>
      <c r="Z297" t="s">
        <v>148</v>
      </c>
      <c r="AA297" t="s">
        <v>2740</v>
      </c>
      <c r="AB297" t="s">
        <v>148</v>
      </c>
      <c r="AC297" t="s">
        <v>148</v>
      </c>
      <c r="AD297" t="s">
        <v>1604</v>
      </c>
      <c r="AE297" t="s">
        <v>3356</v>
      </c>
      <c r="AF297" t="s">
        <v>3357</v>
      </c>
      <c r="AG297" t="s">
        <v>3358</v>
      </c>
      <c r="AH297" t="s">
        <v>3359</v>
      </c>
      <c r="AI297" t="s">
        <v>1604</v>
      </c>
      <c r="AJ297" t="s">
        <v>148</v>
      </c>
    </row>
    <row r="298" spans="1:36" x14ac:dyDescent="0.2">
      <c r="A298" t="s">
        <v>1352</v>
      </c>
      <c r="B298" t="s">
        <v>79</v>
      </c>
      <c r="C298" t="s">
        <v>19</v>
      </c>
      <c r="D298" t="s">
        <v>81</v>
      </c>
      <c r="E298" t="str">
        <f>HYPERLINK("/pdf/2025_10_26583_sv_17_5_11_performance_comparison_of_various_software_tools_in_photogrammetry_based_digitization_and.pdf","open")</f>
        <v>open</v>
      </c>
      <c r="F298" t="s">
        <v>1602</v>
      </c>
      <c r="G298" t="s">
        <v>1602</v>
      </c>
      <c r="H298" t="s">
        <v>148</v>
      </c>
      <c r="I298" t="s">
        <v>148</v>
      </c>
      <c r="J298" t="s">
        <v>148</v>
      </c>
      <c r="K298" t="s">
        <v>148</v>
      </c>
      <c r="L298" t="s">
        <v>148</v>
      </c>
      <c r="M298" t="s">
        <v>148</v>
      </c>
      <c r="N298" t="s">
        <v>148</v>
      </c>
      <c r="O298" t="s">
        <v>148</v>
      </c>
      <c r="P298" t="s">
        <v>148</v>
      </c>
      <c r="Q298" t="s">
        <v>148</v>
      </c>
      <c r="R298" t="s">
        <v>148</v>
      </c>
      <c r="S298" t="s">
        <v>148</v>
      </c>
      <c r="T298" t="s">
        <v>148</v>
      </c>
      <c r="U298" t="s">
        <v>148</v>
      </c>
      <c r="V298" t="s">
        <v>148</v>
      </c>
      <c r="W298" t="s">
        <v>148</v>
      </c>
      <c r="X298" t="s">
        <v>148</v>
      </c>
      <c r="Y298" t="s">
        <v>148</v>
      </c>
      <c r="Z298" t="s">
        <v>148</v>
      </c>
      <c r="AA298" t="s">
        <v>3360</v>
      </c>
      <c r="AB298" t="s">
        <v>148</v>
      </c>
      <c r="AC298" t="s">
        <v>148</v>
      </c>
      <c r="AD298" t="s">
        <v>148</v>
      </c>
      <c r="AE298" t="s">
        <v>148</v>
      </c>
      <c r="AF298" t="s">
        <v>3361</v>
      </c>
      <c r="AG298" t="s">
        <v>3362</v>
      </c>
      <c r="AH298" t="s">
        <v>3363</v>
      </c>
      <c r="AI298" t="s">
        <v>148</v>
      </c>
      <c r="AJ298" t="s">
        <v>148</v>
      </c>
    </row>
    <row r="299" spans="1:36" x14ac:dyDescent="0.2">
      <c r="A299" t="s">
        <v>1354</v>
      </c>
      <c r="B299" t="s">
        <v>1341</v>
      </c>
      <c r="C299" t="s">
        <v>19</v>
      </c>
      <c r="D299" t="s">
        <v>1343</v>
      </c>
      <c r="E299" t="str">
        <f>HYPERLINK("/pdf/2025_10.1109_idciot64235.2025.10914826_Artificial_Intelligence_to_Enhance_the_Security_of_Internet_of_Things__A_Comprehensive_Review.pdf","open")</f>
        <v>open</v>
      </c>
      <c r="F299" t="s">
        <v>1618</v>
      </c>
      <c r="G299" t="s">
        <v>2545</v>
      </c>
      <c r="H299" t="s">
        <v>3364</v>
      </c>
      <c r="I299" t="s">
        <v>148</v>
      </c>
      <c r="J299" t="s">
        <v>148</v>
      </c>
      <c r="K299" t="s">
        <v>148</v>
      </c>
      <c r="L299" t="s">
        <v>148</v>
      </c>
      <c r="M299" t="s">
        <v>148</v>
      </c>
      <c r="N299" t="s">
        <v>148</v>
      </c>
      <c r="O299" t="s">
        <v>148</v>
      </c>
      <c r="P299" t="s">
        <v>148</v>
      </c>
      <c r="Q299" t="s">
        <v>148</v>
      </c>
      <c r="R299" t="s">
        <v>148</v>
      </c>
      <c r="S299" t="s">
        <v>148</v>
      </c>
      <c r="T299" t="s">
        <v>148</v>
      </c>
      <c r="U299" t="s">
        <v>148</v>
      </c>
      <c r="V299" t="s">
        <v>148</v>
      </c>
      <c r="W299" t="s">
        <v>148</v>
      </c>
      <c r="X299" t="s">
        <v>148</v>
      </c>
      <c r="Y299" t="s">
        <v>148</v>
      </c>
      <c r="Z299" t="s">
        <v>148</v>
      </c>
      <c r="AA299" t="s">
        <v>148</v>
      </c>
      <c r="AB299" t="s">
        <v>148</v>
      </c>
      <c r="AC299" t="s">
        <v>148</v>
      </c>
      <c r="AD299" t="s">
        <v>148</v>
      </c>
      <c r="AE299" t="s">
        <v>148</v>
      </c>
      <c r="AF299" t="s">
        <v>148</v>
      </c>
      <c r="AG299" t="s">
        <v>148</v>
      </c>
      <c r="AH299" t="s">
        <v>148</v>
      </c>
      <c r="AI299" t="s">
        <v>148</v>
      </c>
      <c r="AJ299" t="s">
        <v>148</v>
      </c>
    </row>
    <row r="300" spans="1:36" x14ac:dyDescent="0.2">
      <c r="A300" t="s">
        <v>1357</v>
      </c>
      <c r="B300" t="s">
        <v>1358</v>
      </c>
      <c r="C300" t="s">
        <v>19</v>
      </c>
      <c r="D300" t="s">
        <v>1359</v>
      </c>
      <c r="E300" t="str">
        <f>HYPERLINK("/pdf/2025_10_14445_23488549_ijece_v12i8p111_real_time_intrusion_detection_using_adaptive_sliding_windows_for_concept_drift.pdf","open")</f>
        <v>open</v>
      </c>
      <c r="F300" t="s">
        <v>1606</v>
      </c>
      <c r="G300" t="s">
        <v>1607</v>
      </c>
      <c r="H300" t="s">
        <v>3365</v>
      </c>
      <c r="I300" t="s">
        <v>148</v>
      </c>
      <c r="J300" t="s">
        <v>148</v>
      </c>
      <c r="K300" t="s">
        <v>148</v>
      </c>
      <c r="L300" t="s">
        <v>148</v>
      </c>
      <c r="M300" t="s">
        <v>3366</v>
      </c>
      <c r="N300" t="s">
        <v>148</v>
      </c>
      <c r="O300" t="s">
        <v>148</v>
      </c>
      <c r="P300" t="s">
        <v>148</v>
      </c>
      <c r="Q300" t="s">
        <v>148</v>
      </c>
      <c r="R300" t="s">
        <v>148</v>
      </c>
      <c r="S300" t="s">
        <v>1602</v>
      </c>
      <c r="T300" t="s">
        <v>148</v>
      </c>
      <c r="U300" t="s">
        <v>148</v>
      </c>
      <c r="V300" t="s">
        <v>148</v>
      </c>
      <c r="W300" t="s">
        <v>148</v>
      </c>
      <c r="X300" t="s">
        <v>3367</v>
      </c>
      <c r="Y300" t="s">
        <v>148</v>
      </c>
      <c r="Z300" t="s">
        <v>148</v>
      </c>
      <c r="AA300" t="s">
        <v>1776</v>
      </c>
      <c r="AB300" t="s">
        <v>1604</v>
      </c>
      <c r="AC300" t="s">
        <v>148</v>
      </c>
      <c r="AD300" t="s">
        <v>148</v>
      </c>
      <c r="AE300" t="s">
        <v>148</v>
      </c>
      <c r="AF300" t="s">
        <v>1613</v>
      </c>
      <c r="AG300" t="s">
        <v>1614</v>
      </c>
      <c r="AH300" t="s">
        <v>3368</v>
      </c>
      <c r="AI300" t="s">
        <v>148</v>
      </c>
      <c r="AJ300" t="s">
        <v>1771</v>
      </c>
    </row>
    <row r="301" spans="1:36" x14ac:dyDescent="0.2">
      <c r="A301" t="s">
        <v>1361</v>
      </c>
      <c r="B301" t="s">
        <v>1362</v>
      </c>
      <c r="C301" t="s">
        <v>54</v>
      </c>
      <c r="D301" t="s">
        <v>148</v>
      </c>
      <c r="E301" t="str">
        <f>HYPERLINK("/pdf/2020_10_14569_ijacsa_2020_0111183_plusapps_towards_a_privacy_risk_analysis_for_android_plus_applications.pdf","open")</f>
        <v>open</v>
      </c>
      <c r="F301" t="s">
        <v>1606</v>
      </c>
      <c r="G301" t="s">
        <v>1651</v>
      </c>
      <c r="H301" t="s">
        <v>3369</v>
      </c>
      <c r="I301" t="s">
        <v>1609</v>
      </c>
      <c r="J301" t="s">
        <v>148</v>
      </c>
      <c r="K301" t="s">
        <v>148</v>
      </c>
      <c r="L301" t="s">
        <v>148</v>
      </c>
      <c r="M301" t="s">
        <v>2865</v>
      </c>
      <c r="N301" t="s">
        <v>3051</v>
      </c>
      <c r="O301" t="s">
        <v>1604</v>
      </c>
      <c r="P301" t="s">
        <v>2558</v>
      </c>
      <c r="Q301" t="s">
        <v>3370</v>
      </c>
      <c r="R301" t="s">
        <v>3371</v>
      </c>
      <c r="S301" t="s">
        <v>1654</v>
      </c>
      <c r="T301" t="s">
        <v>3372</v>
      </c>
      <c r="U301" t="s">
        <v>1609</v>
      </c>
      <c r="V301" t="s">
        <v>148</v>
      </c>
      <c r="W301" t="s">
        <v>1604</v>
      </c>
      <c r="X301" t="s">
        <v>148</v>
      </c>
      <c r="Y301" t="s">
        <v>148</v>
      </c>
      <c r="Z301" t="s">
        <v>148</v>
      </c>
      <c r="AA301" t="s">
        <v>3373</v>
      </c>
      <c r="AB301" t="s">
        <v>1609</v>
      </c>
      <c r="AC301" t="s">
        <v>148</v>
      </c>
      <c r="AD301" t="s">
        <v>148</v>
      </c>
      <c r="AE301" t="s">
        <v>148</v>
      </c>
      <c r="AF301" t="s">
        <v>3374</v>
      </c>
      <c r="AG301" t="s">
        <v>1614</v>
      </c>
      <c r="AH301" t="s">
        <v>3375</v>
      </c>
      <c r="AI301" t="s">
        <v>2816</v>
      </c>
      <c r="AJ301" t="s">
        <v>3376</v>
      </c>
    </row>
    <row r="302" spans="1:36" x14ac:dyDescent="0.2">
      <c r="A302" t="s">
        <v>1365</v>
      </c>
      <c r="B302" t="s">
        <v>1366</v>
      </c>
      <c r="C302" t="s">
        <v>60</v>
      </c>
      <c r="D302" t="s">
        <v>1367</v>
      </c>
      <c r="E302" t="str">
        <f>HYPERLINK("/pdf/2024_10.1016_j.neucom.2024.128010_A_review_of_deep_learning_based_malware_detection_techniques.pdf","open")</f>
        <v>open</v>
      </c>
      <c r="F302" t="s">
        <v>1606</v>
      </c>
      <c r="G302" t="s">
        <v>1651</v>
      </c>
      <c r="H302" t="s">
        <v>3377</v>
      </c>
      <c r="I302" t="s">
        <v>3378</v>
      </c>
      <c r="J302" t="s">
        <v>3061</v>
      </c>
      <c r="K302" t="s">
        <v>1653</v>
      </c>
      <c r="L302" t="s">
        <v>3379</v>
      </c>
      <c r="M302" t="s">
        <v>148</v>
      </c>
      <c r="N302" t="s">
        <v>148</v>
      </c>
      <c r="O302" t="s">
        <v>3380</v>
      </c>
      <c r="P302" t="s">
        <v>3381</v>
      </c>
      <c r="Q302" t="s">
        <v>148</v>
      </c>
      <c r="R302" t="s">
        <v>148</v>
      </c>
      <c r="S302" t="s">
        <v>148</v>
      </c>
      <c r="T302" t="s">
        <v>148</v>
      </c>
      <c r="U302" t="s">
        <v>148</v>
      </c>
      <c r="V302" t="s">
        <v>148</v>
      </c>
      <c r="W302" t="s">
        <v>3382</v>
      </c>
      <c r="X302" t="s">
        <v>3383</v>
      </c>
      <c r="Y302" t="s">
        <v>148</v>
      </c>
      <c r="Z302" t="s">
        <v>148</v>
      </c>
      <c r="AA302" t="s">
        <v>3384</v>
      </c>
      <c r="AB302" t="s">
        <v>1604</v>
      </c>
      <c r="AC302" t="s">
        <v>148</v>
      </c>
      <c r="AD302" t="s">
        <v>148</v>
      </c>
      <c r="AE302" t="s">
        <v>148</v>
      </c>
      <c r="AF302" t="s">
        <v>3385</v>
      </c>
      <c r="AG302" t="s">
        <v>1614</v>
      </c>
      <c r="AH302" t="s">
        <v>148</v>
      </c>
      <c r="AI302" t="s">
        <v>148</v>
      </c>
      <c r="AJ302" t="s">
        <v>3386</v>
      </c>
    </row>
    <row r="303" spans="1:36" x14ac:dyDescent="0.2">
      <c r="A303" t="s">
        <v>1369</v>
      </c>
      <c r="B303" t="s">
        <v>1370</v>
      </c>
      <c r="C303" t="s">
        <v>19</v>
      </c>
      <c r="D303" t="s">
        <v>1371</v>
      </c>
      <c r="E303" t="str">
        <f>HYPERLINK("/pdf/2025_10.1007_s13198-025-03002-0_Artificial_intelligence_big_data_optimization_and_network_security_promote_rural_infrastructure_investment_dec.pdf","open")</f>
        <v>open</v>
      </c>
      <c r="F303" t="s">
        <v>1602</v>
      </c>
      <c r="G303" t="s">
        <v>1602</v>
      </c>
      <c r="H303" t="s">
        <v>148</v>
      </c>
      <c r="I303" t="s">
        <v>148</v>
      </c>
      <c r="J303" t="s">
        <v>1602</v>
      </c>
      <c r="K303" t="s">
        <v>148</v>
      </c>
      <c r="L303" t="s">
        <v>148</v>
      </c>
      <c r="M303" t="s">
        <v>148</v>
      </c>
      <c r="N303" t="s">
        <v>148</v>
      </c>
      <c r="O303" t="s">
        <v>148</v>
      </c>
      <c r="P303" t="s">
        <v>148</v>
      </c>
      <c r="Q303" t="s">
        <v>148</v>
      </c>
      <c r="R303" t="s">
        <v>148</v>
      </c>
      <c r="S303" t="s">
        <v>148</v>
      </c>
      <c r="T303" t="s">
        <v>148</v>
      </c>
      <c r="U303" t="s">
        <v>148</v>
      </c>
      <c r="V303" t="s">
        <v>148</v>
      </c>
      <c r="W303" t="s">
        <v>148</v>
      </c>
      <c r="X303" t="s">
        <v>148</v>
      </c>
      <c r="Y303" t="s">
        <v>148</v>
      </c>
      <c r="Z303" t="s">
        <v>148</v>
      </c>
      <c r="AA303" t="s">
        <v>148</v>
      </c>
      <c r="AB303" t="s">
        <v>148</v>
      </c>
      <c r="AC303" t="s">
        <v>148</v>
      </c>
      <c r="AD303" t="s">
        <v>148</v>
      </c>
      <c r="AE303" t="s">
        <v>148</v>
      </c>
      <c r="AF303" t="s">
        <v>3387</v>
      </c>
      <c r="AG303" t="s">
        <v>3388</v>
      </c>
      <c r="AH303" t="s">
        <v>148</v>
      </c>
      <c r="AI303" t="s">
        <v>148</v>
      </c>
      <c r="AJ303" t="s">
        <v>148</v>
      </c>
    </row>
    <row r="304" spans="1:36" x14ac:dyDescent="0.2">
      <c r="A304" t="s">
        <v>1373</v>
      </c>
      <c r="B304" t="s">
        <v>1374</v>
      </c>
      <c r="C304" t="s">
        <v>19</v>
      </c>
      <c r="D304" t="s">
        <v>1376</v>
      </c>
      <c r="E304" t="str">
        <f>HYPERLINK("/pdf/2025_10.1109_dapic66097.2025.00172_Design_of_Artificial_Intelligence_Aided_Network_Intrusion_Detection_System_for_Critical_Infrastructure.pdf.pdf","open")</f>
        <v>open</v>
      </c>
      <c r="F304" t="s">
        <v>1606</v>
      </c>
      <c r="G304" t="s">
        <v>1607</v>
      </c>
      <c r="H304" t="s">
        <v>3389</v>
      </c>
      <c r="I304" t="s">
        <v>148</v>
      </c>
      <c r="J304" t="s">
        <v>148</v>
      </c>
      <c r="K304" t="s">
        <v>148</v>
      </c>
      <c r="L304" t="s">
        <v>148</v>
      </c>
      <c r="M304" t="s">
        <v>2865</v>
      </c>
      <c r="N304" t="s">
        <v>148</v>
      </c>
      <c r="O304" t="s">
        <v>148</v>
      </c>
      <c r="P304" t="s">
        <v>3072</v>
      </c>
      <c r="Q304" t="s">
        <v>148</v>
      </c>
      <c r="R304" t="s">
        <v>3390</v>
      </c>
      <c r="S304" t="s">
        <v>1655</v>
      </c>
      <c r="T304" t="s">
        <v>3391</v>
      </c>
      <c r="U304" t="s">
        <v>148</v>
      </c>
      <c r="V304" t="s">
        <v>148</v>
      </c>
      <c r="W304" t="s">
        <v>3392</v>
      </c>
      <c r="X304" t="s">
        <v>148</v>
      </c>
      <c r="Y304" t="s">
        <v>148</v>
      </c>
      <c r="Z304" t="s">
        <v>148</v>
      </c>
      <c r="AA304" t="s">
        <v>3393</v>
      </c>
      <c r="AB304" t="s">
        <v>1604</v>
      </c>
      <c r="AC304" t="s">
        <v>148</v>
      </c>
      <c r="AD304" t="s">
        <v>148</v>
      </c>
      <c r="AE304" t="s">
        <v>148</v>
      </c>
      <c r="AF304" t="s">
        <v>3394</v>
      </c>
      <c r="AG304" t="s">
        <v>1614</v>
      </c>
      <c r="AH304" t="s">
        <v>3395</v>
      </c>
      <c r="AI304" t="s">
        <v>2816</v>
      </c>
      <c r="AJ304" t="s">
        <v>148</v>
      </c>
    </row>
    <row r="305" spans="1:36" x14ac:dyDescent="0.2">
      <c r="A305" t="s">
        <v>1378</v>
      </c>
      <c r="B305" t="s">
        <v>1379</v>
      </c>
      <c r="C305" t="s">
        <v>60</v>
      </c>
      <c r="D305" t="s">
        <v>148</v>
      </c>
      <c r="E305" t="str">
        <f>HYPERLINK("/pdf/2024_10_14569_ijacsa_2024_0150281_prominent_security_vulnerabilities_in_cloud_computing.pdf","open")</f>
        <v>open</v>
      </c>
      <c r="F305" t="s">
        <v>1602</v>
      </c>
      <c r="G305" t="s">
        <v>1602</v>
      </c>
      <c r="H305" t="s">
        <v>3396</v>
      </c>
      <c r="I305" t="s">
        <v>148</v>
      </c>
      <c r="J305" t="s">
        <v>148</v>
      </c>
      <c r="K305" t="s">
        <v>148</v>
      </c>
      <c r="L305" t="s">
        <v>148</v>
      </c>
      <c r="M305" t="s">
        <v>148</v>
      </c>
      <c r="N305" t="s">
        <v>148</v>
      </c>
      <c r="O305" t="s">
        <v>148</v>
      </c>
      <c r="P305" t="s">
        <v>148</v>
      </c>
      <c r="Q305" t="s">
        <v>148</v>
      </c>
      <c r="R305" t="s">
        <v>148</v>
      </c>
      <c r="S305" t="s">
        <v>148</v>
      </c>
      <c r="T305" t="s">
        <v>148</v>
      </c>
      <c r="U305" t="s">
        <v>148</v>
      </c>
      <c r="V305" t="s">
        <v>148</v>
      </c>
      <c r="W305" t="s">
        <v>148</v>
      </c>
      <c r="X305" t="s">
        <v>148</v>
      </c>
      <c r="Y305" t="s">
        <v>148</v>
      </c>
      <c r="Z305" t="s">
        <v>148</v>
      </c>
      <c r="AA305" t="s">
        <v>148</v>
      </c>
      <c r="AB305" t="s">
        <v>148</v>
      </c>
      <c r="AC305" t="s">
        <v>148</v>
      </c>
      <c r="AD305" t="s">
        <v>148</v>
      </c>
      <c r="AE305" t="s">
        <v>148</v>
      </c>
      <c r="AF305" t="s">
        <v>148</v>
      </c>
      <c r="AG305" t="s">
        <v>148</v>
      </c>
      <c r="AH305" t="s">
        <v>148</v>
      </c>
      <c r="AI305" t="s">
        <v>148</v>
      </c>
      <c r="AJ305" t="s">
        <v>148</v>
      </c>
    </row>
    <row r="306" spans="1:36" x14ac:dyDescent="0.2">
      <c r="A306" t="s">
        <v>1381</v>
      </c>
      <c r="B306" t="s">
        <v>1382</v>
      </c>
      <c r="C306" t="s">
        <v>36</v>
      </c>
      <c r="D306" t="s">
        <v>1384</v>
      </c>
      <c r="E306" t="str">
        <f>HYPERLINK("/pdf/2021_10.1109_icsc53193.2021.9673380_Detection_of_Tunneling_in_DNS_over_HTTPS.pdf","open")</f>
        <v>open</v>
      </c>
      <c r="F306" t="s">
        <v>3218</v>
      </c>
      <c r="G306" t="s">
        <v>1602</v>
      </c>
      <c r="H306" t="s">
        <v>3397</v>
      </c>
      <c r="I306" t="s">
        <v>148</v>
      </c>
      <c r="J306" t="s">
        <v>148</v>
      </c>
      <c r="K306" t="s">
        <v>148</v>
      </c>
      <c r="L306" t="s">
        <v>148</v>
      </c>
      <c r="M306" t="s">
        <v>3398</v>
      </c>
      <c r="N306" t="s">
        <v>148</v>
      </c>
      <c r="O306" t="s">
        <v>148</v>
      </c>
      <c r="P306" t="s">
        <v>148</v>
      </c>
      <c r="Q306" t="s">
        <v>148</v>
      </c>
      <c r="R306" t="s">
        <v>148</v>
      </c>
      <c r="S306" t="s">
        <v>148</v>
      </c>
      <c r="T306" t="s">
        <v>148</v>
      </c>
      <c r="U306" t="s">
        <v>148</v>
      </c>
      <c r="V306" t="s">
        <v>148</v>
      </c>
      <c r="W306" t="s">
        <v>148</v>
      </c>
      <c r="X306" t="s">
        <v>148</v>
      </c>
      <c r="Y306" t="s">
        <v>148</v>
      </c>
      <c r="Z306" t="s">
        <v>148</v>
      </c>
      <c r="AA306" t="s">
        <v>3399</v>
      </c>
      <c r="AB306" t="s">
        <v>1604</v>
      </c>
      <c r="AC306" t="s">
        <v>3400</v>
      </c>
      <c r="AD306" t="s">
        <v>148</v>
      </c>
      <c r="AE306" t="s">
        <v>148</v>
      </c>
      <c r="AF306" t="s">
        <v>3401</v>
      </c>
      <c r="AG306" t="s">
        <v>2036</v>
      </c>
      <c r="AH306" t="s">
        <v>3402</v>
      </c>
      <c r="AI306" t="s">
        <v>148</v>
      </c>
      <c r="AJ306" t="s">
        <v>148</v>
      </c>
    </row>
    <row r="307" spans="1:36" x14ac:dyDescent="0.2">
      <c r="A307" t="s">
        <v>1386</v>
      </c>
      <c r="B307" t="s">
        <v>1387</v>
      </c>
      <c r="C307" t="s">
        <v>100</v>
      </c>
      <c r="D307" t="s">
        <v>1389</v>
      </c>
      <c r="E307" t="str">
        <f>HYPERLINK("/pdf/2022_10.1109_icecet55527.2022.9872999_Data_Privacy_on_using_Four_Models-_A_Review.pdf","open")</f>
        <v>open</v>
      </c>
      <c r="F307" t="s">
        <v>1602</v>
      </c>
      <c r="G307" t="s">
        <v>1602</v>
      </c>
      <c r="H307" t="s">
        <v>3403</v>
      </c>
      <c r="I307" t="s">
        <v>148</v>
      </c>
      <c r="J307" t="s">
        <v>148</v>
      </c>
      <c r="K307" t="s">
        <v>148</v>
      </c>
      <c r="L307" t="s">
        <v>148</v>
      </c>
      <c r="M307" t="s">
        <v>148</v>
      </c>
      <c r="N307" t="s">
        <v>148</v>
      </c>
      <c r="O307" t="s">
        <v>148</v>
      </c>
      <c r="P307" t="s">
        <v>148</v>
      </c>
      <c r="Q307" t="s">
        <v>148</v>
      </c>
      <c r="R307" t="s">
        <v>148</v>
      </c>
      <c r="S307" t="s">
        <v>148</v>
      </c>
      <c r="T307" t="s">
        <v>148</v>
      </c>
      <c r="U307" t="s">
        <v>148</v>
      </c>
      <c r="V307" t="s">
        <v>148</v>
      </c>
      <c r="W307" t="s">
        <v>148</v>
      </c>
      <c r="X307" t="s">
        <v>148</v>
      </c>
      <c r="Y307" t="s">
        <v>148</v>
      </c>
      <c r="Z307" t="s">
        <v>148</v>
      </c>
      <c r="AA307" t="s">
        <v>148</v>
      </c>
      <c r="AB307" t="s">
        <v>148</v>
      </c>
      <c r="AC307" t="s">
        <v>148</v>
      </c>
      <c r="AD307" t="s">
        <v>148</v>
      </c>
      <c r="AE307" t="s">
        <v>148</v>
      </c>
      <c r="AF307" t="s">
        <v>148</v>
      </c>
      <c r="AG307" t="s">
        <v>148</v>
      </c>
      <c r="AH307" t="s">
        <v>148</v>
      </c>
      <c r="AI307" t="s">
        <v>148</v>
      </c>
      <c r="AJ307" t="s">
        <v>148</v>
      </c>
    </row>
    <row r="308" spans="1:36" x14ac:dyDescent="0.2">
      <c r="A308" t="s">
        <v>1391</v>
      </c>
      <c r="B308" t="s">
        <v>1392</v>
      </c>
      <c r="C308" t="s">
        <v>156</v>
      </c>
      <c r="D308" t="s">
        <v>148</v>
      </c>
      <c r="E308" t="str">
        <f>HYPERLINK("/pdf/2013_10.1109_ijcnn.2013.6706768_Concept_drift_detection_for_online_class_imbalance_learning.pdf","open")</f>
        <v>open</v>
      </c>
      <c r="F308" t="s">
        <v>1606</v>
      </c>
      <c r="G308" t="s">
        <v>1607</v>
      </c>
      <c r="H308" t="s">
        <v>3404</v>
      </c>
      <c r="I308" t="s">
        <v>148</v>
      </c>
      <c r="J308" t="s">
        <v>148</v>
      </c>
      <c r="K308" t="s">
        <v>1635</v>
      </c>
      <c r="L308" t="s">
        <v>148</v>
      </c>
      <c r="M308" t="s">
        <v>2991</v>
      </c>
      <c r="N308" t="s">
        <v>148</v>
      </c>
      <c r="O308" t="s">
        <v>148</v>
      </c>
      <c r="P308" t="s">
        <v>148</v>
      </c>
      <c r="Q308" t="s">
        <v>148</v>
      </c>
      <c r="R308" t="s">
        <v>3405</v>
      </c>
      <c r="S308" t="s">
        <v>3405</v>
      </c>
      <c r="T308" t="s">
        <v>1952</v>
      </c>
      <c r="U308" t="s">
        <v>3406</v>
      </c>
      <c r="V308" t="s">
        <v>148</v>
      </c>
      <c r="W308" t="s">
        <v>148</v>
      </c>
      <c r="X308" t="s">
        <v>3407</v>
      </c>
      <c r="Y308" t="s">
        <v>148</v>
      </c>
      <c r="Z308" t="s">
        <v>148</v>
      </c>
      <c r="AA308" t="s">
        <v>3408</v>
      </c>
      <c r="AB308" t="s">
        <v>1604</v>
      </c>
      <c r="AC308" t="s">
        <v>148</v>
      </c>
      <c r="AD308" t="s">
        <v>1604</v>
      </c>
      <c r="AE308" t="s">
        <v>148</v>
      </c>
      <c r="AF308" t="s">
        <v>3409</v>
      </c>
      <c r="AG308" t="s">
        <v>3410</v>
      </c>
      <c r="AH308" t="s">
        <v>3411</v>
      </c>
      <c r="AI308" t="s">
        <v>957</v>
      </c>
      <c r="AJ308" t="s">
        <v>3412</v>
      </c>
    </row>
    <row r="309" spans="1:36" x14ac:dyDescent="0.2">
      <c r="A309" t="s">
        <v>1394</v>
      </c>
      <c r="B309" t="s">
        <v>1395</v>
      </c>
      <c r="C309" t="s">
        <v>19</v>
      </c>
      <c r="D309" t="s">
        <v>1397</v>
      </c>
      <c r="E309" t="str">
        <f>HYPERLINK("/pdf/2025_10.1016_j.csa.2025.100098_Leveraging_federated_learning_for_DoS_attack_detection_in_IoT_networks_based_on_ensemble_feature_selection_and.pdf","open")</f>
        <v>open</v>
      </c>
      <c r="F309" t="s">
        <v>1606</v>
      </c>
      <c r="G309" t="s">
        <v>1607</v>
      </c>
      <c r="H309" t="s">
        <v>3413</v>
      </c>
      <c r="I309" t="s">
        <v>148</v>
      </c>
      <c r="J309" t="s">
        <v>148</v>
      </c>
      <c r="K309" t="s">
        <v>148</v>
      </c>
      <c r="L309" t="s">
        <v>148</v>
      </c>
      <c r="M309" t="s">
        <v>3414</v>
      </c>
      <c r="N309" t="s">
        <v>148</v>
      </c>
      <c r="O309" t="s">
        <v>148</v>
      </c>
      <c r="P309" t="s">
        <v>148</v>
      </c>
      <c r="Q309" t="s">
        <v>148</v>
      </c>
      <c r="R309" t="s">
        <v>148</v>
      </c>
      <c r="S309" t="s">
        <v>1655</v>
      </c>
      <c r="T309" t="s">
        <v>3415</v>
      </c>
      <c r="U309" t="s">
        <v>148</v>
      </c>
      <c r="V309" t="s">
        <v>148</v>
      </c>
      <c r="W309" t="s">
        <v>3416</v>
      </c>
      <c r="X309" t="s">
        <v>3417</v>
      </c>
      <c r="Y309" t="s">
        <v>148</v>
      </c>
      <c r="Z309" t="s">
        <v>148</v>
      </c>
      <c r="AA309" t="s">
        <v>3418</v>
      </c>
      <c r="AB309" t="s">
        <v>1604</v>
      </c>
      <c r="AC309" t="s">
        <v>148</v>
      </c>
      <c r="AD309" t="s">
        <v>1604</v>
      </c>
      <c r="AE309" t="s">
        <v>148</v>
      </c>
      <c r="AF309" t="s">
        <v>3419</v>
      </c>
      <c r="AG309" t="s">
        <v>1614</v>
      </c>
      <c r="AH309" t="s">
        <v>3420</v>
      </c>
      <c r="AI309" t="s">
        <v>3421</v>
      </c>
      <c r="AJ309" t="s">
        <v>3422</v>
      </c>
    </row>
    <row r="310" spans="1:36" x14ac:dyDescent="0.2">
      <c r="A310" t="s">
        <v>1399</v>
      </c>
      <c r="B310" t="s">
        <v>1400</v>
      </c>
      <c r="C310" t="s">
        <v>48</v>
      </c>
      <c r="D310" t="s">
        <v>1401</v>
      </c>
      <c r="E310" t="str">
        <f>HYPERLINK("/pdf/2026_10.32604_cmc.2025.069102_LightweightMulti-Agent_edge_framework_for_cybersecurity_and_resource_optimization_inmobile_sensor_networks.pdf","open")</f>
        <v>open</v>
      </c>
      <c r="F310" t="s">
        <v>1618</v>
      </c>
      <c r="G310" t="s">
        <v>1607</v>
      </c>
      <c r="H310" t="s">
        <v>3423</v>
      </c>
      <c r="I310" t="s">
        <v>1604</v>
      </c>
      <c r="J310" t="s">
        <v>1733</v>
      </c>
      <c r="K310" t="s">
        <v>1664</v>
      </c>
      <c r="L310" t="s">
        <v>148</v>
      </c>
      <c r="M310" t="s">
        <v>3424</v>
      </c>
      <c r="N310" t="s">
        <v>148</v>
      </c>
      <c r="O310" t="s">
        <v>1622</v>
      </c>
      <c r="P310" t="s">
        <v>1694</v>
      </c>
      <c r="Q310" t="s">
        <v>148</v>
      </c>
      <c r="R310" t="s">
        <v>148</v>
      </c>
      <c r="S310" t="s">
        <v>148</v>
      </c>
      <c r="T310" t="s">
        <v>148</v>
      </c>
      <c r="U310" t="s">
        <v>148</v>
      </c>
      <c r="V310" t="s">
        <v>148</v>
      </c>
      <c r="W310" t="s">
        <v>148</v>
      </c>
      <c r="X310" t="s">
        <v>148</v>
      </c>
      <c r="Y310" t="s">
        <v>148</v>
      </c>
      <c r="Z310" t="s">
        <v>148</v>
      </c>
      <c r="AA310" t="s">
        <v>3425</v>
      </c>
      <c r="AB310" t="s">
        <v>1604</v>
      </c>
      <c r="AC310" t="s">
        <v>148</v>
      </c>
      <c r="AD310" t="s">
        <v>148</v>
      </c>
      <c r="AE310" t="s">
        <v>148</v>
      </c>
      <c r="AF310" t="s">
        <v>3426</v>
      </c>
      <c r="AG310" t="s">
        <v>3427</v>
      </c>
      <c r="AH310" t="s">
        <v>3428</v>
      </c>
      <c r="AI310" t="s">
        <v>2998</v>
      </c>
      <c r="AJ310" t="s">
        <v>3429</v>
      </c>
    </row>
    <row r="311" spans="1:36" x14ac:dyDescent="0.2">
      <c r="A311" t="s">
        <v>1403</v>
      </c>
      <c r="B311" t="s">
        <v>1350</v>
      </c>
      <c r="C311" t="s">
        <v>100</v>
      </c>
      <c r="D311" t="s">
        <v>148</v>
      </c>
      <c r="E311" t="str">
        <f>HYPERLINK("/pdf/2023_10_1109_tdsc_2022_3179698_blockchain_based_transparency_framework_for_privacy_preserving_third_party_servi.pdf","open")</f>
        <v>open</v>
      </c>
      <c r="F311" t="s">
        <v>1602</v>
      </c>
      <c r="G311" t="s">
        <v>1602</v>
      </c>
      <c r="H311" t="s">
        <v>3355</v>
      </c>
      <c r="I311" t="s">
        <v>148</v>
      </c>
      <c r="J311" t="s">
        <v>1602</v>
      </c>
      <c r="K311" t="s">
        <v>148</v>
      </c>
      <c r="L311" t="s">
        <v>148</v>
      </c>
      <c r="M311" t="s">
        <v>148</v>
      </c>
      <c r="N311" t="s">
        <v>148</v>
      </c>
      <c r="O311" t="s">
        <v>148</v>
      </c>
      <c r="P311" t="s">
        <v>148</v>
      </c>
      <c r="Q311" t="s">
        <v>148</v>
      </c>
      <c r="R311" t="s">
        <v>148</v>
      </c>
      <c r="S311" t="s">
        <v>148</v>
      </c>
      <c r="T311" t="s">
        <v>148</v>
      </c>
      <c r="U311" t="s">
        <v>148</v>
      </c>
      <c r="V311" t="s">
        <v>148</v>
      </c>
      <c r="W311" t="s">
        <v>148</v>
      </c>
      <c r="X311" t="s">
        <v>148</v>
      </c>
      <c r="Y311" t="s">
        <v>148</v>
      </c>
      <c r="Z311" t="s">
        <v>148</v>
      </c>
      <c r="AA311" t="s">
        <v>2740</v>
      </c>
      <c r="AB311" t="s">
        <v>148</v>
      </c>
      <c r="AC311" t="s">
        <v>148</v>
      </c>
      <c r="AD311" t="s">
        <v>1604</v>
      </c>
      <c r="AE311" t="s">
        <v>3356</v>
      </c>
      <c r="AF311" t="s">
        <v>3430</v>
      </c>
      <c r="AG311" t="s">
        <v>3358</v>
      </c>
      <c r="AH311" t="s">
        <v>148</v>
      </c>
      <c r="AI311" t="s">
        <v>148</v>
      </c>
      <c r="AJ311" t="s">
        <v>148</v>
      </c>
    </row>
    <row r="312" spans="1:36" x14ac:dyDescent="0.2">
      <c r="A312" t="s">
        <v>1405</v>
      </c>
      <c r="B312" t="s">
        <v>1406</v>
      </c>
      <c r="C312" t="s">
        <v>19</v>
      </c>
      <c r="D312" t="s">
        <v>1408</v>
      </c>
      <c r="E312" t="str">
        <f>HYPERLINK("/pdf/2025_10.18196_jrc.v6i1.24529_A_Customized_Temporal_Federated_Learning_Through_Adversarial_Networks_for_Cyber_Attack_Detection_in_IoT.pdf","open")</f>
        <v>open</v>
      </c>
      <c r="F312" t="s">
        <v>1633</v>
      </c>
      <c r="G312" t="s">
        <v>1607</v>
      </c>
      <c r="H312" t="s">
        <v>3431</v>
      </c>
      <c r="I312" t="s">
        <v>148</v>
      </c>
      <c r="J312" t="s">
        <v>148</v>
      </c>
      <c r="K312" t="s">
        <v>2871</v>
      </c>
      <c r="L312" t="s">
        <v>148</v>
      </c>
      <c r="M312" t="s">
        <v>1871</v>
      </c>
      <c r="N312" t="s">
        <v>148</v>
      </c>
      <c r="O312" t="s">
        <v>1604</v>
      </c>
      <c r="P312" t="s">
        <v>1827</v>
      </c>
      <c r="Q312" t="s">
        <v>148</v>
      </c>
      <c r="R312" t="s">
        <v>3432</v>
      </c>
      <c r="S312" t="s">
        <v>148</v>
      </c>
      <c r="T312" t="s">
        <v>148</v>
      </c>
      <c r="U312" t="s">
        <v>148</v>
      </c>
      <c r="V312" t="s">
        <v>148</v>
      </c>
      <c r="W312" t="s">
        <v>148</v>
      </c>
      <c r="X312" t="s">
        <v>3433</v>
      </c>
      <c r="Y312" t="s">
        <v>148</v>
      </c>
      <c r="Z312" t="s">
        <v>148</v>
      </c>
      <c r="AA312" t="s">
        <v>3434</v>
      </c>
      <c r="AB312" t="s">
        <v>1604</v>
      </c>
      <c r="AC312" t="s">
        <v>148</v>
      </c>
      <c r="AD312" t="s">
        <v>148</v>
      </c>
      <c r="AE312" t="s">
        <v>148</v>
      </c>
      <c r="AF312" t="s">
        <v>3435</v>
      </c>
      <c r="AG312" t="s">
        <v>1614</v>
      </c>
      <c r="AH312" t="s">
        <v>3436</v>
      </c>
      <c r="AI312" t="s">
        <v>148</v>
      </c>
      <c r="AJ312" t="s">
        <v>3437</v>
      </c>
    </row>
    <row r="313" spans="1:36" x14ac:dyDescent="0.2">
      <c r="A313" t="s">
        <v>1410</v>
      </c>
      <c r="B313" t="s">
        <v>1411</v>
      </c>
      <c r="C313" t="s">
        <v>12</v>
      </c>
      <c r="D313" t="s">
        <v>1412</v>
      </c>
      <c r="E313" t="str">
        <f>HYPERLINK("/pdf/2018_10_1109_noms_2018_8406153_generation_of_sdn_policies_for_protecting_android_environments_based_on_automata_learning.pdf","open")</f>
        <v>open</v>
      </c>
      <c r="F313" t="s">
        <v>1618</v>
      </c>
      <c r="G313" t="s">
        <v>1607</v>
      </c>
      <c r="H313" t="s">
        <v>3438</v>
      </c>
      <c r="I313" t="s">
        <v>3439</v>
      </c>
      <c r="J313" t="s">
        <v>1733</v>
      </c>
      <c r="K313" t="s">
        <v>1653</v>
      </c>
      <c r="L313" t="s">
        <v>148</v>
      </c>
      <c r="M313" t="s">
        <v>148</v>
      </c>
      <c r="N313" t="s">
        <v>148</v>
      </c>
      <c r="O313" t="s">
        <v>148</v>
      </c>
      <c r="P313" t="s">
        <v>148</v>
      </c>
      <c r="Q313" t="s">
        <v>148</v>
      </c>
      <c r="R313" t="s">
        <v>148</v>
      </c>
      <c r="S313" t="s">
        <v>1602</v>
      </c>
      <c r="T313" t="s">
        <v>148</v>
      </c>
      <c r="U313" t="s">
        <v>148</v>
      </c>
      <c r="V313" t="s">
        <v>148</v>
      </c>
      <c r="W313" t="s">
        <v>148</v>
      </c>
      <c r="X313" t="s">
        <v>148</v>
      </c>
      <c r="Y313" t="s">
        <v>1602</v>
      </c>
      <c r="Z313" t="s">
        <v>148</v>
      </c>
      <c r="AA313" t="s">
        <v>3440</v>
      </c>
      <c r="AB313" t="s">
        <v>148</v>
      </c>
      <c r="AC313" t="s">
        <v>148</v>
      </c>
      <c r="AD313" t="s">
        <v>148</v>
      </c>
      <c r="AE313" t="s">
        <v>148</v>
      </c>
      <c r="AF313" t="s">
        <v>3441</v>
      </c>
      <c r="AG313" t="s">
        <v>3442</v>
      </c>
      <c r="AH313" t="s">
        <v>3443</v>
      </c>
      <c r="AI313" t="s">
        <v>148</v>
      </c>
      <c r="AJ313" t="s">
        <v>148</v>
      </c>
    </row>
    <row r="314" spans="1:36" x14ac:dyDescent="0.2">
      <c r="A314" t="s">
        <v>1414</v>
      </c>
      <c r="B314" t="s">
        <v>1415</v>
      </c>
      <c r="C314" t="s">
        <v>60</v>
      </c>
      <c r="D314" t="s">
        <v>1417</v>
      </c>
      <c r="E314" t="str">
        <f>HYPERLINK("/pdf/2024_10.17770_etr2024vol2.8045_Data_Leakage_Prevention_and_Detection_in_Digital_Configurations__А_Survey.pdf","open")</f>
        <v>open</v>
      </c>
      <c r="F314" t="s">
        <v>1602</v>
      </c>
      <c r="G314" t="s">
        <v>1602</v>
      </c>
      <c r="H314" t="s">
        <v>3444</v>
      </c>
      <c r="I314" t="s">
        <v>148</v>
      </c>
      <c r="J314" t="s">
        <v>148</v>
      </c>
      <c r="K314" t="s">
        <v>148</v>
      </c>
      <c r="L314" t="s">
        <v>148</v>
      </c>
      <c r="M314" t="s">
        <v>148</v>
      </c>
      <c r="N314" t="s">
        <v>148</v>
      </c>
      <c r="O314" t="s">
        <v>148</v>
      </c>
      <c r="P314" t="s">
        <v>148</v>
      </c>
      <c r="Q314" t="s">
        <v>148</v>
      </c>
      <c r="R314" t="s">
        <v>148</v>
      </c>
      <c r="S314" t="s">
        <v>148</v>
      </c>
      <c r="T314" t="s">
        <v>148</v>
      </c>
      <c r="U314" t="s">
        <v>148</v>
      </c>
      <c r="V314" t="s">
        <v>148</v>
      </c>
      <c r="W314" t="s">
        <v>148</v>
      </c>
      <c r="X314" t="s">
        <v>148</v>
      </c>
      <c r="Y314" t="s">
        <v>148</v>
      </c>
      <c r="Z314" t="s">
        <v>148</v>
      </c>
      <c r="AA314" t="s">
        <v>148</v>
      </c>
      <c r="AB314" t="s">
        <v>148</v>
      </c>
      <c r="AC314" t="s">
        <v>148</v>
      </c>
      <c r="AD314" t="s">
        <v>148</v>
      </c>
      <c r="AE314" t="s">
        <v>148</v>
      </c>
      <c r="AF314" t="s">
        <v>148</v>
      </c>
      <c r="AG314" t="s">
        <v>148</v>
      </c>
      <c r="AH314" t="s">
        <v>148</v>
      </c>
      <c r="AI314" t="s">
        <v>148</v>
      </c>
      <c r="AJ314" t="s">
        <v>148</v>
      </c>
    </row>
    <row r="315" spans="1:36" x14ac:dyDescent="0.2">
      <c r="A315" t="s">
        <v>1419</v>
      </c>
      <c r="B315" t="s">
        <v>1420</v>
      </c>
      <c r="C315" t="s">
        <v>48</v>
      </c>
      <c r="D315" t="s">
        <v>1422</v>
      </c>
      <c r="E315" t="str">
        <f>HYPERLINK("/pdf/2026_10.1109_emr.2026.3661608_Cognitive_Security_Risks_and_Countermeasures_of_Generative_Artificial_Intelligence_in_Education_Management.pdf","open")</f>
        <v>open</v>
      </c>
      <c r="F315" t="s">
        <v>148</v>
      </c>
      <c r="G315" t="s">
        <v>1602</v>
      </c>
      <c r="H315" t="s">
        <v>3445</v>
      </c>
      <c r="I315" t="s">
        <v>148</v>
      </c>
      <c r="J315" t="s">
        <v>1602</v>
      </c>
      <c r="K315" t="s">
        <v>148</v>
      </c>
      <c r="L315" t="s">
        <v>148</v>
      </c>
      <c r="M315" t="s">
        <v>148</v>
      </c>
      <c r="N315" t="s">
        <v>148</v>
      </c>
      <c r="O315" t="s">
        <v>148</v>
      </c>
      <c r="P315" t="s">
        <v>148</v>
      </c>
      <c r="Q315" t="s">
        <v>148</v>
      </c>
      <c r="R315" t="s">
        <v>148</v>
      </c>
      <c r="S315" t="s">
        <v>148</v>
      </c>
      <c r="T315" t="s">
        <v>148</v>
      </c>
      <c r="U315" t="s">
        <v>148</v>
      </c>
      <c r="V315" t="s">
        <v>148</v>
      </c>
      <c r="W315" t="s">
        <v>148</v>
      </c>
      <c r="X315" t="s">
        <v>148</v>
      </c>
      <c r="Y315" t="s">
        <v>148</v>
      </c>
      <c r="Z315" t="s">
        <v>148</v>
      </c>
      <c r="AA315" t="s">
        <v>148</v>
      </c>
      <c r="AB315" t="s">
        <v>148</v>
      </c>
      <c r="AC315" t="s">
        <v>148</v>
      </c>
      <c r="AD315" t="s">
        <v>148</v>
      </c>
      <c r="AE315" t="s">
        <v>148</v>
      </c>
      <c r="AF315" t="s">
        <v>148</v>
      </c>
      <c r="AG315" t="s">
        <v>148</v>
      </c>
      <c r="AH315" t="s">
        <v>148</v>
      </c>
      <c r="AI315" t="s">
        <v>148</v>
      </c>
      <c r="AJ315" t="s">
        <v>148</v>
      </c>
    </row>
    <row r="316" spans="1:36" x14ac:dyDescent="0.2">
      <c r="A316" t="s">
        <v>998</v>
      </c>
      <c r="B316" t="s">
        <v>999</v>
      </c>
      <c r="C316" t="s">
        <v>19</v>
      </c>
      <c r="D316" t="s">
        <v>1424</v>
      </c>
      <c r="E316" t="str">
        <f>HYPERLINK("/pdf/2025_10_1038_s41598_025_89794_4_revolutionary_hybrid_ensembled_deep_learning_model_for_accurate_and_robust_side_channel_at.pdf","open")</f>
        <v>open</v>
      </c>
      <c r="F316" t="s">
        <v>1606</v>
      </c>
      <c r="G316" t="s">
        <v>1602</v>
      </c>
      <c r="H316" t="s">
        <v>2915</v>
      </c>
      <c r="I316" t="s">
        <v>148</v>
      </c>
      <c r="J316" t="s">
        <v>148</v>
      </c>
      <c r="K316" t="s">
        <v>148</v>
      </c>
      <c r="L316" t="s">
        <v>148</v>
      </c>
      <c r="M316" t="s">
        <v>2865</v>
      </c>
      <c r="N316" t="s">
        <v>148</v>
      </c>
      <c r="O316" t="s">
        <v>1604</v>
      </c>
      <c r="P316" t="s">
        <v>2251</v>
      </c>
      <c r="Q316" t="s">
        <v>148</v>
      </c>
      <c r="R316" t="s">
        <v>3446</v>
      </c>
      <c r="S316" t="s">
        <v>1655</v>
      </c>
      <c r="T316" t="s">
        <v>3447</v>
      </c>
      <c r="U316" t="s">
        <v>148</v>
      </c>
      <c r="V316" t="s">
        <v>148</v>
      </c>
      <c r="W316" t="s">
        <v>148</v>
      </c>
      <c r="X316" t="s">
        <v>3448</v>
      </c>
      <c r="Y316" t="s">
        <v>148</v>
      </c>
      <c r="Z316" t="s">
        <v>148</v>
      </c>
      <c r="AA316" t="s">
        <v>3449</v>
      </c>
      <c r="AB316" t="s">
        <v>1604</v>
      </c>
      <c r="AC316" t="s">
        <v>2920</v>
      </c>
      <c r="AD316" t="s">
        <v>1609</v>
      </c>
      <c r="AE316" t="s">
        <v>148</v>
      </c>
      <c r="AF316" t="s">
        <v>3450</v>
      </c>
      <c r="AG316" t="s">
        <v>1614</v>
      </c>
      <c r="AH316" t="s">
        <v>3451</v>
      </c>
      <c r="AI316" t="s">
        <v>2816</v>
      </c>
      <c r="AJ316" t="s">
        <v>3452</v>
      </c>
    </row>
    <row r="317" spans="1:36" x14ac:dyDescent="0.2">
      <c r="A317" t="s">
        <v>1426</v>
      </c>
      <c r="B317" t="s">
        <v>1427</v>
      </c>
      <c r="C317" t="s">
        <v>25</v>
      </c>
      <c r="D317" t="s">
        <v>1429</v>
      </c>
      <c r="E317" t="str">
        <f>HYPERLINK("/pdf/2023_10.1109_powercon58120.2023.10331301_Risk_Model_and_Defense_Strategy_for_Operation_and_Maintenance_of_Remote_Terminal_Units_in_Distribution_System.pdf","open")</f>
        <v>open</v>
      </c>
      <c r="F317" t="s">
        <v>1602</v>
      </c>
      <c r="G317" t="s">
        <v>1602</v>
      </c>
      <c r="H317" t="s">
        <v>3453</v>
      </c>
      <c r="I317" t="s">
        <v>148</v>
      </c>
      <c r="J317" t="s">
        <v>148</v>
      </c>
      <c r="K317" t="s">
        <v>148</v>
      </c>
      <c r="L317" t="s">
        <v>148</v>
      </c>
      <c r="M317" t="s">
        <v>148</v>
      </c>
      <c r="N317" t="s">
        <v>148</v>
      </c>
      <c r="O317" t="s">
        <v>148</v>
      </c>
      <c r="P317" t="s">
        <v>148</v>
      </c>
      <c r="Q317" t="s">
        <v>148</v>
      </c>
      <c r="R317" t="s">
        <v>148</v>
      </c>
      <c r="S317" t="s">
        <v>148</v>
      </c>
      <c r="T317" t="s">
        <v>148</v>
      </c>
      <c r="U317" t="s">
        <v>148</v>
      </c>
      <c r="V317" t="s">
        <v>148</v>
      </c>
      <c r="W317" t="s">
        <v>148</v>
      </c>
      <c r="X317" t="s">
        <v>148</v>
      </c>
      <c r="Y317" t="s">
        <v>148</v>
      </c>
      <c r="Z317" t="s">
        <v>148</v>
      </c>
      <c r="AA317" t="s">
        <v>148</v>
      </c>
      <c r="AB317" t="s">
        <v>148</v>
      </c>
      <c r="AC317" t="s">
        <v>148</v>
      </c>
      <c r="AD317" t="s">
        <v>148</v>
      </c>
      <c r="AE317" t="s">
        <v>148</v>
      </c>
      <c r="AF317" t="s">
        <v>148</v>
      </c>
      <c r="AG317" t="s">
        <v>148</v>
      </c>
      <c r="AH317" t="s">
        <v>148</v>
      </c>
      <c r="AI317" t="s">
        <v>148</v>
      </c>
      <c r="AJ317" t="s">
        <v>148</v>
      </c>
    </row>
    <row r="318" spans="1:36" x14ac:dyDescent="0.2">
      <c r="A318" t="s">
        <v>1431</v>
      </c>
      <c r="B318" t="s">
        <v>1432</v>
      </c>
      <c r="C318" t="s">
        <v>19</v>
      </c>
      <c r="D318" t="s">
        <v>1434</v>
      </c>
      <c r="E318" t="str">
        <f>HYPERLINK("/pdf/2025_10.1109_aiotc66747.2025.11198781_Controller_Area_Network_Bus_Intrusion_Detection_Classification_Model_Based_on_Multimodal_Fusion_Mechanism.pdf","open")</f>
        <v>open</v>
      </c>
      <c r="F318" t="s">
        <v>1606</v>
      </c>
      <c r="G318" t="s">
        <v>1607</v>
      </c>
      <c r="H318" t="s">
        <v>3454</v>
      </c>
      <c r="I318" t="s">
        <v>1609</v>
      </c>
      <c r="J318" t="s">
        <v>1602</v>
      </c>
      <c r="K318" t="s">
        <v>2871</v>
      </c>
      <c r="L318" t="s">
        <v>148</v>
      </c>
      <c r="M318" t="s">
        <v>2865</v>
      </c>
      <c r="N318" t="s">
        <v>148</v>
      </c>
      <c r="O318" t="s">
        <v>148</v>
      </c>
      <c r="P318" t="s">
        <v>148</v>
      </c>
      <c r="Q318" t="s">
        <v>148</v>
      </c>
      <c r="R318" t="s">
        <v>148</v>
      </c>
      <c r="S318" t="s">
        <v>1655</v>
      </c>
      <c r="T318" t="s">
        <v>3455</v>
      </c>
      <c r="U318" t="s">
        <v>148</v>
      </c>
      <c r="V318" t="s">
        <v>148</v>
      </c>
      <c r="W318" t="s">
        <v>148</v>
      </c>
      <c r="X318" t="s">
        <v>3456</v>
      </c>
      <c r="Y318" t="s">
        <v>148</v>
      </c>
      <c r="Z318" t="s">
        <v>148</v>
      </c>
      <c r="AA318" t="s">
        <v>3457</v>
      </c>
      <c r="AB318" t="s">
        <v>1604</v>
      </c>
      <c r="AC318" t="s">
        <v>148</v>
      </c>
      <c r="AD318" t="s">
        <v>148</v>
      </c>
      <c r="AE318" t="s">
        <v>148</v>
      </c>
      <c r="AF318" t="s">
        <v>2403</v>
      </c>
      <c r="AG318" t="s">
        <v>1629</v>
      </c>
      <c r="AH318" t="s">
        <v>3458</v>
      </c>
      <c r="AI318" t="s">
        <v>148</v>
      </c>
      <c r="AJ318" t="s">
        <v>148</v>
      </c>
    </row>
    <row r="319" spans="1:36" x14ac:dyDescent="0.2">
      <c r="A319" t="s">
        <v>1436</v>
      </c>
      <c r="B319" t="s">
        <v>1437</v>
      </c>
      <c r="C319" t="s">
        <v>19</v>
      </c>
      <c r="D319" t="s">
        <v>1436</v>
      </c>
      <c r="E319" t="str">
        <f>HYPERLINK("/pdf/2025_10.1109_iceic64972.2025.10879716_A_Study_on_the_Evaluation_of_Cyber_Security_Vulnerabilities_in_Medical_Software.pdf","open")</f>
        <v>open</v>
      </c>
      <c r="F319" t="s">
        <v>148</v>
      </c>
      <c r="G319" t="s">
        <v>1602</v>
      </c>
      <c r="H319" t="s">
        <v>3459</v>
      </c>
      <c r="I319" t="s">
        <v>148</v>
      </c>
      <c r="J319" t="s">
        <v>148</v>
      </c>
      <c r="K319" t="s">
        <v>148</v>
      </c>
      <c r="L319" t="s">
        <v>148</v>
      </c>
      <c r="M319" t="s">
        <v>148</v>
      </c>
      <c r="N319" t="s">
        <v>148</v>
      </c>
      <c r="O319" t="s">
        <v>148</v>
      </c>
      <c r="P319" t="s">
        <v>148</v>
      </c>
      <c r="Q319" t="s">
        <v>148</v>
      </c>
      <c r="R319" t="s">
        <v>148</v>
      </c>
      <c r="S319" t="s">
        <v>148</v>
      </c>
      <c r="T319" t="s">
        <v>148</v>
      </c>
      <c r="U319" t="s">
        <v>148</v>
      </c>
      <c r="V319" t="s">
        <v>148</v>
      </c>
      <c r="W319" t="s">
        <v>148</v>
      </c>
      <c r="X319" t="s">
        <v>148</v>
      </c>
      <c r="Y319" t="s">
        <v>148</v>
      </c>
      <c r="Z319" t="s">
        <v>148</v>
      </c>
      <c r="AA319" t="s">
        <v>148</v>
      </c>
      <c r="AB319" t="s">
        <v>148</v>
      </c>
      <c r="AC319" t="s">
        <v>148</v>
      </c>
      <c r="AD319" t="s">
        <v>148</v>
      </c>
      <c r="AE319" t="s">
        <v>148</v>
      </c>
      <c r="AF319" t="s">
        <v>148</v>
      </c>
      <c r="AG319" t="s">
        <v>148</v>
      </c>
      <c r="AH319" t="s">
        <v>148</v>
      </c>
      <c r="AI319" t="s">
        <v>148</v>
      </c>
      <c r="AJ319" t="s">
        <v>148</v>
      </c>
    </row>
    <row r="320" spans="1:36" x14ac:dyDescent="0.2">
      <c r="A320" t="s">
        <v>1440</v>
      </c>
      <c r="B320" t="s">
        <v>1441</v>
      </c>
      <c r="C320" t="s">
        <v>19</v>
      </c>
      <c r="D320" t="s">
        <v>1443</v>
      </c>
      <c r="E320" t="str">
        <f>HYPERLINK("/pdf/2025_10.1007_s10489-025-06417-1_A_reinforcement_learning_malware_detection_model_based_on_heterogeneous_information_network_path_representatio.pdf","open")</f>
        <v>open</v>
      </c>
      <c r="F320" t="s">
        <v>1606</v>
      </c>
      <c r="G320" t="s">
        <v>1651</v>
      </c>
      <c r="H320" t="s">
        <v>3460</v>
      </c>
      <c r="I320" t="s">
        <v>3461</v>
      </c>
      <c r="J320" t="s">
        <v>1721</v>
      </c>
      <c r="K320" t="s">
        <v>1653</v>
      </c>
      <c r="L320" t="s">
        <v>1604</v>
      </c>
      <c r="M320" t="s">
        <v>3462</v>
      </c>
      <c r="N320" t="s">
        <v>1611</v>
      </c>
      <c r="O320" t="s">
        <v>148</v>
      </c>
      <c r="P320" t="s">
        <v>148</v>
      </c>
      <c r="Q320" t="s">
        <v>148</v>
      </c>
      <c r="R320" t="s">
        <v>148</v>
      </c>
      <c r="S320" t="s">
        <v>1624</v>
      </c>
      <c r="T320" t="s">
        <v>3463</v>
      </c>
      <c r="U320" t="s">
        <v>1604</v>
      </c>
      <c r="V320" t="s">
        <v>148</v>
      </c>
      <c r="W320" t="s">
        <v>1604</v>
      </c>
      <c r="X320" t="s">
        <v>3464</v>
      </c>
      <c r="Y320" t="s">
        <v>148</v>
      </c>
      <c r="Z320" t="s">
        <v>148</v>
      </c>
      <c r="AA320" t="s">
        <v>3465</v>
      </c>
      <c r="AB320" t="s">
        <v>1604</v>
      </c>
      <c r="AC320" t="s">
        <v>148</v>
      </c>
      <c r="AD320" t="s">
        <v>148</v>
      </c>
      <c r="AE320" t="s">
        <v>148</v>
      </c>
      <c r="AF320" t="s">
        <v>3466</v>
      </c>
      <c r="AG320" t="s">
        <v>3467</v>
      </c>
      <c r="AH320" t="s">
        <v>3468</v>
      </c>
      <c r="AI320" t="s">
        <v>957</v>
      </c>
      <c r="AJ320" t="s">
        <v>3469</v>
      </c>
    </row>
    <row r="321" spans="1:36" x14ac:dyDescent="0.2">
      <c r="A321" t="s">
        <v>1445</v>
      </c>
      <c r="B321" t="s">
        <v>1446</v>
      </c>
      <c r="C321" t="s">
        <v>25</v>
      </c>
      <c r="D321" t="s">
        <v>1448</v>
      </c>
      <c r="E321" t="str">
        <f>HYPERLINK("/pdf/2023_10.1109_icecs58634.2023.10382763_FPGA_Based_Intelligent_Hardware_Trojan_Design_and_its_SoC_Implementation.pdf","open")</f>
        <v>open</v>
      </c>
      <c r="F321" t="s">
        <v>1606</v>
      </c>
      <c r="G321" t="s">
        <v>1602</v>
      </c>
      <c r="H321" t="s">
        <v>3470</v>
      </c>
      <c r="I321" t="s">
        <v>148</v>
      </c>
      <c r="J321" t="s">
        <v>1602</v>
      </c>
      <c r="K321" t="s">
        <v>148</v>
      </c>
      <c r="L321" t="s">
        <v>148</v>
      </c>
      <c r="M321" t="s">
        <v>148</v>
      </c>
      <c r="N321" t="s">
        <v>148</v>
      </c>
      <c r="O321" t="s">
        <v>148</v>
      </c>
      <c r="P321" t="s">
        <v>148</v>
      </c>
      <c r="Q321" t="s">
        <v>148</v>
      </c>
      <c r="R321" t="s">
        <v>148</v>
      </c>
      <c r="S321" t="s">
        <v>148</v>
      </c>
      <c r="T321" t="s">
        <v>148</v>
      </c>
      <c r="U321" t="s">
        <v>148</v>
      </c>
      <c r="V321" t="s">
        <v>148</v>
      </c>
      <c r="W321" t="s">
        <v>148</v>
      </c>
      <c r="X321" t="s">
        <v>148</v>
      </c>
      <c r="Y321" t="s">
        <v>148</v>
      </c>
      <c r="Z321" t="s">
        <v>148</v>
      </c>
      <c r="AA321" t="s">
        <v>3471</v>
      </c>
      <c r="AB321" t="s">
        <v>148</v>
      </c>
      <c r="AC321" t="s">
        <v>148</v>
      </c>
      <c r="AD321" t="s">
        <v>148</v>
      </c>
      <c r="AE321" t="s">
        <v>148</v>
      </c>
      <c r="AF321" t="s">
        <v>1614</v>
      </c>
      <c r="AG321" t="s">
        <v>1614</v>
      </c>
      <c r="AH321" t="s">
        <v>148</v>
      </c>
      <c r="AI321" t="s">
        <v>148</v>
      </c>
      <c r="AJ321" t="s">
        <v>148</v>
      </c>
    </row>
    <row r="322" spans="1:36" x14ac:dyDescent="0.2">
      <c r="A322" t="s">
        <v>1450</v>
      </c>
      <c r="B322" t="s">
        <v>1451</v>
      </c>
      <c r="C322" t="s">
        <v>60</v>
      </c>
      <c r="D322" t="s">
        <v>1453</v>
      </c>
      <c r="E322" t="str">
        <f>HYPERLINK("/pdf/2024_10.1109_peeec63877.2024.00092_Research_and_Implementation_of_Intelligent_Security_Protection_Algorithm_for_5G_Communication.pdf","open")</f>
        <v>open</v>
      </c>
      <c r="F322" t="s">
        <v>1606</v>
      </c>
      <c r="G322" t="s">
        <v>1607</v>
      </c>
      <c r="H322" t="s">
        <v>3472</v>
      </c>
      <c r="I322" t="s">
        <v>148</v>
      </c>
      <c r="J322" t="s">
        <v>148</v>
      </c>
      <c r="K322" t="s">
        <v>148</v>
      </c>
      <c r="L322" t="s">
        <v>148</v>
      </c>
      <c r="M322" t="s">
        <v>1636</v>
      </c>
      <c r="N322" t="s">
        <v>148</v>
      </c>
      <c r="O322" t="s">
        <v>148</v>
      </c>
      <c r="P322" t="s">
        <v>1694</v>
      </c>
      <c r="Q322" t="s">
        <v>148</v>
      </c>
      <c r="R322" t="s">
        <v>148</v>
      </c>
      <c r="S322" t="s">
        <v>1602</v>
      </c>
      <c r="T322" t="s">
        <v>148</v>
      </c>
      <c r="U322" t="s">
        <v>148</v>
      </c>
      <c r="V322" t="s">
        <v>148</v>
      </c>
      <c r="W322" t="s">
        <v>148</v>
      </c>
      <c r="X322" t="s">
        <v>148</v>
      </c>
      <c r="Y322" t="s">
        <v>148</v>
      </c>
      <c r="Z322" t="s">
        <v>148</v>
      </c>
      <c r="AA322" t="s">
        <v>3473</v>
      </c>
      <c r="AB322" t="s">
        <v>148</v>
      </c>
      <c r="AC322" t="s">
        <v>148</v>
      </c>
      <c r="AD322" t="s">
        <v>148</v>
      </c>
      <c r="AE322" t="s">
        <v>148</v>
      </c>
      <c r="AF322" t="s">
        <v>3474</v>
      </c>
      <c r="AG322" t="s">
        <v>1614</v>
      </c>
      <c r="AH322" t="s">
        <v>3475</v>
      </c>
      <c r="AI322" t="s">
        <v>148</v>
      </c>
      <c r="AJ322" t="s">
        <v>148</v>
      </c>
    </row>
    <row r="323" spans="1:36" x14ac:dyDescent="0.2">
      <c r="A323" t="s">
        <v>1455</v>
      </c>
      <c r="B323" t="s">
        <v>743</v>
      </c>
      <c r="C323" t="s">
        <v>60</v>
      </c>
      <c r="D323" t="s">
        <v>148</v>
      </c>
      <c r="E323" t="str">
        <f>HYPERLINK("/pdf/2024_10.19363_j.cnki.cn10-1380_tn.2024.01.06_Web_Attack_Detection_Method_Based_on_Stacking_Fusion_Model;_基于_Stacking_融合模型的_Web_攻击检测方法.pdf","open")</f>
        <v>open</v>
      </c>
      <c r="F323" t="s">
        <v>1602</v>
      </c>
      <c r="G323" t="s">
        <v>1602</v>
      </c>
      <c r="H323" t="s">
        <v>3476</v>
      </c>
      <c r="I323" t="s">
        <v>148</v>
      </c>
      <c r="J323" t="s">
        <v>148</v>
      </c>
      <c r="K323" t="s">
        <v>148</v>
      </c>
      <c r="L323" t="s">
        <v>148</v>
      </c>
      <c r="M323" t="s">
        <v>148</v>
      </c>
      <c r="N323" t="s">
        <v>148</v>
      </c>
      <c r="O323" t="s">
        <v>148</v>
      </c>
      <c r="P323" t="s">
        <v>148</v>
      </c>
      <c r="Q323" t="s">
        <v>148</v>
      </c>
      <c r="R323" t="s">
        <v>148</v>
      </c>
      <c r="S323" t="s">
        <v>148</v>
      </c>
      <c r="T323" t="s">
        <v>148</v>
      </c>
      <c r="U323" t="s">
        <v>148</v>
      </c>
      <c r="V323" t="s">
        <v>148</v>
      </c>
      <c r="W323" t="s">
        <v>148</v>
      </c>
      <c r="X323" t="s">
        <v>148</v>
      </c>
      <c r="Y323" t="s">
        <v>148</v>
      </c>
      <c r="Z323" t="s">
        <v>148</v>
      </c>
      <c r="AA323" t="s">
        <v>148</v>
      </c>
      <c r="AB323" t="s">
        <v>148</v>
      </c>
      <c r="AC323" t="s">
        <v>148</v>
      </c>
      <c r="AD323" t="s">
        <v>148</v>
      </c>
      <c r="AE323" t="s">
        <v>148</v>
      </c>
      <c r="AF323" t="s">
        <v>148</v>
      </c>
      <c r="AG323" t="s">
        <v>148</v>
      </c>
      <c r="AH323" t="s">
        <v>148</v>
      </c>
      <c r="AI323" t="s">
        <v>148</v>
      </c>
      <c r="AJ323" t="s">
        <v>148</v>
      </c>
    </row>
    <row r="324" spans="1:36" x14ac:dyDescent="0.2">
      <c r="A324" t="s">
        <v>1457</v>
      </c>
      <c r="B324" t="s">
        <v>1458</v>
      </c>
      <c r="C324" t="s">
        <v>19</v>
      </c>
      <c r="D324" t="s">
        <v>1460</v>
      </c>
      <c r="E324" t="str">
        <f>HYPERLINK("/pdf/2025_10.1109_ijcnn64981.2025.11228082_An_Integrated_Approach_to_Mitigate_Poisoning_Attacks_in_Federated_Learning_Frameworks.pdf","open")</f>
        <v>open</v>
      </c>
      <c r="F324" t="s">
        <v>1606</v>
      </c>
      <c r="G324" t="s">
        <v>1607</v>
      </c>
      <c r="H324" t="s">
        <v>3477</v>
      </c>
      <c r="I324" t="s">
        <v>148</v>
      </c>
      <c r="J324" t="s">
        <v>148</v>
      </c>
      <c r="K324" t="s">
        <v>148</v>
      </c>
      <c r="L324" t="s">
        <v>148</v>
      </c>
      <c r="M324" t="s">
        <v>3478</v>
      </c>
      <c r="N324" t="s">
        <v>148</v>
      </c>
      <c r="O324" t="s">
        <v>148</v>
      </c>
      <c r="P324" t="s">
        <v>148</v>
      </c>
      <c r="Q324" t="s">
        <v>148</v>
      </c>
      <c r="R324" t="s">
        <v>148</v>
      </c>
      <c r="S324" t="s">
        <v>1655</v>
      </c>
      <c r="T324" t="s">
        <v>148</v>
      </c>
      <c r="U324" t="s">
        <v>148</v>
      </c>
      <c r="V324" t="s">
        <v>148</v>
      </c>
      <c r="W324" t="s">
        <v>148</v>
      </c>
      <c r="X324" t="s">
        <v>148</v>
      </c>
      <c r="Y324" t="s">
        <v>148</v>
      </c>
      <c r="Z324" t="s">
        <v>148</v>
      </c>
      <c r="AA324" t="s">
        <v>3479</v>
      </c>
      <c r="AB324" t="s">
        <v>1604</v>
      </c>
      <c r="AC324" t="s">
        <v>3480</v>
      </c>
      <c r="AD324" t="s">
        <v>148</v>
      </c>
      <c r="AE324" t="s">
        <v>148</v>
      </c>
      <c r="AF324" t="s">
        <v>3481</v>
      </c>
      <c r="AG324" t="s">
        <v>3482</v>
      </c>
      <c r="AH324" t="s">
        <v>3483</v>
      </c>
      <c r="AI324" t="s">
        <v>148</v>
      </c>
      <c r="AJ324" t="s">
        <v>148</v>
      </c>
    </row>
    <row r="325" spans="1:36" x14ac:dyDescent="0.2">
      <c r="A325" t="s">
        <v>1462</v>
      </c>
      <c r="B325" t="s">
        <v>1463</v>
      </c>
      <c r="C325" t="s">
        <v>136</v>
      </c>
      <c r="D325" t="s">
        <v>148</v>
      </c>
      <c r="E325" t="str">
        <f>HYPERLINK("/pdf/2020_10.1007_978-3-030-15160-7_68_Information_Security_of_Mobile_Systems.pdf","open")</f>
        <v>open</v>
      </c>
      <c r="F325" t="s">
        <v>1606</v>
      </c>
      <c r="G325" t="s">
        <v>1651</v>
      </c>
      <c r="H325" t="s">
        <v>3484</v>
      </c>
      <c r="I325" t="s">
        <v>148</v>
      </c>
      <c r="J325" t="s">
        <v>148</v>
      </c>
      <c r="K325" t="s">
        <v>148</v>
      </c>
      <c r="L325" t="s">
        <v>148</v>
      </c>
      <c r="M325" t="s">
        <v>148</v>
      </c>
      <c r="N325" t="s">
        <v>148</v>
      </c>
      <c r="O325" t="s">
        <v>148</v>
      </c>
      <c r="P325" t="s">
        <v>148</v>
      </c>
      <c r="Q325" t="s">
        <v>148</v>
      </c>
      <c r="R325" t="s">
        <v>148</v>
      </c>
      <c r="S325" t="s">
        <v>148</v>
      </c>
      <c r="T325" t="s">
        <v>148</v>
      </c>
      <c r="U325" t="s">
        <v>148</v>
      </c>
      <c r="V325" t="s">
        <v>148</v>
      </c>
      <c r="W325" t="s">
        <v>148</v>
      </c>
      <c r="X325" t="s">
        <v>148</v>
      </c>
      <c r="Y325" t="s">
        <v>148</v>
      </c>
      <c r="Z325" t="s">
        <v>148</v>
      </c>
      <c r="AA325" t="s">
        <v>148</v>
      </c>
      <c r="AB325" t="s">
        <v>148</v>
      </c>
      <c r="AC325" t="s">
        <v>148</v>
      </c>
      <c r="AD325" t="s">
        <v>148</v>
      </c>
      <c r="AE325" t="s">
        <v>148</v>
      </c>
      <c r="AF325" t="s">
        <v>3485</v>
      </c>
      <c r="AG325" t="s">
        <v>1614</v>
      </c>
      <c r="AH325" t="s">
        <v>148</v>
      </c>
      <c r="AI325" t="s">
        <v>148</v>
      </c>
      <c r="AJ325" t="s">
        <v>148</v>
      </c>
    </row>
    <row r="326" spans="1:36" x14ac:dyDescent="0.2">
      <c r="A326" t="s">
        <v>1465</v>
      </c>
      <c r="B326" t="s">
        <v>1466</v>
      </c>
      <c r="C326" t="s">
        <v>25</v>
      </c>
      <c r="D326" t="s">
        <v>1468</v>
      </c>
      <c r="E326" t="str">
        <f>HYPERLINK("/pdf/2023_10.1109_icodsa58501.2023.10276974_Public_Awareness_of_Phishing_in_Indonesia__System_Literature_Review.pdf","open")</f>
        <v>open</v>
      </c>
      <c r="F326" t="s">
        <v>1602</v>
      </c>
      <c r="G326" t="s">
        <v>2180</v>
      </c>
      <c r="H326" t="s">
        <v>3486</v>
      </c>
      <c r="I326" t="s">
        <v>148</v>
      </c>
      <c r="J326" t="s">
        <v>148</v>
      </c>
      <c r="K326" t="s">
        <v>148</v>
      </c>
      <c r="L326" t="s">
        <v>148</v>
      </c>
      <c r="M326" t="s">
        <v>148</v>
      </c>
      <c r="N326" t="s">
        <v>148</v>
      </c>
      <c r="O326" t="s">
        <v>148</v>
      </c>
      <c r="P326" t="s">
        <v>148</v>
      </c>
      <c r="Q326" t="s">
        <v>148</v>
      </c>
      <c r="R326" t="s">
        <v>148</v>
      </c>
      <c r="S326" t="s">
        <v>148</v>
      </c>
      <c r="T326" t="s">
        <v>148</v>
      </c>
      <c r="U326" t="s">
        <v>148</v>
      </c>
      <c r="V326" t="s">
        <v>148</v>
      </c>
      <c r="W326" t="s">
        <v>148</v>
      </c>
      <c r="X326" t="s">
        <v>148</v>
      </c>
      <c r="Y326" t="s">
        <v>148</v>
      </c>
      <c r="Z326" t="s">
        <v>148</v>
      </c>
      <c r="AA326" t="s">
        <v>3487</v>
      </c>
      <c r="AB326" t="s">
        <v>148</v>
      </c>
      <c r="AC326" t="s">
        <v>148</v>
      </c>
      <c r="AD326" t="s">
        <v>148</v>
      </c>
      <c r="AE326" t="s">
        <v>148</v>
      </c>
      <c r="AF326" t="s">
        <v>148</v>
      </c>
      <c r="AG326" t="s">
        <v>148</v>
      </c>
      <c r="AH326" t="s">
        <v>148</v>
      </c>
      <c r="AI326" t="s">
        <v>148</v>
      </c>
      <c r="AJ326" t="s">
        <v>3488</v>
      </c>
    </row>
    <row r="327" spans="1:36" x14ac:dyDescent="0.2">
      <c r="A327" t="s">
        <v>1470</v>
      </c>
      <c r="B327" t="s">
        <v>779</v>
      </c>
      <c r="C327" t="s">
        <v>60</v>
      </c>
      <c r="D327" t="s">
        <v>778</v>
      </c>
      <c r="E327" t="str">
        <f>HYPERLINK("/pdf/2024_10_20473_mi_v7i3_55931_data_leakage_of_the_indonesian_elections_commission_in_legal_aspects_of_personal_data_prot.pdf","open")</f>
        <v>open</v>
      </c>
      <c r="F327" t="s">
        <v>1602</v>
      </c>
      <c r="G327" t="s">
        <v>1602</v>
      </c>
      <c r="H327" t="s">
        <v>3489</v>
      </c>
      <c r="I327" t="s">
        <v>148</v>
      </c>
      <c r="J327" t="s">
        <v>148</v>
      </c>
      <c r="K327" t="s">
        <v>148</v>
      </c>
      <c r="L327" t="s">
        <v>148</v>
      </c>
      <c r="M327" t="s">
        <v>148</v>
      </c>
      <c r="N327" t="s">
        <v>148</v>
      </c>
      <c r="O327" t="s">
        <v>148</v>
      </c>
      <c r="P327" t="s">
        <v>148</v>
      </c>
      <c r="Q327" t="s">
        <v>148</v>
      </c>
      <c r="R327" t="s">
        <v>148</v>
      </c>
      <c r="S327" t="s">
        <v>148</v>
      </c>
      <c r="T327" t="s">
        <v>148</v>
      </c>
      <c r="U327" t="s">
        <v>148</v>
      </c>
      <c r="V327" t="s">
        <v>148</v>
      </c>
      <c r="W327" t="s">
        <v>148</v>
      </c>
      <c r="X327" t="s">
        <v>148</v>
      </c>
      <c r="Y327" t="s">
        <v>148</v>
      </c>
      <c r="Z327" t="s">
        <v>148</v>
      </c>
      <c r="AA327" t="s">
        <v>148</v>
      </c>
      <c r="AB327" t="s">
        <v>148</v>
      </c>
      <c r="AC327" t="s">
        <v>148</v>
      </c>
      <c r="AD327" t="s">
        <v>148</v>
      </c>
      <c r="AE327" t="s">
        <v>148</v>
      </c>
      <c r="AF327" t="s">
        <v>148</v>
      </c>
      <c r="AG327" t="s">
        <v>148</v>
      </c>
      <c r="AH327" t="s">
        <v>148</v>
      </c>
      <c r="AI327" t="s">
        <v>148</v>
      </c>
      <c r="AJ327" t="s">
        <v>148</v>
      </c>
    </row>
    <row r="328" spans="1:36" x14ac:dyDescent="0.2">
      <c r="A328" t="s">
        <v>1472</v>
      </c>
      <c r="B328" t="s">
        <v>1222</v>
      </c>
      <c r="C328" t="s">
        <v>25</v>
      </c>
      <c r="D328" t="s">
        <v>1224</v>
      </c>
      <c r="E328" t="str">
        <f>HYPERLINK("/pdf/2023_10_1109_fmec59375_2023_10305886_an_overview_of_using_of_artificial_intelligence_in_enhancing_security_and_privacy_in_mobil.pdf","open")</f>
        <v>open</v>
      </c>
      <c r="F328" t="s">
        <v>1602</v>
      </c>
      <c r="G328" t="s">
        <v>1602</v>
      </c>
      <c r="H328" t="s">
        <v>3490</v>
      </c>
      <c r="I328" t="s">
        <v>148</v>
      </c>
      <c r="J328" t="s">
        <v>148</v>
      </c>
      <c r="K328" t="s">
        <v>148</v>
      </c>
      <c r="L328" t="s">
        <v>148</v>
      </c>
      <c r="M328" t="s">
        <v>148</v>
      </c>
      <c r="N328" t="s">
        <v>148</v>
      </c>
      <c r="O328" t="s">
        <v>148</v>
      </c>
      <c r="P328" t="s">
        <v>148</v>
      </c>
      <c r="Q328" t="s">
        <v>148</v>
      </c>
      <c r="R328" t="s">
        <v>148</v>
      </c>
      <c r="S328" t="s">
        <v>148</v>
      </c>
      <c r="T328" t="s">
        <v>148</v>
      </c>
      <c r="U328" t="s">
        <v>148</v>
      </c>
      <c r="V328" t="s">
        <v>148</v>
      </c>
      <c r="W328" t="s">
        <v>148</v>
      </c>
      <c r="X328" t="s">
        <v>148</v>
      </c>
      <c r="Y328" t="s">
        <v>148</v>
      </c>
      <c r="Z328" t="s">
        <v>148</v>
      </c>
      <c r="AA328" t="s">
        <v>148</v>
      </c>
      <c r="AB328" t="s">
        <v>148</v>
      </c>
      <c r="AC328" t="s">
        <v>148</v>
      </c>
      <c r="AD328" t="s">
        <v>148</v>
      </c>
      <c r="AE328" t="s">
        <v>148</v>
      </c>
      <c r="AF328" t="s">
        <v>148</v>
      </c>
      <c r="AG328" t="s">
        <v>148</v>
      </c>
      <c r="AH328" t="s">
        <v>148</v>
      </c>
      <c r="AI328" t="s">
        <v>148</v>
      </c>
      <c r="AJ328" t="s">
        <v>148</v>
      </c>
    </row>
    <row r="329" spans="1:36" x14ac:dyDescent="0.2">
      <c r="A329" t="s">
        <v>1475</v>
      </c>
      <c r="B329" t="s">
        <v>1476</v>
      </c>
      <c r="C329" t="s">
        <v>19</v>
      </c>
      <c r="D329" t="s">
        <v>1477</v>
      </c>
      <c r="E329" t="str">
        <f>HYPERLINK("/pdf/2025_10_1007_s10207_025_01044_w_a_survey_on_malware_attacks_in_industrial_air_gap_systems.pdf","open")</f>
        <v>open</v>
      </c>
      <c r="F329" t="s">
        <v>1602</v>
      </c>
      <c r="G329" t="s">
        <v>1651</v>
      </c>
      <c r="H329" t="s">
        <v>3491</v>
      </c>
      <c r="I329" t="s">
        <v>148</v>
      </c>
      <c r="J329" t="s">
        <v>148</v>
      </c>
      <c r="K329" t="s">
        <v>148</v>
      </c>
      <c r="L329" t="s">
        <v>148</v>
      </c>
      <c r="M329" t="s">
        <v>148</v>
      </c>
      <c r="N329" t="s">
        <v>148</v>
      </c>
      <c r="O329" t="s">
        <v>148</v>
      </c>
      <c r="P329" t="s">
        <v>148</v>
      </c>
      <c r="Q329" t="s">
        <v>148</v>
      </c>
      <c r="R329" t="s">
        <v>148</v>
      </c>
      <c r="S329" t="s">
        <v>148</v>
      </c>
      <c r="T329" t="s">
        <v>148</v>
      </c>
      <c r="U329" t="s">
        <v>148</v>
      </c>
      <c r="V329" t="s">
        <v>148</v>
      </c>
      <c r="W329" t="s">
        <v>148</v>
      </c>
      <c r="X329" t="s">
        <v>148</v>
      </c>
      <c r="Y329" t="s">
        <v>148</v>
      </c>
      <c r="Z329" t="s">
        <v>148</v>
      </c>
      <c r="AA329" t="s">
        <v>148</v>
      </c>
      <c r="AB329" t="s">
        <v>148</v>
      </c>
      <c r="AC329" t="s">
        <v>148</v>
      </c>
      <c r="AD329" t="s">
        <v>148</v>
      </c>
      <c r="AE329" t="s">
        <v>148</v>
      </c>
      <c r="AF329" t="s">
        <v>148</v>
      </c>
      <c r="AG329" t="s">
        <v>148</v>
      </c>
      <c r="AH329" t="s">
        <v>148</v>
      </c>
      <c r="AI329" t="s">
        <v>148</v>
      </c>
      <c r="AJ329" t="s">
        <v>148</v>
      </c>
    </row>
    <row r="330" spans="1:36" x14ac:dyDescent="0.2">
      <c r="A330" t="s">
        <v>1479</v>
      </c>
      <c r="B330" t="s">
        <v>1480</v>
      </c>
      <c r="C330" t="s">
        <v>60</v>
      </c>
      <c r="D330" t="s">
        <v>1481</v>
      </c>
      <c r="E330" t="str">
        <f>HYPERLINK("/pdf/2024_10_3390_jcp4040039_enhancing_cybersecurity_through_comprehensive_investigation_of_data_flow_based_attack_scen.pdf","open")</f>
        <v>open</v>
      </c>
      <c r="F330" t="s">
        <v>1602</v>
      </c>
      <c r="G330" t="s">
        <v>1602</v>
      </c>
      <c r="H330" t="s">
        <v>3492</v>
      </c>
      <c r="I330" t="s">
        <v>1604</v>
      </c>
      <c r="J330" t="s">
        <v>1602</v>
      </c>
      <c r="K330" t="s">
        <v>1653</v>
      </c>
      <c r="L330" t="s">
        <v>148</v>
      </c>
      <c r="M330" t="s">
        <v>148</v>
      </c>
      <c r="N330" t="s">
        <v>148</v>
      </c>
      <c r="O330" t="s">
        <v>148</v>
      </c>
      <c r="P330" t="s">
        <v>1694</v>
      </c>
      <c r="Q330" t="s">
        <v>148</v>
      </c>
      <c r="R330" t="s">
        <v>148</v>
      </c>
      <c r="S330" t="s">
        <v>148</v>
      </c>
      <c r="T330" t="s">
        <v>148</v>
      </c>
      <c r="U330" t="s">
        <v>148</v>
      </c>
      <c r="V330" t="s">
        <v>148</v>
      </c>
      <c r="W330" t="s">
        <v>148</v>
      </c>
      <c r="X330" t="s">
        <v>148</v>
      </c>
      <c r="Y330" t="s">
        <v>148</v>
      </c>
      <c r="Z330" t="s">
        <v>148</v>
      </c>
      <c r="AA330" t="s">
        <v>3493</v>
      </c>
      <c r="AB330" t="s">
        <v>1604</v>
      </c>
      <c r="AC330" t="s">
        <v>3494</v>
      </c>
      <c r="AD330" t="s">
        <v>1604</v>
      </c>
      <c r="AE330" t="s">
        <v>3494</v>
      </c>
      <c r="AF330" t="s">
        <v>3495</v>
      </c>
      <c r="AG330" t="s">
        <v>3496</v>
      </c>
      <c r="AH330" t="s">
        <v>3497</v>
      </c>
      <c r="AI330" t="s">
        <v>148</v>
      </c>
      <c r="AJ330" t="s">
        <v>148</v>
      </c>
    </row>
    <row r="331" spans="1:36" x14ac:dyDescent="0.2">
      <c r="A331" t="s">
        <v>1483</v>
      </c>
      <c r="B331" t="s">
        <v>1484</v>
      </c>
      <c r="C331" t="s">
        <v>25</v>
      </c>
      <c r="D331" t="s">
        <v>1486</v>
      </c>
      <c r="E331" t="str">
        <f>HYPERLINK("/pdf/2023_10.1109_icicsp59554.2023.10390572_Network_Traffic_Forensics_and_Traceability_Technology_Based_on_Blockchain.pdf","open")</f>
        <v>open</v>
      </c>
      <c r="F331" t="s">
        <v>1602</v>
      </c>
      <c r="G331" t="s">
        <v>3498</v>
      </c>
      <c r="H331" t="s">
        <v>3499</v>
      </c>
      <c r="I331" t="s">
        <v>1604</v>
      </c>
      <c r="J331" t="s">
        <v>3500</v>
      </c>
      <c r="K331" t="s">
        <v>1664</v>
      </c>
      <c r="L331" t="s">
        <v>1609</v>
      </c>
      <c r="M331" t="s">
        <v>148</v>
      </c>
      <c r="N331" t="s">
        <v>148</v>
      </c>
      <c r="O331" t="s">
        <v>148</v>
      </c>
      <c r="P331" t="s">
        <v>148</v>
      </c>
      <c r="Q331" t="s">
        <v>148</v>
      </c>
      <c r="R331" t="s">
        <v>148</v>
      </c>
      <c r="S331" t="s">
        <v>148</v>
      </c>
      <c r="T331" t="s">
        <v>148</v>
      </c>
      <c r="U331" t="s">
        <v>148</v>
      </c>
      <c r="V331" t="s">
        <v>148</v>
      </c>
      <c r="W331" t="s">
        <v>148</v>
      </c>
      <c r="X331" t="s">
        <v>148</v>
      </c>
      <c r="Y331" t="s">
        <v>148</v>
      </c>
      <c r="Z331" t="s">
        <v>148</v>
      </c>
      <c r="AA331" t="s">
        <v>148</v>
      </c>
      <c r="AB331" t="s">
        <v>148</v>
      </c>
      <c r="AC331" t="s">
        <v>148</v>
      </c>
      <c r="AD331" t="s">
        <v>148</v>
      </c>
      <c r="AE331" t="s">
        <v>148</v>
      </c>
      <c r="AF331" t="s">
        <v>3501</v>
      </c>
      <c r="AG331" t="s">
        <v>3502</v>
      </c>
      <c r="AH331" t="s">
        <v>3503</v>
      </c>
      <c r="AI331" t="s">
        <v>44</v>
      </c>
      <c r="AJ331" t="s">
        <v>148</v>
      </c>
    </row>
    <row r="332" spans="1:36" x14ac:dyDescent="0.2">
      <c r="A332" t="s">
        <v>1488</v>
      </c>
      <c r="B332" t="s">
        <v>1441</v>
      </c>
      <c r="C332" t="s">
        <v>19</v>
      </c>
      <c r="D332" t="s">
        <v>1443</v>
      </c>
      <c r="E332" t="str">
        <f>HYPERLINK("/pdf/2025_10.1007_s11227-025-07116-x_GDT-IDS__graph-based_decision_tree_intrusion_detection_system_for_controller_area_network.pdf","open")</f>
        <v>open</v>
      </c>
      <c r="F332" t="s">
        <v>2406</v>
      </c>
      <c r="G332" t="s">
        <v>1651</v>
      </c>
      <c r="H332" t="s">
        <v>3504</v>
      </c>
      <c r="I332" t="s">
        <v>3461</v>
      </c>
      <c r="J332" t="s">
        <v>1721</v>
      </c>
      <c r="K332" t="s">
        <v>1653</v>
      </c>
      <c r="L332" t="s">
        <v>1604</v>
      </c>
      <c r="M332" t="s">
        <v>3505</v>
      </c>
      <c r="N332" t="s">
        <v>1611</v>
      </c>
      <c r="O332" t="s">
        <v>148</v>
      </c>
      <c r="P332" t="s">
        <v>148</v>
      </c>
      <c r="Q332" t="s">
        <v>148</v>
      </c>
      <c r="R332" t="s">
        <v>3390</v>
      </c>
      <c r="S332" t="s">
        <v>1654</v>
      </c>
      <c r="T332" t="s">
        <v>1750</v>
      </c>
      <c r="U332" t="s">
        <v>1609</v>
      </c>
      <c r="V332" t="s">
        <v>1609</v>
      </c>
      <c r="W332" t="s">
        <v>1604</v>
      </c>
      <c r="X332" t="s">
        <v>2148</v>
      </c>
      <c r="Y332" t="s">
        <v>148</v>
      </c>
      <c r="Z332" t="s">
        <v>148</v>
      </c>
      <c r="AA332" t="s">
        <v>3506</v>
      </c>
      <c r="AB332" t="s">
        <v>1604</v>
      </c>
      <c r="AC332" t="s">
        <v>3507</v>
      </c>
      <c r="AD332" t="s">
        <v>1609</v>
      </c>
      <c r="AE332" t="s">
        <v>148</v>
      </c>
      <c r="AF332" t="s">
        <v>3508</v>
      </c>
      <c r="AG332" t="s">
        <v>3509</v>
      </c>
      <c r="AH332" t="s">
        <v>3468</v>
      </c>
      <c r="AI332" t="s">
        <v>590</v>
      </c>
      <c r="AJ332" t="s">
        <v>3510</v>
      </c>
    </row>
    <row r="333" spans="1:36" x14ac:dyDescent="0.2">
      <c r="A333" t="s">
        <v>1490</v>
      </c>
      <c r="B333" t="s">
        <v>1491</v>
      </c>
      <c r="C333" t="s">
        <v>54</v>
      </c>
      <c r="D333" t="s">
        <v>1493</v>
      </c>
      <c r="E333" t="str">
        <f>HYPERLINK("/pdf/2020_10.1109_discover50404.2020.9278053_The_Mechanism_to_Combat_Data_Leakage_Trojans_in_Circuits_using_Ranomized_Encoding.pdf","open")</f>
        <v>open</v>
      </c>
      <c r="F333" t="s">
        <v>1602</v>
      </c>
      <c r="G333" t="s">
        <v>1602</v>
      </c>
      <c r="H333" t="s">
        <v>1902</v>
      </c>
      <c r="I333" t="s">
        <v>1609</v>
      </c>
      <c r="J333" t="s">
        <v>148</v>
      </c>
      <c r="K333" t="s">
        <v>148</v>
      </c>
      <c r="L333" t="s">
        <v>148</v>
      </c>
      <c r="M333" t="s">
        <v>148</v>
      </c>
      <c r="N333" t="s">
        <v>148</v>
      </c>
      <c r="O333" t="s">
        <v>148</v>
      </c>
      <c r="P333" t="s">
        <v>148</v>
      </c>
      <c r="Q333" t="s">
        <v>148</v>
      </c>
      <c r="R333" t="s">
        <v>148</v>
      </c>
      <c r="S333" t="s">
        <v>148</v>
      </c>
      <c r="T333" t="s">
        <v>148</v>
      </c>
      <c r="U333" t="s">
        <v>148</v>
      </c>
      <c r="V333" t="s">
        <v>148</v>
      </c>
      <c r="W333" t="s">
        <v>148</v>
      </c>
      <c r="X333" t="s">
        <v>148</v>
      </c>
      <c r="Y333" t="s">
        <v>148</v>
      </c>
      <c r="Z333" t="s">
        <v>148</v>
      </c>
      <c r="AA333" t="s">
        <v>3511</v>
      </c>
      <c r="AB333" t="s">
        <v>1609</v>
      </c>
      <c r="AC333" t="s">
        <v>148</v>
      </c>
      <c r="AD333" t="s">
        <v>1609</v>
      </c>
      <c r="AE333" t="s">
        <v>148</v>
      </c>
      <c r="AF333" t="s">
        <v>3512</v>
      </c>
      <c r="AG333" t="s">
        <v>3513</v>
      </c>
      <c r="AH333" t="s">
        <v>148</v>
      </c>
      <c r="AI333" t="s">
        <v>44</v>
      </c>
      <c r="AJ333" t="s">
        <v>148</v>
      </c>
    </row>
    <row r="334" spans="1:36" x14ac:dyDescent="0.2">
      <c r="A334" t="s">
        <v>1495</v>
      </c>
      <c r="B334" t="s">
        <v>1496</v>
      </c>
      <c r="C334" t="s">
        <v>36</v>
      </c>
      <c r="D334" t="s">
        <v>1495</v>
      </c>
      <c r="E334" t="str">
        <f>HYPERLINK("/pdf/2021_10.1145_3453800.3453824_Detect_Android_malware_by_using_deep_learning__Experiment_and_Evaluation.pdf","open")</f>
        <v>open</v>
      </c>
      <c r="F334" t="s">
        <v>1606</v>
      </c>
      <c r="G334" t="s">
        <v>1651</v>
      </c>
      <c r="H334" t="s">
        <v>3514</v>
      </c>
      <c r="I334" t="s">
        <v>1609</v>
      </c>
      <c r="J334" t="s">
        <v>1602</v>
      </c>
      <c r="K334" t="s">
        <v>1653</v>
      </c>
      <c r="L334" t="s">
        <v>1609</v>
      </c>
      <c r="M334" t="s">
        <v>1636</v>
      </c>
      <c r="N334" t="s">
        <v>1611</v>
      </c>
      <c r="O334" t="s">
        <v>148</v>
      </c>
      <c r="P334" t="s">
        <v>148</v>
      </c>
      <c r="Q334" t="s">
        <v>148</v>
      </c>
      <c r="R334" t="s">
        <v>148</v>
      </c>
      <c r="S334" t="s">
        <v>1655</v>
      </c>
      <c r="T334" t="s">
        <v>1750</v>
      </c>
      <c r="U334" t="s">
        <v>1609</v>
      </c>
      <c r="V334" t="s">
        <v>148</v>
      </c>
      <c r="W334" t="s">
        <v>148</v>
      </c>
      <c r="X334" t="s">
        <v>3515</v>
      </c>
      <c r="Y334" t="s">
        <v>148</v>
      </c>
      <c r="Z334" t="s">
        <v>148</v>
      </c>
      <c r="AA334" t="s">
        <v>3516</v>
      </c>
      <c r="AB334" t="s">
        <v>1604</v>
      </c>
      <c r="AC334" t="s">
        <v>3517</v>
      </c>
      <c r="AD334" t="s">
        <v>148</v>
      </c>
      <c r="AE334" t="s">
        <v>148</v>
      </c>
      <c r="AF334" t="s">
        <v>3518</v>
      </c>
      <c r="AG334" t="s">
        <v>1614</v>
      </c>
      <c r="AH334" t="s">
        <v>3519</v>
      </c>
      <c r="AI334" t="s">
        <v>590</v>
      </c>
      <c r="AJ334" t="s">
        <v>148</v>
      </c>
    </row>
    <row r="335" spans="1:36" x14ac:dyDescent="0.2">
      <c r="A335" t="s">
        <v>1499</v>
      </c>
      <c r="B335" t="s">
        <v>1500</v>
      </c>
      <c r="C335" t="s">
        <v>60</v>
      </c>
      <c r="D335" t="s">
        <v>1502</v>
      </c>
      <c r="E335" t="str">
        <f>HYPERLINK("/pdf/2024_10.1109_itcem65710.2024.00030_Research_on_Network_Security_Threat_Detection_and_Defense_Mechanism_Based_on_Artificial_Intelligence.pdf","open")</f>
        <v>open</v>
      </c>
      <c r="F335" t="s">
        <v>1618</v>
      </c>
      <c r="G335" t="s">
        <v>1607</v>
      </c>
      <c r="H335" t="s">
        <v>3520</v>
      </c>
      <c r="I335" t="s">
        <v>1609</v>
      </c>
      <c r="J335" t="s">
        <v>148</v>
      </c>
      <c r="K335" t="s">
        <v>148</v>
      </c>
      <c r="L335" t="s">
        <v>148</v>
      </c>
      <c r="M335" t="s">
        <v>3521</v>
      </c>
      <c r="N335" t="s">
        <v>1611</v>
      </c>
      <c r="O335" t="s">
        <v>148</v>
      </c>
      <c r="P335" t="s">
        <v>148</v>
      </c>
      <c r="Q335" t="s">
        <v>148</v>
      </c>
      <c r="R335" t="s">
        <v>148</v>
      </c>
      <c r="S335" t="s">
        <v>1602</v>
      </c>
      <c r="T335" t="s">
        <v>3522</v>
      </c>
      <c r="U335" t="s">
        <v>3523</v>
      </c>
      <c r="V335" t="s">
        <v>148</v>
      </c>
      <c r="W335" t="s">
        <v>148</v>
      </c>
      <c r="X335" t="s">
        <v>148</v>
      </c>
      <c r="Y335" t="s">
        <v>148</v>
      </c>
      <c r="Z335" t="s">
        <v>148</v>
      </c>
      <c r="AA335" t="s">
        <v>3524</v>
      </c>
      <c r="AB335" t="s">
        <v>2816</v>
      </c>
      <c r="AC335" t="s">
        <v>148</v>
      </c>
      <c r="AD335" t="s">
        <v>148</v>
      </c>
      <c r="AE335" t="s">
        <v>148</v>
      </c>
      <c r="AF335" t="s">
        <v>3525</v>
      </c>
      <c r="AG335" t="s">
        <v>1614</v>
      </c>
      <c r="AH335" t="s">
        <v>148</v>
      </c>
      <c r="AI335" t="s">
        <v>44</v>
      </c>
      <c r="AJ335" t="s">
        <v>3526</v>
      </c>
    </row>
    <row r="336" spans="1:36" x14ac:dyDescent="0.2">
      <c r="A336" t="s">
        <v>1504</v>
      </c>
      <c r="B336" t="s">
        <v>1505</v>
      </c>
      <c r="C336" t="s">
        <v>19</v>
      </c>
      <c r="D336" t="s">
        <v>1507</v>
      </c>
      <c r="E336" t="str">
        <f>HYPERLINK("/pdf/2025_10.1109_sami63904.2025.10883123_Improving_Cybersecurity_in_Hospital_Information_Systems_through_Anonymization_Techniques.pdf","open")</f>
        <v>open</v>
      </c>
      <c r="F336" t="s">
        <v>1602</v>
      </c>
      <c r="G336" t="s">
        <v>1602</v>
      </c>
      <c r="H336" t="s">
        <v>3527</v>
      </c>
      <c r="I336" t="s">
        <v>1609</v>
      </c>
      <c r="J336" t="s">
        <v>148</v>
      </c>
      <c r="K336" t="s">
        <v>148</v>
      </c>
      <c r="L336" t="s">
        <v>148</v>
      </c>
      <c r="M336" t="s">
        <v>148</v>
      </c>
      <c r="N336" t="s">
        <v>148</v>
      </c>
      <c r="O336" t="s">
        <v>148</v>
      </c>
      <c r="P336" t="s">
        <v>148</v>
      </c>
      <c r="Q336" t="s">
        <v>148</v>
      </c>
      <c r="R336" t="s">
        <v>148</v>
      </c>
      <c r="S336" t="s">
        <v>148</v>
      </c>
      <c r="T336" t="s">
        <v>148</v>
      </c>
      <c r="U336" t="s">
        <v>148</v>
      </c>
      <c r="V336" t="s">
        <v>148</v>
      </c>
      <c r="W336" t="s">
        <v>148</v>
      </c>
      <c r="X336" t="s">
        <v>148</v>
      </c>
      <c r="Y336" t="s">
        <v>148</v>
      </c>
      <c r="Z336" t="s">
        <v>148</v>
      </c>
      <c r="AA336" t="s">
        <v>3528</v>
      </c>
      <c r="AB336" t="s">
        <v>1609</v>
      </c>
      <c r="AC336" t="s">
        <v>148</v>
      </c>
      <c r="AD336" t="s">
        <v>148</v>
      </c>
      <c r="AE336" t="s">
        <v>148</v>
      </c>
      <c r="AF336" t="s">
        <v>3529</v>
      </c>
      <c r="AG336" t="s">
        <v>3530</v>
      </c>
      <c r="AH336" t="s">
        <v>3531</v>
      </c>
      <c r="AI336" t="s">
        <v>44</v>
      </c>
      <c r="AJ336" t="s">
        <v>3532</v>
      </c>
    </row>
    <row r="337" spans="1:36" x14ac:dyDescent="0.2">
      <c r="A337" t="s">
        <v>1509</v>
      </c>
      <c r="B337" t="s">
        <v>1088</v>
      </c>
      <c r="C337" t="s">
        <v>19</v>
      </c>
      <c r="D337" t="s">
        <v>1087</v>
      </c>
      <c r="E337" t="str">
        <f>HYPERLINK("/pdf/2025_10_11591_ijai_v14_i6_pp4913_4922_comparative_evaluation_of_machine_learning_models_for_intrusion_detection_in_wsn.pdf","open")</f>
        <v>open</v>
      </c>
      <c r="F337" t="s">
        <v>1606</v>
      </c>
      <c r="G337" t="s">
        <v>1607</v>
      </c>
      <c r="H337" t="s">
        <v>3533</v>
      </c>
      <c r="I337" t="s">
        <v>1609</v>
      </c>
      <c r="J337" t="s">
        <v>148</v>
      </c>
      <c r="K337" t="s">
        <v>148</v>
      </c>
      <c r="L337" t="s">
        <v>148</v>
      </c>
      <c r="M337" t="s">
        <v>1636</v>
      </c>
      <c r="N337" t="s">
        <v>1611</v>
      </c>
      <c r="O337" t="s">
        <v>1604</v>
      </c>
      <c r="P337" t="s">
        <v>2251</v>
      </c>
      <c r="Q337" t="s">
        <v>3534</v>
      </c>
      <c r="R337" t="s">
        <v>3535</v>
      </c>
      <c r="S337" t="s">
        <v>1654</v>
      </c>
      <c r="T337" t="s">
        <v>3536</v>
      </c>
      <c r="U337" t="s">
        <v>1609</v>
      </c>
      <c r="V337" t="s">
        <v>1609</v>
      </c>
      <c r="W337" t="s">
        <v>148</v>
      </c>
      <c r="X337" t="s">
        <v>2371</v>
      </c>
      <c r="Y337" t="s">
        <v>148</v>
      </c>
      <c r="Z337" t="s">
        <v>148</v>
      </c>
      <c r="AA337" t="s">
        <v>3537</v>
      </c>
      <c r="AB337" t="s">
        <v>1604</v>
      </c>
      <c r="AC337" t="s">
        <v>148</v>
      </c>
      <c r="AD337" t="s">
        <v>148</v>
      </c>
      <c r="AE337" t="s">
        <v>148</v>
      </c>
      <c r="AF337" t="s">
        <v>3538</v>
      </c>
      <c r="AG337" t="s">
        <v>1629</v>
      </c>
      <c r="AH337" t="s">
        <v>3539</v>
      </c>
      <c r="AI337" t="s">
        <v>590</v>
      </c>
      <c r="AJ337" t="s">
        <v>3540</v>
      </c>
    </row>
    <row r="338" spans="1:36" x14ac:dyDescent="0.2">
      <c r="A338" t="s">
        <v>1511</v>
      </c>
      <c r="B338" t="s">
        <v>1512</v>
      </c>
      <c r="C338" t="s">
        <v>60</v>
      </c>
      <c r="D338" t="s">
        <v>1514</v>
      </c>
      <c r="E338" t="str">
        <f>HYPERLINK("/pdf/2024_10.1109_icctit64404.2024.10928389_Research_and_Construction_of_Multi-model_Fusionbased_Malicious_URL_Detection_Method.pdf","open")</f>
        <v>open</v>
      </c>
      <c r="F338" t="s">
        <v>1606</v>
      </c>
      <c r="G338" t="s">
        <v>2180</v>
      </c>
      <c r="H338" t="s">
        <v>3541</v>
      </c>
      <c r="I338" t="s">
        <v>1609</v>
      </c>
      <c r="J338" t="s">
        <v>148</v>
      </c>
      <c r="K338" t="s">
        <v>148</v>
      </c>
      <c r="L338" t="s">
        <v>148</v>
      </c>
      <c r="M338" t="s">
        <v>3542</v>
      </c>
      <c r="N338" t="s">
        <v>1611</v>
      </c>
      <c r="O338" t="s">
        <v>148</v>
      </c>
      <c r="P338" t="s">
        <v>148</v>
      </c>
      <c r="Q338" t="s">
        <v>148</v>
      </c>
      <c r="R338" t="s">
        <v>148</v>
      </c>
      <c r="S338" t="s">
        <v>1654</v>
      </c>
      <c r="T338" t="s">
        <v>2896</v>
      </c>
      <c r="U338" t="s">
        <v>1609</v>
      </c>
      <c r="V338" t="s">
        <v>1609</v>
      </c>
      <c r="W338" t="s">
        <v>148</v>
      </c>
      <c r="X338" t="s">
        <v>2135</v>
      </c>
      <c r="Y338" t="s">
        <v>148</v>
      </c>
      <c r="Z338" t="s">
        <v>148</v>
      </c>
      <c r="AA338" t="s">
        <v>3543</v>
      </c>
      <c r="AB338" t="s">
        <v>1604</v>
      </c>
      <c r="AC338" t="s">
        <v>148</v>
      </c>
      <c r="AD338" t="s">
        <v>148</v>
      </c>
      <c r="AE338" t="s">
        <v>148</v>
      </c>
      <c r="AF338" t="s">
        <v>3544</v>
      </c>
      <c r="AG338" t="s">
        <v>2839</v>
      </c>
      <c r="AH338" t="s">
        <v>3545</v>
      </c>
      <c r="AI338" t="s">
        <v>44</v>
      </c>
      <c r="AJ338" t="s">
        <v>148</v>
      </c>
    </row>
    <row r="339" spans="1:36" x14ac:dyDescent="0.2">
      <c r="A339" t="s">
        <v>1516</v>
      </c>
      <c r="B339" t="s">
        <v>1517</v>
      </c>
      <c r="C339" t="s">
        <v>19</v>
      </c>
      <c r="D339" t="s">
        <v>1518</v>
      </c>
      <c r="E339" t="str">
        <f>HYPERLINK("/pdf/2025_10.1109_access.2025.3588808_A_Federated_Learning_Model_for_Detecting_Cyberattacks_in_Internet_of_Medical_Things_Networks.pdf","open")</f>
        <v>open</v>
      </c>
      <c r="F339" t="s">
        <v>1607</v>
      </c>
      <c r="G339" t="s">
        <v>1607</v>
      </c>
      <c r="H339" t="s">
        <v>3546</v>
      </c>
      <c r="I339" t="s">
        <v>1609</v>
      </c>
      <c r="J339" t="s">
        <v>148</v>
      </c>
      <c r="K339" t="s">
        <v>148</v>
      </c>
      <c r="L339" t="s">
        <v>148</v>
      </c>
      <c r="M339" t="s">
        <v>1871</v>
      </c>
      <c r="N339" t="s">
        <v>1611</v>
      </c>
      <c r="O339" t="s">
        <v>148</v>
      </c>
      <c r="P339" t="s">
        <v>148</v>
      </c>
      <c r="Q339" t="s">
        <v>148</v>
      </c>
      <c r="R339" t="s">
        <v>148</v>
      </c>
      <c r="S339" t="s">
        <v>1655</v>
      </c>
      <c r="T339" t="s">
        <v>1750</v>
      </c>
      <c r="U339" t="s">
        <v>1609</v>
      </c>
      <c r="V339" t="s">
        <v>148</v>
      </c>
      <c r="W339" t="s">
        <v>148</v>
      </c>
      <c r="X339" t="s">
        <v>148</v>
      </c>
      <c r="Y339" t="s">
        <v>148</v>
      </c>
      <c r="Z339" t="s">
        <v>148</v>
      </c>
      <c r="AA339" t="s">
        <v>3547</v>
      </c>
      <c r="AB339" t="s">
        <v>1604</v>
      </c>
      <c r="AC339" t="s">
        <v>148</v>
      </c>
      <c r="AD339" t="s">
        <v>148</v>
      </c>
      <c r="AE339" t="s">
        <v>148</v>
      </c>
      <c r="AF339" t="s">
        <v>3548</v>
      </c>
      <c r="AG339" t="s">
        <v>1614</v>
      </c>
      <c r="AH339" t="s">
        <v>3549</v>
      </c>
      <c r="AI339" t="s">
        <v>590</v>
      </c>
      <c r="AJ339" t="s">
        <v>148</v>
      </c>
    </row>
    <row r="340" spans="1:36" x14ac:dyDescent="0.2">
      <c r="A340" t="s">
        <v>1520</v>
      </c>
      <c r="B340" t="s">
        <v>1521</v>
      </c>
      <c r="C340" t="s">
        <v>25</v>
      </c>
      <c r="D340" t="s">
        <v>1523</v>
      </c>
      <c r="E340" t="str">
        <f>HYPERLINK("/pdf/2023_10.1109_ictc58733.2023.10392902_Federated_Learning_with_Differential_Privacy_for_Intrusion_Detection_in_Internet_of_Flying_Things__A_Robust_Ap.pdf","open")</f>
        <v>open</v>
      </c>
      <c r="F340" t="s">
        <v>1606</v>
      </c>
      <c r="G340" t="s">
        <v>1607</v>
      </c>
      <c r="H340" t="s">
        <v>3550</v>
      </c>
      <c r="I340" t="s">
        <v>1609</v>
      </c>
      <c r="J340" t="s">
        <v>148</v>
      </c>
      <c r="K340" t="s">
        <v>148</v>
      </c>
      <c r="L340" t="s">
        <v>148</v>
      </c>
      <c r="M340" t="s">
        <v>3551</v>
      </c>
      <c r="N340" t="s">
        <v>1611</v>
      </c>
      <c r="O340" t="s">
        <v>1604</v>
      </c>
      <c r="P340" t="s">
        <v>148</v>
      </c>
      <c r="Q340" t="s">
        <v>3552</v>
      </c>
      <c r="R340" t="s">
        <v>3553</v>
      </c>
      <c r="S340" t="s">
        <v>1655</v>
      </c>
      <c r="T340" t="s">
        <v>1952</v>
      </c>
      <c r="U340" t="s">
        <v>1609</v>
      </c>
      <c r="V340" t="s">
        <v>1609</v>
      </c>
      <c r="W340" t="s">
        <v>148</v>
      </c>
      <c r="X340" t="s">
        <v>3554</v>
      </c>
      <c r="Y340" t="s">
        <v>148</v>
      </c>
      <c r="Z340" t="s">
        <v>148</v>
      </c>
      <c r="AA340" t="s">
        <v>3555</v>
      </c>
      <c r="AB340" t="s">
        <v>1604</v>
      </c>
      <c r="AC340" t="s">
        <v>148</v>
      </c>
      <c r="AD340" t="s">
        <v>148</v>
      </c>
      <c r="AE340" t="s">
        <v>148</v>
      </c>
      <c r="AF340" t="s">
        <v>2150</v>
      </c>
      <c r="AG340" t="s">
        <v>1614</v>
      </c>
      <c r="AH340" t="s">
        <v>3556</v>
      </c>
      <c r="AI340" t="s">
        <v>957</v>
      </c>
      <c r="AJ340" t="s">
        <v>148</v>
      </c>
    </row>
    <row r="341" spans="1:36" x14ac:dyDescent="0.2">
      <c r="A341" t="s">
        <v>1525</v>
      </c>
      <c r="B341" t="s">
        <v>1526</v>
      </c>
      <c r="C341" t="s">
        <v>36</v>
      </c>
      <c r="D341" t="s">
        <v>1528</v>
      </c>
      <c r="E341" t="str">
        <f>HYPERLINK("/pdf/2021_10.1109_infocom42981.2021.9488914_Finding_critical_files_from_a_packet.pdf","open")</f>
        <v>open</v>
      </c>
      <c r="F341" t="s">
        <v>1602</v>
      </c>
      <c r="G341" t="s">
        <v>1651</v>
      </c>
      <c r="H341" t="s">
        <v>3557</v>
      </c>
      <c r="I341" t="s">
        <v>1609</v>
      </c>
      <c r="J341" t="s">
        <v>148</v>
      </c>
      <c r="K341" t="s">
        <v>148</v>
      </c>
      <c r="L341" t="s">
        <v>148</v>
      </c>
      <c r="M341" t="s">
        <v>148</v>
      </c>
      <c r="N341" t="s">
        <v>148</v>
      </c>
      <c r="O341" t="s">
        <v>148</v>
      </c>
      <c r="P341" t="s">
        <v>148</v>
      </c>
      <c r="Q341" t="s">
        <v>148</v>
      </c>
      <c r="R341" t="s">
        <v>148</v>
      </c>
      <c r="S341" t="s">
        <v>1602</v>
      </c>
      <c r="T341" t="s">
        <v>3558</v>
      </c>
      <c r="U341" t="s">
        <v>1609</v>
      </c>
      <c r="V341" t="s">
        <v>1604</v>
      </c>
      <c r="W341" t="s">
        <v>1604</v>
      </c>
      <c r="X341" t="s">
        <v>3559</v>
      </c>
      <c r="Y341" t="s">
        <v>148</v>
      </c>
      <c r="Z341" t="s">
        <v>148</v>
      </c>
      <c r="AA341" t="s">
        <v>2162</v>
      </c>
      <c r="AB341" t="s">
        <v>1604</v>
      </c>
      <c r="AC341" t="s">
        <v>148</v>
      </c>
      <c r="AD341" t="s">
        <v>1609</v>
      </c>
      <c r="AE341" t="s">
        <v>148</v>
      </c>
      <c r="AF341" t="s">
        <v>2216</v>
      </c>
      <c r="AG341" t="s">
        <v>3560</v>
      </c>
      <c r="AH341" t="s">
        <v>3561</v>
      </c>
      <c r="AI341" t="s">
        <v>590</v>
      </c>
      <c r="AJ341" t="s">
        <v>3562</v>
      </c>
    </row>
    <row r="342" spans="1:36" x14ac:dyDescent="0.2">
      <c r="A342" t="s">
        <v>1530</v>
      </c>
      <c r="B342" t="s">
        <v>541</v>
      </c>
      <c r="C342" t="s">
        <v>25</v>
      </c>
      <c r="D342" t="s">
        <v>540</v>
      </c>
      <c r="E342" t="str">
        <f>HYPERLINK("/pdf/2024_10_1109_tdsc_2023_3323713_leakage_of_authorization_data_in_iot_device_sharing_new_attacks_and_countermeasure.pdf","open")</f>
        <v>open</v>
      </c>
      <c r="F342" t="s">
        <v>1602</v>
      </c>
      <c r="G342" t="s">
        <v>2077</v>
      </c>
      <c r="H342" t="s">
        <v>3563</v>
      </c>
      <c r="I342" t="s">
        <v>1609</v>
      </c>
      <c r="J342" t="s">
        <v>148</v>
      </c>
      <c r="K342" t="s">
        <v>148</v>
      </c>
      <c r="L342" t="s">
        <v>148</v>
      </c>
      <c r="M342" t="s">
        <v>148</v>
      </c>
      <c r="N342" t="s">
        <v>148</v>
      </c>
      <c r="O342" t="s">
        <v>148</v>
      </c>
      <c r="P342" t="s">
        <v>148</v>
      </c>
      <c r="Q342" t="s">
        <v>148</v>
      </c>
      <c r="R342" t="s">
        <v>148</v>
      </c>
      <c r="S342" t="s">
        <v>1657</v>
      </c>
      <c r="T342" t="s">
        <v>1657</v>
      </c>
      <c r="U342" t="s">
        <v>1657</v>
      </c>
      <c r="V342" t="s">
        <v>1657</v>
      </c>
      <c r="W342" t="s">
        <v>1657</v>
      </c>
      <c r="X342" t="s">
        <v>1657</v>
      </c>
      <c r="Y342" t="s">
        <v>1657</v>
      </c>
      <c r="Z342" t="s">
        <v>1657</v>
      </c>
      <c r="AA342" t="s">
        <v>3564</v>
      </c>
      <c r="AB342" t="s">
        <v>1604</v>
      </c>
      <c r="AC342" t="s">
        <v>2288</v>
      </c>
      <c r="AD342" t="s">
        <v>1604</v>
      </c>
      <c r="AE342" t="s">
        <v>2288</v>
      </c>
      <c r="AF342" t="s">
        <v>3565</v>
      </c>
      <c r="AG342" t="s">
        <v>3566</v>
      </c>
      <c r="AH342" t="s">
        <v>3567</v>
      </c>
      <c r="AI342" t="s">
        <v>15</v>
      </c>
      <c r="AJ342" t="s">
        <v>148</v>
      </c>
    </row>
    <row r="343" spans="1:36" x14ac:dyDescent="0.2">
      <c r="A343" t="s">
        <v>1532</v>
      </c>
      <c r="B343" t="s">
        <v>1533</v>
      </c>
      <c r="C343" t="s">
        <v>36</v>
      </c>
      <c r="D343" t="s">
        <v>1535</v>
      </c>
      <c r="E343" t="str">
        <f>HYPERLINK("/pdf/2021_10.1109_mi-sta52233.2021.9464458_Deploying_Risk_Access_Models_in_a_Cloud_Environment__Possibilities_and_Challenges.pdf","open")</f>
        <v>open</v>
      </c>
      <c r="F343" t="s">
        <v>1602</v>
      </c>
      <c r="G343" t="s">
        <v>3568</v>
      </c>
      <c r="H343" t="s">
        <v>3569</v>
      </c>
      <c r="I343" t="s">
        <v>1609</v>
      </c>
      <c r="J343" t="s">
        <v>148</v>
      </c>
      <c r="K343" t="s">
        <v>148</v>
      </c>
      <c r="L343" t="s">
        <v>148</v>
      </c>
      <c r="M343" t="s">
        <v>148</v>
      </c>
      <c r="N343" t="s">
        <v>148</v>
      </c>
      <c r="O343" t="s">
        <v>148</v>
      </c>
      <c r="P343" t="s">
        <v>148</v>
      </c>
      <c r="Q343" t="s">
        <v>148</v>
      </c>
      <c r="R343" t="s">
        <v>148</v>
      </c>
      <c r="S343" t="s">
        <v>148</v>
      </c>
      <c r="T343" t="s">
        <v>148</v>
      </c>
      <c r="U343" t="s">
        <v>148</v>
      </c>
      <c r="V343" t="s">
        <v>148</v>
      </c>
      <c r="W343" t="s">
        <v>148</v>
      </c>
      <c r="X343" t="s">
        <v>148</v>
      </c>
      <c r="Y343" t="s">
        <v>148</v>
      </c>
      <c r="Z343" t="s">
        <v>148</v>
      </c>
      <c r="AA343" t="s">
        <v>148</v>
      </c>
      <c r="AB343" t="s">
        <v>148</v>
      </c>
      <c r="AC343" t="s">
        <v>148</v>
      </c>
      <c r="AD343" t="s">
        <v>148</v>
      </c>
      <c r="AE343" t="s">
        <v>148</v>
      </c>
      <c r="AF343" t="s">
        <v>148</v>
      </c>
      <c r="AG343" t="s">
        <v>148</v>
      </c>
      <c r="AH343" t="s">
        <v>148</v>
      </c>
      <c r="AI343" t="s">
        <v>148</v>
      </c>
      <c r="AJ343" t="s">
        <v>148</v>
      </c>
    </row>
    <row r="344" spans="1:36" x14ac:dyDescent="0.2">
      <c r="A344" t="s">
        <v>1537</v>
      </c>
      <c r="B344" t="s">
        <v>1283</v>
      </c>
      <c r="C344" t="s">
        <v>100</v>
      </c>
      <c r="D344" t="s">
        <v>1285</v>
      </c>
      <c r="E344" t="str">
        <f>HYPERLINK("/pdf/2022_10_17341_gazimmfd_641580_a_new_document_classification_algorithm_against_malicious_data_leakage_attacks.pdf","open")</f>
        <v>open</v>
      </c>
      <c r="F344" t="s">
        <v>3570</v>
      </c>
      <c r="G344" t="s">
        <v>3571</v>
      </c>
      <c r="H344" t="s">
        <v>3572</v>
      </c>
      <c r="I344" t="s">
        <v>1609</v>
      </c>
      <c r="J344" t="s">
        <v>148</v>
      </c>
      <c r="K344" t="s">
        <v>148</v>
      </c>
      <c r="L344" t="s">
        <v>148</v>
      </c>
      <c r="M344" t="s">
        <v>3573</v>
      </c>
      <c r="N344" t="s">
        <v>1611</v>
      </c>
      <c r="O344" t="s">
        <v>148</v>
      </c>
      <c r="P344" t="s">
        <v>148</v>
      </c>
      <c r="Q344" t="s">
        <v>148</v>
      </c>
      <c r="R344" t="s">
        <v>148</v>
      </c>
      <c r="S344" t="s">
        <v>1655</v>
      </c>
      <c r="T344" t="s">
        <v>2252</v>
      </c>
      <c r="U344" t="s">
        <v>1609</v>
      </c>
      <c r="V344" t="s">
        <v>148</v>
      </c>
      <c r="W344" t="s">
        <v>148</v>
      </c>
      <c r="X344" t="s">
        <v>3574</v>
      </c>
      <c r="Y344" t="s">
        <v>148</v>
      </c>
      <c r="Z344" t="s">
        <v>148</v>
      </c>
      <c r="AA344" t="s">
        <v>3263</v>
      </c>
      <c r="AB344" t="s">
        <v>1604</v>
      </c>
      <c r="AC344" t="s">
        <v>148</v>
      </c>
      <c r="AD344" t="s">
        <v>148</v>
      </c>
      <c r="AE344" t="s">
        <v>148</v>
      </c>
      <c r="AF344" t="s">
        <v>3575</v>
      </c>
      <c r="AG344" t="s">
        <v>1629</v>
      </c>
      <c r="AH344" t="s">
        <v>3576</v>
      </c>
      <c r="AI344" t="s">
        <v>3577</v>
      </c>
      <c r="AJ344" t="s">
        <v>2038</v>
      </c>
    </row>
    <row r="345" spans="1:36" x14ac:dyDescent="0.2">
      <c r="A345" t="s">
        <v>1540</v>
      </c>
      <c r="B345" t="s">
        <v>1541</v>
      </c>
      <c r="C345" t="s">
        <v>100</v>
      </c>
      <c r="D345" t="s">
        <v>1543</v>
      </c>
      <c r="E345" t="str">
        <f>HYPERLINK("/pdf/2022_10_1109_ipsn54338_2022_00040_deepauditor_distributed_online_intrusion_detection_system_for_iot_devices_via_power_side.pdf","open")</f>
        <v>open</v>
      </c>
      <c r="F345" t="s">
        <v>1606</v>
      </c>
      <c r="G345" t="s">
        <v>1607</v>
      </c>
      <c r="H345" t="s">
        <v>3578</v>
      </c>
      <c r="I345" t="s">
        <v>1609</v>
      </c>
      <c r="J345" t="s">
        <v>148</v>
      </c>
      <c r="K345" t="s">
        <v>148</v>
      </c>
      <c r="L345" t="s">
        <v>148</v>
      </c>
      <c r="M345" t="s">
        <v>2720</v>
      </c>
      <c r="N345" t="s">
        <v>1611</v>
      </c>
      <c r="O345" t="s">
        <v>1604</v>
      </c>
      <c r="P345" t="s">
        <v>3579</v>
      </c>
      <c r="Q345" t="s">
        <v>3580</v>
      </c>
      <c r="R345" t="s">
        <v>3581</v>
      </c>
      <c r="S345" t="s">
        <v>3582</v>
      </c>
      <c r="T345" t="s">
        <v>3583</v>
      </c>
      <c r="U345" t="s">
        <v>1609</v>
      </c>
      <c r="V345" t="s">
        <v>1604</v>
      </c>
      <c r="W345" t="s">
        <v>148</v>
      </c>
      <c r="X345" t="s">
        <v>3584</v>
      </c>
      <c r="Y345" t="s">
        <v>148</v>
      </c>
      <c r="Z345" t="s">
        <v>148</v>
      </c>
      <c r="AA345" t="s">
        <v>3585</v>
      </c>
      <c r="AB345" t="s">
        <v>1604</v>
      </c>
      <c r="AC345" t="s">
        <v>148</v>
      </c>
      <c r="AD345" t="s">
        <v>1604</v>
      </c>
      <c r="AE345" t="s">
        <v>148</v>
      </c>
      <c r="AF345" t="s">
        <v>3586</v>
      </c>
      <c r="AG345" t="s">
        <v>1614</v>
      </c>
      <c r="AH345" t="s">
        <v>3587</v>
      </c>
      <c r="AI345" t="s">
        <v>3588</v>
      </c>
      <c r="AJ345" t="s">
        <v>3589</v>
      </c>
    </row>
    <row r="346" spans="1:36" x14ac:dyDescent="0.2">
      <c r="A346" t="s">
        <v>1545</v>
      </c>
      <c r="B346" t="s">
        <v>1546</v>
      </c>
      <c r="C346" t="s">
        <v>36</v>
      </c>
      <c r="D346" t="s">
        <v>1548</v>
      </c>
      <c r="E346" t="str">
        <f>HYPERLINK("/pdf/2021_10.1109_icsip52628.2021.9689011_A_Covert_Communication_Method_Based_on_Gradient_Model.pdf","open")</f>
        <v>open</v>
      </c>
      <c r="F346" t="s">
        <v>1602</v>
      </c>
      <c r="G346" t="s">
        <v>1602</v>
      </c>
      <c r="H346" t="s">
        <v>3590</v>
      </c>
      <c r="I346" t="s">
        <v>1609</v>
      </c>
      <c r="J346" t="s">
        <v>148</v>
      </c>
      <c r="K346" t="s">
        <v>148</v>
      </c>
      <c r="L346" t="s">
        <v>148</v>
      </c>
      <c r="M346" t="s">
        <v>2466</v>
      </c>
      <c r="N346" t="s">
        <v>148</v>
      </c>
      <c r="O346" t="s">
        <v>148</v>
      </c>
      <c r="P346" t="s">
        <v>148</v>
      </c>
      <c r="Q346" t="s">
        <v>3591</v>
      </c>
      <c r="R346" t="s">
        <v>148</v>
      </c>
      <c r="S346" t="s">
        <v>1655</v>
      </c>
      <c r="T346" t="s">
        <v>3592</v>
      </c>
      <c r="U346" t="s">
        <v>1609</v>
      </c>
      <c r="V346" t="s">
        <v>1609</v>
      </c>
      <c r="W346" t="s">
        <v>148</v>
      </c>
      <c r="X346" t="s">
        <v>3593</v>
      </c>
      <c r="Y346" t="s">
        <v>148</v>
      </c>
      <c r="Z346" t="s">
        <v>148</v>
      </c>
      <c r="AA346" t="s">
        <v>2740</v>
      </c>
      <c r="AB346" t="s">
        <v>1604</v>
      </c>
      <c r="AC346" t="s">
        <v>148</v>
      </c>
      <c r="AD346" t="s">
        <v>148</v>
      </c>
      <c r="AE346" t="s">
        <v>148</v>
      </c>
      <c r="AF346" t="s">
        <v>3594</v>
      </c>
      <c r="AG346" t="s">
        <v>3595</v>
      </c>
      <c r="AH346" t="s">
        <v>3596</v>
      </c>
      <c r="AI346" t="s">
        <v>3597</v>
      </c>
      <c r="AJ346" t="s">
        <v>3598</v>
      </c>
    </row>
    <row r="347" spans="1:36" x14ac:dyDescent="0.2">
      <c r="A347" t="s">
        <v>1550</v>
      </c>
      <c r="B347" t="s">
        <v>1551</v>
      </c>
      <c r="C347" t="s">
        <v>25</v>
      </c>
      <c r="D347" t="s">
        <v>148</v>
      </c>
      <c r="E347" t="str">
        <f>HYPERLINK("/pdf/2024_10_1109_tase_2023_3267034_transactive_energy_system_deployment_over_insecure_communication_links.pdf","open")</f>
        <v>open</v>
      </c>
      <c r="F347" t="s">
        <v>1602</v>
      </c>
      <c r="G347" t="s">
        <v>1602</v>
      </c>
      <c r="H347" t="s">
        <v>3599</v>
      </c>
      <c r="I347" t="s">
        <v>1609</v>
      </c>
      <c r="J347" t="s">
        <v>1602</v>
      </c>
      <c r="K347" t="s">
        <v>148</v>
      </c>
      <c r="L347" t="s">
        <v>148</v>
      </c>
      <c r="M347" t="s">
        <v>148</v>
      </c>
      <c r="N347" t="s">
        <v>148</v>
      </c>
      <c r="O347" t="s">
        <v>148</v>
      </c>
      <c r="P347" t="s">
        <v>1694</v>
      </c>
      <c r="Q347" t="s">
        <v>148</v>
      </c>
      <c r="R347" t="s">
        <v>148</v>
      </c>
      <c r="S347" t="s">
        <v>148</v>
      </c>
      <c r="T347" t="s">
        <v>148</v>
      </c>
      <c r="U347" t="s">
        <v>148</v>
      </c>
      <c r="V347" t="s">
        <v>148</v>
      </c>
      <c r="W347" t="s">
        <v>148</v>
      </c>
      <c r="X347" t="s">
        <v>148</v>
      </c>
      <c r="Y347" t="s">
        <v>148</v>
      </c>
      <c r="Z347" t="s">
        <v>148</v>
      </c>
      <c r="AA347" t="s">
        <v>3600</v>
      </c>
      <c r="AB347" t="s">
        <v>1604</v>
      </c>
      <c r="AC347" t="s">
        <v>3601</v>
      </c>
      <c r="AD347" t="s">
        <v>148</v>
      </c>
      <c r="AE347" t="s">
        <v>148</v>
      </c>
      <c r="AF347" t="s">
        <v>3602</v>
      </c>
      <c r="AG347" t="s">
        <v>3603</v>
      </c>
      <c r="AH347" t="s">
        <v>3604</v>
      </c>
      <c r="AI347" t="s">
        <v>590</v>
      </c>
      <c r="AJ347" t="s">
        <v>148</v>
      </c>
    </row>
    <row r="348" spans="1:36" x14ac:dyDescent="0.2">
      <c r="A348" t="s">
        <v>1554</v>
      </c>
      <c r="B348" t="s">
        <v>1555</v>
      </c>
      <c r="C348" t="s">
        <v>36</v>
      </c>
      <c r="D348" t="s">
        <v>1557</v>
      </c>
      <c r="E348" t="str">
        <f>HYPERLINK("/pdf/2021_10.1145_3503823.3503886_Uncuffed__A_Blockchain-based_Secure_Messaging_System.pdf","open")</f>
        <v>open</v>
      </c>
      <c r="F348" t="s">
        <v>1602</v>
      </c>
      <c r="G348" t="s">
        <v>1602</v>
      </c>
      <c r="H348" t="s">
        <v>148</v>
      </c>
      <c r="I348" t="s">
        <v>148</v>
      </c>
      <c r="J348" t="s">
        <v>1602</v>
      </c>
      <c r="K348" t="s">
        <v>148</v>
      </c>
      <c r="L348" t="s">
        <v>148</v>
      </c>
      <c r="M348" t="s">
        <v>148</v>
      </c>
      <c r="N348" t="s">
        <v>148</v>
      </c>
      <c r="O348" t="s">
        <v>148</v>
      </c>
      <c r="P348" t="s">
        <v>148</v>
      </c>
      <c r="Q348" t="s">
        <v>148</v>
      </c>
      <c r="R348" t="s">
        <v>148</v>
      </c>
      <c r="S348" t="s">
        <v>148</v>
      </c>
      <c r="T348" t="s">
        <v>148</v>
      </c>
      <c r="U348" t="s">
        <v>148</v>
      </c>
      <c r="V348" t="s">
        <v>148</v>
      </c>
      <c r="W348" t="s">
        <v>148</v>
      </c>
      <c r="X348" t="s">
        <v>148</v>
      </c>
      <c r="Y348" t="s">
        <v>148</v>
      </c>
      <c r="Z348" t="s">
        <v>148</v>
      </c>
      <c r="AA348" t="s">
        <v>148</v>
      </c>
      <c r="AB348" t="s">
        <v>148</v>
      </c>
      <c r="AC348" t="s">
        <v>148</v>
      </c>
      <c r="AD348" t="s">
        <v>1604</v>
      </c>
      <c r="AE348" t="s">
        <v>3605</v>
      </c>
      <c r="AF348" t="s">
        <v>148</v>
      </c>
      <c r="AG348" t="s">
        <v>148</v>
      </c>
      <c r="AH348" t="s">
        <v>148</v>
      </c>
      <c r="AI348" t="s">
        <v>3606</v>
      </c>
      <c r="AJ348" t="s">
        <v>148</v>
      </c>
    </row>
    <row r="349" spans="1:36" x14ac:dyDescent="0.2">
      <c r="A349" t="s">
        <v>1559</v>
      </c>
      <c r="B349" t="s">
        <v>337</v>
      </c>
      <c r="C349" t="s">
        <v>19</v>
      </c>
      <c r="D349" t="s">
        <v>1560</v>
      </c>
      <c r="E349" t="str">
        <f>HYPERLINK("/pdf/2025_10_1007_s13198_025_03013_x_mobile_network_intelligent_recommendation_based_on_data_mining_and_network_secur.pdf","open")</f>
        <v>open</v>
      </c>
      <c r="F349" t="s">
        <v>1602</v>
      </c>
      <c r="G349" t="s">
        <v>1602</v>
      </c>
      <c r="H349" t="s">
        <v>148</v>
      </c>
      <c r="I349" t="s">
        <v>1609</v>
      </c>
      <c r="J349" t="s">
        <v>148</v>
      </c>
      <c r="K349" t="s">
        <v>148</v>
      </c>
      <c r="L349" t="s">
        <v>148</v>
      </c>
      <c r="M349" t="s">
        <v>148</v>
      </c>
      <c r="N349" t="s">
        <v>148</v>
      </c>
      <c r="O349" t="s">
        <v>148</v>
      </c>
      <c r="P349" t="s">
        <v>148</v>
      </c>
      <c r="Q349" t="s">
        <v>148</v>
      </c>
      <c r="R349" t="s">
        <v>148</v>
      </c>
      <c r="S349" t="s">
        <v>1602</v>
      </c>
      <c r="T349" t="s">
        <v>148</v>
      </c>
      <c r="U349" t="s">
        <v>148</v>
      </c>
      <c r="V349" t="s">
        <v>148</v>
      </c>
      <c r="W349" t="s">
        <v>148</v>
      </c>
      <c r="X349" t="s">
        <v>1602</v>
      </c>
      <c r="Y349" t="s">
        <v>148</v>
      </c>
      <c r="Z349" t="s">
        <v>148</v>
      </c>
      <c r="AA349" t="s">
        <v>3607</v>
      </c>
      <c r="AB349" t="s">
        <v>1609</v>
      </c>
      <c r="AC349" t="s">
        <v>148</v>
      </c>
      <c r="AD349" t="s">
        <v>148</v>
      </c>
      <c r="AE349" t="s">
        <v>148</v>
      </c>
      <c r="AF349" t="s">
        <v>3608</v>
      </c>
      <c r="AG349" t="s">
        <v>3609</v>
      </c>
      <c r="AH349" t="s">
        <v>3610</v>
      </c>
      <c r="AI349" t="s">
        <v>44</v>
      </c>
      <c r="AJ349" t="s">
        <v>148</v>
      </c>
    </row>
    <row r="350" spans="1:36" x14ac:dyDescent="0.2">
      <c r="A350" t="s">
        <v>1562</v>
      </c>
      <c r="B350" t="s">
        <v>59</v>
      </c>
      <c r="C350" t="s">
        <v>60</v>
      </c>
      <c r="D350" t="s">
        <v>62</v>
      </c>
      <c r="E350" t="str">
        <f>HYPERLINK("/pdf/2024_10_17770_etr2024vol2_8062_management_approaches_and_application_areas_of_information_security_in_organizat.pdf","open")</f>
        <v>open</v>
      </c>
      <c r="F350" t="s">
        <v>1602</v>
      </c>
      <c r="G350" t="s">
        <v>1602</v>
      </c>
      <c r="H350" t="s">
        <v>148</v>
      </c>
      <c r="I350" t="s">
        <v>148</v>
      </c>
      <c r="J350" t="s">
        <v>148</v>
      </c>
      <c r="K350" t="s">
        <v>148</v>
      </c>
      <c r="L350" t="s">
        <v>148</v>
      </c>
      <c r="M350" t="s">
        <v>148</v>
      </c>
      <c r="N350" t="s">
        <v>148</v>
      </c>
      <c r="O350" t="s">
        <v>148</v>
      </c>
      <c r="P350" t="s">
        <v>148</v>
      </c>
      <c r="Q350" t="s">
        <v>148</v>
      </c>
      <c r="R350" t="s">
        <v>148</v>
      </c>
      <c r="S350" t="s">
        <v>148</v>
      </c>
      <c r="T350" t="s">
        <v>148</v>
      </c>
      <c r="U350" t="s">
        <v>148</v>
      </c>
      <c r="V350" t="s">
        <v>148</v>
      </c>
      <c r="W350" t="s">
        <v>148</v>
      </c>
      <c r="X350" t="s">
        <v>148</v>
      </c>
      <c r="Y350" t="s">
        <v>148</v>
      </c>
      <c r="Z350" t="s">
        <v>148</v>
      </c>
      <c r="AA350" t="s">
        <v>3611</v>
      </c>
      <c r="AB350" t="s">
        <v>1604</v>
      </c>
      <c r="AC350" t="s">
        <v>148</v>
      </c>
      <c r="AD350" t="s">
        <v>148</v>
      </c>
      <c r="AE350" t="s">
        <v>148</v>
      </c>
      <c r="AF350" t="s">
        <v>148</v>
      </c>
      <c r="AG350" t="s">
        <v>148</v>
      </c>
      <c r="AH350" t="s">
        <v>148</v>
      </c>
      <c r="AI350" t="s">
        <v>148</v>
      </c>
      <c r="AJ350" t="s">
        <v>148</v>
      </c>
    </row>
    <row r="351" spans="1:36" x14ac:dyDescent="0.2">
      <c r="A351" t="s">
        <v>1565</v>
      </c>
      <c r="B351" t="s">
        <v>1566</v>
      </c>
      <c r="C351" t="s">
        <v>60</v>
      </c>
      <c r="D351" t="s">
        <v>1417</v>
      </c>
      <c r="E351" t="str">
        <f>HYPERLINK("/pdf/2024_10_17770_etr2024vol2_8045_data_leakage_prevention_and_detection_in_digital_configurations_a_survey.pdf","open")</f>
        <v>open</v>
      </c>
      <c r="F351" t="s">
        <v>1602</v>
      </c>
      <c r="G351" t="s">
        <v>1602</v>
      </c>
      <c r="H351" t="s">
        <v>3612</v>
      </c>
      <c r="I351" t="s">
        <v>148</v>
      </c>
      <c r="J351" t="s">
        <v>148</v>
      </c>
      <c r="K351" t="s">
        <v>148</v>
      </c>
      <c r="L351" t="s">
        <v>148</v>
      </c>
      <c r="M351" t="s">
        <v>148</v>
      </c>
      <c r="N351" t="s">
        <v>148</v>
      </c>
      <c r="O351" t="s">
        <v>148</v>
      </c>
      <c r="P351" t="s">
        <v>148</v>
      </c>
      <c r="Q351" t="s">
        <v>148</v>
      </c>
      <c r="R351" t="s">
        <v>148</v>
      </c>
      <c r="S351" t="s">
        <v>148</v>
      </c>
      <c r="T351" t="s">
        <v>148</v>
      </c>
      <c r="U351" t="s">
        <v>148</v>
      </c>
      <c r="V351" t="s">
        <v>148</v>
      </c>
      <c r="W351" t="s">
        <v>148</v>
      </c>
      <c r="X351" t="s">
        <v>148</v>
      </c>
      <c r="Y351" t="s">
        <v>148</v>
      </c>
      <c r="Z351" t="s">
        <v>148</v>
      </c>
      <c r="AA351" t="s">
        <v>148</v>
      </c>
      <c r="AB351" t="s">
        <v>148</v>
      </c>
      <c r="AC351" t="s">
        <v>148</v>
      </c>
      <c r="AD351" t="s">
        <v>148</v>
      </c>
      <c r="AE351" t="s">
        <v>148</v>
      </c>
      <c r="AF351" t="s">
        <v>148</v>
      </c>
      <c r="AG351" t="s">
        <v>148</v>
      </c>
      <c r="AH351" t="s">
        <v>148</v>
      </c>
      <c r="AI351" t="s">
        <v>148</v>
      </c>
      <c r="AJ351" t="s">
        <v>148</v>
      </c>
    </row>
    <row r="352" spans="1:36" x14ac:dyDescent="0.2">
      <c r="A352" t="s">
        <v>34</v>
      </c>
      <c r="B352" t="s">
        <v>35</v>
      </c>
      <c r="C352" t="s">
        <v>36</v>
      </c>
      <c r="D352" t="s">
        <v>38</v>
      </c>
      <c r="E352" t="str">
        <f>HYPERLINK("/pdf/2021_10_32604_cmc_2021_016626_an_optimal_big_data_analytics_with_concept_drift_detection_on_high_dimensional_s.pdf","open")</f>
        <v>open</v>
      </c>
      <c r="F352" t="s">
        <v>1606</v>
      </c>
      <c r="G352" t="s">
        <v>1607</v>
      </c>
      <c r="H352" t="s">
        <v>3613</v>
      </c>
      <c r="I352" t="s">
        <v>1609</v>
      </c>
      <c r="J352" t="s">
        <v>148</v>
      </c>
      <c r="K352" t="s">
        <v>1635</v>
      </c>
      <c r="L352" t="s">
        <v>148</v>
      </c>
      <c r="M352" t="s">
        <v>3614</v>
      </c>
      <c r="N352" t="s">
        <v>1611</v>
      </c>
      <c r="O352" t="s">
        <v>148</v>
      </c>
      <c r="P352" t="s">
        <v>2902</v>
      </c>
      <c r="Q352" t="s">
        <v>3615</v>
      </c>
      <c r="R352" t="s">
        <v>148</v>
      </c>
      <c r="S352" t="s">
        <v>1602</v>
      </c>
      <c r="T352" t="s">
        <v>1952</v>
      </c>
      <c r="U352" t="s">
        <v>148</v>
      </c>
      <c r="V352" t="s">
        <v>148</v>
      </c>
      <c r="W352" t="s">
        <v>148</v>
      </c>
      <c r="X352" t="s">
        <v>3616</v>
      </c>
      <c r="Y352" t="s">
        <v>148</v>
      </c>
      <c r="Z352" t="s">
        <v>148</v>
      </c>
      <c r="AA352" t="s">
        <v>1638</v>
      </c>
      <c r="AB352" t="s">
        <v>1604</v>
      </c>
      <c r="AC352" t="s">
        <v>1639</v>
      </c>
      <c r="AD352" t="s">
        <v>148</v>
      </c>
      <c r="AE352" t="s">
        <v>148</v>
      </c>
      <c r="AF352" t="s">
        <v>1640</v>
      </c>
      <c r="AG352" t="s">
        <v>1614</v>
      </c>
      <c r="AH352" t="s">
        <v>3617</v>
      </c>
      <c r="AI352" t="s">
        <v>3618</v>
      </c>
      <c r="AJ352" t="s">
        <v>3619</v>
      </c>
    </row>
    <row r="353" spans="1:36" x14ac:dyDescent="0.2">
      <c r="A353" t="s">
        <v>69</v>
      </c>
      <c r="B353" t="s">
        <v>70</v>
      </c>
      <c r="C353" t="s">
        <v>25</v>
      </c>
      <c r="D353" t="s">
        <v>72</v>
      </c>
      <c r="E353" t="str">
        <f>HYPERLINK("/pdf/2023_10_7717_peerj_cs_1543_scheduling_algorithms_for_data_protection_based_on_security_classification_const.pdf","open")</f>
        <v>open</v>
      </c>
      <c r="F353" t="s">
        <v>1602</v>
      </c>
      <c r="G353" t="s">
        <v>1602</v>
      </c>
      <c r="H353" t="s">
        <v>3620</v>
      </c>
      <c r="I353" t="s">
        <v>1609</v>
      </c>
      <c r="J353" t="s">
        <v>148</v>
      </c>
      <c r="K353" t="s">
        <v>148</v>
      </c>
      <c r="L353" t="s">
        <v>148</v>
      </c>
      <c r="M353" t="s">
        <v>148</v>
      </c>
      <c r="N353" t="s">
        <v>148</v>
      </c>
      <c r="O353" t="s">
        <v>148</v>
      </c>
      <c r="P353" t="s">
        <v>148</v>
      </c>
      <c r="Q353" t="s">
        <v>148</v>
      </c>
      <c r="R353" t="s">
        <v>148</v>
      </c>
      <c r="S353" t="s">
        <v>148</v>
      </c>
      <c r="T353" t="s">
        <v>148</v>
      </c>
      <c r="U353" t="s">
        <v>148</v>
      </c>
      <c r="V353" t="s">
        <v>148</v>
      </c>
      <c r="W353" t="s">
        <v>148</v>
      </c>
      <c r="X353" t="s">
        <v>3621</v>
      </c>
      <c r="Y353" t="s">
        <v>148</v>
      </c>
      <c r="Z353" t="s">
        <v>148</v>
      </c>
      <c r="AA353" t="s">
        <v>3622</v>
      </c>
      <c r="AB353" t="s">
        <v>1604</v>
      </c>
      <c r="AC353" t="s">
        <v>1674</v>
      </c>
      <c r="AD353" t="s">
        <v>148</v>
      </c>
      <c r="AE353" t="s">
        <v>148</v>
      </c>
      <c r="AF353" t="s">
        <v>3623</v>
      </c>
      <c r="AG353" t="s">
        <v>1676</v>
      </c>
      <c r="AH353" t="s">
        <v>3624</v>
      </c>
      <c r="AI353" t="s">
        <v>590</v>
      </c>
      <c r="AJ353" t="s">
        <v>148</v>
      </c>
    </row>
    <row r="354" spans="1:36" x14ac:dyDescent="0.2">
      <c r="A354" t="s">
        <v>1554</v>
      </c>
      <c r="B354" t="s">
        <v>1555</v>
      </c>
      <c r="C354" t="s">
        <v>36</v>
      </c>
      <c r="D354" t="s">
        <v>1557</v>
      </c>
      <c r="E354" t="str">
        <f>HYPERLINK("/pdf/2021_10_1145_3503823_3503886_uncuffed_a_blockchain_based_secure_messaging_system.pdf","open")</f>
        <v>open</v>
      </c>
      <c r="F354" t="s">
        <v>1602</v>
      </c>
      <c r="G354" t="s">
        <v>1602</v>
      </c>
      <c r="H354" t="s">
        <v>3625</v>
      </c>
      <c r="I354" t="s">
        <v>1604</v>
      </c>
      <c r="J354" t="s">
        <v>1602</v>
      </c>
      <c r="K354" t="s">
        <v>1664</v>
      </c>
      <c r="L354" t="s">
        <v>148</v>
      </c>
      <c r="M354" t="s">
        <v>148</v>
      </c>
      <c r="N354" t="s">
        <v>148</v>
      </c>
      <c r="O354" t="s">
        <v>1604</v>
      </c>
      <c r="P354" t="s">
        <v>1602</v>
      </c>
      <c r="Q354" t="s">
        <v>1602</v>
      </c>
      <c r="R354" t="s">
        <v>1602</v>
      </c>
      <c r="S354" t="s">
        <v>148</v>
      </c>
      <c r="T354" t="s">
        <v>148</v>
      </c>
      <c r="U354" t="s">
        <v>148</v>
      </c>
      <c r="V354" t="s">
        <v>148</v>
      </c>
      <c r="W354" t="s">
        <v>148</v>
      </c>
      <c r="X354" t="s">
        <v>148</v>
      </c>
      <c r="Y354" t="s">
        <v>148</v>
      </c>
      <c r="Z354" t="s">
        <v>148</v>
      </c>
      <c r="AA354" t="s">
        <v>148</v>
      </c>
      <c r="AB354" t="s">
        <v>148</v>
      </c>
      <c r="AC354" t="s">
        <v>148</v>
      </c>
      <c r="AD354" t="s">
        <v>1604</v>
      </c>
      <c r="AE354" t="s">
        <v>148</v>
      </c>
      <c r="AF354" t="s">
        <v>148</v>
      </c>
      <c r="AG354" t="s">
        <v>148</v>
      </c>
      <c r="AH354" t="s">
        <v>148</v>
      </c>
      <c r="AI354" t="s">
        <v>44</v>
      </c>
      <c r="AJ354" t="s">
        <v>148</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54"/>
  <sheetViews>
    <sheetView topLeftCell="D1" workbookViewId="0">
      <pane ySplit="1" topLeftCell="A2" activePane="bottomLeft" state="frozen"/>
      <selection pane="bottomLeft" activeCell="K25" sqref="K25"/>
    </sheetView>
  </sheetViews>
  <sheetFormatPr baseColWidth="10" defaultColWidth="8.83203125" defaultRowHeight="15" x14ac:dyDescent="0.2"/>
  <cols>
    <col min="1" max="5" width="12" customWidth="1"/>
    <col min="6" max="6" width="30" customWidth="1"/>
    <col min="7" max="7" width="25" customWidth="1"/>
    <col min="8" max="8" width="28" customWidth="1"/>
    <col min="9" max="9" width="23" customWidth="1"/>
    <col min="10" max="10" width="26" customWidth="1"/>
    <col min="11" max="11" width="25" customWidth="1"/>
    <col min="12" max="12" width="45.6640625" customWidth="1"/>
  </cols>
  <sheetData>
    <row r="1" spans="1:12" ht="16" x14ac:dyDescent="0.2">
      <c r="A1" s="1" t="s">
        <v>0</v>
      </c>
      <c r="B1" s="1" t="s">
        <v>1</v>
      </c>
      <c r="C1" s="1" t="s">
        <v>2</v>
      </c>
      <c r="D1" s="1" t="s">
        <v>4</v>
      </c>
      <c r="E1" s="1" t="s">
        <v>6</v>
      </c>
      <c r="F1" s="1" t="s">
        <v>3626</v>
      </c>
      <c r="G1" s="1" t="s">
        <v>3627</v>
      </c>
      <c r="H1" s="1" t="s">
        <v>3628</v>
      </c>
      <c r="I1" s="1" t="s">
        <v>3629</v>
      </c>
      <c r="J1" s="1" t="s">
        <v>3630</v>
      </c>
      <c r="K1" s="1" t="s">
        <v>3631</v>
      </c>
      <c r="L1" s="1" t="s">
        <v>3632</v>
      </c>
    </row>
    <row r="2" spans="1:12" x14ac:dyDescent="0.2">
      <c r="A2" t="s">
        <v>10</v>
      </c>
      <c r="B2" t="s">
        <v>11</v>
      </c>
      <c r="C2" t="s">
        <v>12</v>
      </c>
      <c r="D2" t="s">
        <v>14</v>
      </c>
      <c r="E2" t="str">
        <f>HYPERLINK("/pdf/2018_10_1007_978_1_4842_3700_7_defending_iot_infrastructures_with_the_raspberry_pi_monitoring_and_detecting_ne.pdf","open")</f>
        <v>open</v>
      </c>
      <c r="F2" t="s">
        <v>1609</v>
      </c>
      <c r="G2" t="s">
        <v>1609</v>
      </c>
      <c r="H2" t="s">
        <v>1609</v>
      </c>
      <c r="I2" t="s">
        <v>1609</v>
      </c>
      <c r="J2" t="s">
        <v>1609</v>
      </c>
      <c r="K2" t="s">
        <v>15</v>
      </c>
      <c r="L2" t="s">
        <v>3633</v>
      </c>
    </row>
    <row r="3" spans="1:12" x14ac:dyDescent="0.2">
      <c r="A3" t="s">
        <v>17</v>
      </c>
      <c r="B3" t="s">
        <v>18</v>
      </c>
      <c r="C3" t="s">
        <v>19</v>
      </c>
      <c r="D3" t="s">
        <v>21</v>
      </c>
      <c r="E3" t="str">
        <f>HYPERLINK("/pdf/2025_10.1109_ecce64574.2025.11013816_Intrusion_Detection_System_on_IoT_Devices_via_Federated_Learning.pdf","open")</f>
        <v>open</v>
      </c>
      <c r="F3" t="s">
        <v>1609</v>
      </c>
      <c r="G3" t="s">
        <v>1609</v>
      </c>
      <c r="H3" t="s">
        <v>1054</v>
      </c>
      <c r="I3" t="s">
        <v>1609</v>
      </c>
      <c r="J3" t="s">
        <v>1609</v>
      </c>
      <c r="K3" t="s">
        <v>15</v>
      </c>
      <c r="L3" t="s">
        <v>3634</v>
      </c>
    </row>
    <row r="4" spans="1:12" x14ac:dyDescent="0.2">
      <c r="A4" t="s">
        <v>23</v>
      </c>
      <c r="B4" t="s">
        <v>24</v>
      </c>
      <c r="C4" t="s">
        <v>25</v>
      </c>
      <c r="D4" t="s">
        <v>27</v>
      </c>
      <c r="E4" t="str">
        <f>HYPERLINK("/pdf/2023_10.1109_icict57646.2023.10133997_Enhancing_Home_Security__user_Authentication_Techniques_for_Home_Automation.pdf","open")</f>
        <v>open</v>
      </c>
      <c r="F4" t="s">
        <v>1609</v>
      </c>
      <c r="G4" t="s">
        <v>1609</v>
      </c>
      <c r="H4" t="s">
        <v>1609</v>
      </c>
      <c r="I4" t="s">
        <v>1609</v>
      </c>
      <c r="J4" t="s">
        <v>1609</v>
      </c>
      <c r="K4" t="s">
        <v>1054</v>
      </c>
      <c r="L4" t="s">
        <v>3635</v>
      </c>
    </row>
    <row r="5" spans="1:12" x14ac:dyDescent="0.2">
      <c r="A5" t="s">
        <v>29</v>
      </c>
      <c r="B5" t="s">
        <v>30</v>
      </c>
      <c r="C5" t="s">
        <v>25</v>
      </c>
      <c r="D5" t="s">
        <v>32</v>
      </c>
      <c r="E5" t="str">
        <f>HYPERLINK("/pdf/2023_10_3390_s23208407_a_lightweight_unsupervised_intrusion_detection_model_based_on_variational_auto_encoder.pdf","open")</f>
        <v>open</v>
      </c>
      <c r="F5" t="s">
        <v>1604</v>
      </c>
      <c r="G5" t="s">
        <v>1604</v>
      </c>
      <c r="H5" t="s">
        <v>1609</v>
      </c>
      <c r="I5" t="s">
        <v>1604</v>
      </c>
      <c r="J5" t="s">
        <v>1604</v>
      </c>
      <c r="K5" t="s">
        <v>44</v>
      </c>
      <c r="L5" t="s">
        <v>3636</v>
      </c>
    </row>
    <row r="6" spans="1:12" x14ac:dyDescent="0.2">
      <c r="A6" t="s">
        <v>34</v>
      </c>
      <c r="B6" t="s">
        <v>35</v>
      </c>
      <c r="C6" t="s">
        <v>36</v>
      </c>
      <c r="D6" t="s">
        <v>38</v>
      </c>
      <c r="E6" t="str">
        <f>HYPERLINK("/pdf/2021_10.32604_cmc.2021.016626_An_optimal_big_data_analytics_with_concept_drift_detection_on_high-dimensional_streaming_data.pdf","open")</f>
        <v>open</v>
      </c>
      <c r="F6" t="s">
        <v>1609</v>
      </c>
      <c r="G6" t="s">
        <v>1604</v>
      </c>
      <c r="H6" t="s">
        <v>1609</v>
      </c>
      <c r="I6" t="s">
        <v>1609</v>
      </c>
      <c r="J6" t="s">
        <v>1604</v>
      </c>
      <c r="K6" t="s">
        <v>15</v>
      </c>
      <c r="L6" t="s">
        <v>3637</v>
      </c>
    </row>
    <row r="7" spans="1:12" x14ac:dyDescent="0.2">
      <c r="A7" t="s">
        <v>40</v>
      </c>
      <c r="B7" t="s">
        <v>41</v>
      </c>
      <c r="C7" t="s">
        <v>19</v>
      </c>
      <c r="D7" t="s">
        <v>43</v>
      </c>
      <c r="E7" t="str">
        <f>HYPERLINK("/pdf/2025_10.1002_9781394250141.ch11_Security_and_privacy_issues_in_RIS-based_wireless_communication_systems.pdf","open")</f>
        <v>open</v>
      </c>
      <c r="F7" t="s">
        <v>1657</v>
      </c>
      <c r="G7" t="s">
        <v>1657</v>
      </c>
      <c r="H7" t="s">
        <v>1657</v>
      </c>
      <c r="I7" t="s">
        <v>1657</v>
      </c>
      <c r="J7" t="s">
        <v>1657</v>
      </c>
      <c r="K7" t="s">
        <v>1054</v>
      </c>
      <c r="L7" t="s">
        <v>3638</v>
      </c>
    </row>
    <row r="8" spans="1:12" x14ac:dyDescent="0.2">
      <c r="A8" t="s">
        <v>46</v>
      </c>
      <c r="B8" t="s">
        <v>47</v>
      </c>
      <c r="C8" t="s">
        <v>48</v>
      </c>
      <c r="D8" t="s">
        <v>50</v>
      </c>
      <c r="E8" t="str">
        <f>HYPERLINK("/pdf/2026_10.1109_mcomstd.2026.3653959_Robust_and_Privacy-Aware_Network_Flow_Watermarking_for_Digital_Twin_Communications_in_5G_6G_Edge_Environments.pdf","open")</f>
        <v>open</v>
      </c>
      <c r="F8" t="s">
        <v>1609</v>
      </c>
      <c r="G8" t="s">
        <v>1609</v>
      </c>
      <c r="H8" t="s">
        <v>1609</v>
      </c>
      <c r="I8" t="s">
        <v>1609</v>
      </c>
      <c r="J8" t="s">
        <v>1609</v>
      </c>
      <c r="K8" t="s">
        <v>15</v>
      </c>
      <c r="L8" t="s">
        <v>3639</v>
      </c>
    </row>
    <row r="9" spans="1:12" x14ac:dyDescent="0.2">
      <c r="A9" t="s">
        <v>52</v>
      </c>
      <c r="B9" t="s">
        <v>53</v>
      </c>
      <c r="C9" t="s">
        <v>54</v>
      </c>
      <c r="D9" t="s">
        <v>56</v>
      </c>
      <c r="E9" t="str">
        <f>HYPERLINK("/pdf/2020_10_3390_app10113978_droid_portrait_android_malware_portrait_construction_based_on_multidimensional_behavior_a.pdf","open")</f>
        <v>open</v>
      </c>
      <c r="F9" t="s">
        <v>1609</v>
      </c>
      <c r="G9" t="s">
        <v>1609</v>
      </c>
      <c r="H9" t="s">
        <v>1054</v>
      </c>
      <c r="I9" t="s">
        <v>1604</v>
      </c>
      <c r="J9" t="s">
        <v>1604</v>
      </c>
      <c r="K9" t="s">
        <v>15</v>
      </c>
      <c r="L9" t="s">
        <v>3640</v>
      </c>
    </row>
    <row r="10" spans="1:12" x14ac:dyDescent="0.2">
      <c r="A10" t="s">
        <v>58</v>
      </c>
      <c r="B10" t="s">
        <v>59</v>
      </c>
      <c r="C10" t="s">
        <v>60</v>
      </c>
      <c r="D10" t="s">
        <v>62</v>
      </c>
      <c r="E10" t="str">
        <f>HYPERLINK("/pdf/2024_10.17770_etr2024vol2.8062_Management_approaches_and_application_areas_of_information_security_in_organizations.pdf","open")</f>
        <v>open</v>
      </c>
      <c r="F10" t="s">
        <v>1054</v>
      </c>
      <c r="G10" t="s">
        <v>1054</v>
      </c>
      <c r="H10" t="s">
        <v>1054</v>
      </c>
      <c r="I10" t="s">
        <v>1054</v>
      </c>
      <c r="J10" t="s">
        <v>1054</v>
      </c>
      <c r="K10" t="s">
        <v>1054</v>
      </c>
      <c r="L10" t="s">
        <v>3641</v>
      </c>
    </row>
    <row r="11" spans="1:12" x14ac:dyDescent="0.2">
      <c r="A11" t="s">
        <v>64</v>
      </c>
      <c r="B11" t="s">
        <v>65</v>
      </c>
      <c r="C11" t="s">
        <v>12</v>
      </c>
      <c r="D11" t="s">
        <v>67</v>
      </c>
      <c r="E11" t="str">
        <f>HYPERLINK("/pdf/2018_10.1109_tse.2017.2697848_Towards_Model_Checking_Android_Applications.pdf","open")</f>
        <v>open</v>
      </c>
      <c r="F11" t="s">
        <v>1609</v>
      </c>
      <c r="G11" t="s">
        <v>1609</v>
      </c>
      <c r="H11" t="s">
        <v>1054</v>
      </c>
      <c r="I11" t="s">
        <v>1609</v>
      </c>
      <c r="J11" t="s">
        <v>1604</v>
      </c>
      <c r="K11" t="s">
        <v>15</v>
      </c>
      <c r="L11" t="s">
        <v>3642</v>
      </c>
    </row>
    <row r="12" spans="1:12" x14ac:dyDescent="0.2">
      <c r="A12" t="s">
        <v>69</v>
      </c>
      <c r="B12" t="s">
        <v>70</v>
      </c>
      <c r="C12" t="s">
        <v>25</v>
      </c>
      <c r="D12" t="s">
        <v>72</v>
      </c>
      <c r="E12" t="str">
        <f>HYPERLINK("/pdf/2023_10.7717_peerj-cs.1543_Scheduling_algorithms_for_data-protection_based_on_security-classification_constraints_to_data-dissemination.pdf","open")</f>
        <v>open</v>
      </c>
      <c r="F12" t="s">
        <v>1609</v>
      </c>
      <c r="G12" t="s">
        <v>1609</v>
      </c>
      <c r="H12" t="s">
        <v>1609</v>
      </c>
      <c r="I12" t="s">
        <v>1609</v>
      </c>
      <c r="J12" t="s">
        <v>1609</v>
      </c>
      <c r="K12" t="s">
        <v>15</v>
      </c>
      <c r="L12" t="s">
        <v>3643</v>
      </c>
    </row>
    <row r="13" spans="1:12" x14ac:dyDescent="0.2">
      <c r="A13" t="s">
        <v>74</v>
      </c>
      <c r="B13" t="s">
        <v>75</v>
      </c>
      <c r="C13" t="s">
        <v>25</v>
      </c>
      <c r="D13" t="s">
        <v>74</v>
      </c>
      <c r="E13" t="str">
        <f>HYPERLINK("/pdf/2024_10_1109_access_2024_3363640_how_can_credit_supervision_mechanism_improve_security_crowdsourcing_ecosystem_go.pdf","open")</f>
        <v>open</v>
      </c>
      <c r="F13" t="s">
        <v>1054</v>
      </c>
      <c r="G13" t="s">
        <v>1054</v>
      </c>
      <c r="H13" t="s">
        <v>1054</v>
      </c>
      <c r="I13" t="s">
        <v>1054</v>
      </c>
      <c r="J13" t="s">
        <v>1054</v>
      </c>
      <c r="K13" t="s">
        <v>1054</v>
      </c>
      <c r="L13" t="s">
        <v>3644</v>
      </c>
    </row>
    <row r="14" spans="1:12" x14ac:dyDescent="0.2">
      <c r="A14" t="s">
        <v>78</v>
      </c>
      <c r="B14" t="s">
        <v>79</v>
      </c>
      <c r="C14" t="s">
        <v>19</v>
      </c>
      <c r="D14" t="s">
        <v>81</v>
      </c>
      <c r="E14" t="str">
        <f>HYPERLINK("/pdf/2025_10_26583_sv_17_5_11_performance_comparison_of_various_software_tools_in_photogrammetry_based_digitiz.pdf","open")</f>
        <v>open</v>
      </c>
      <c r="F14" t="s">
        <v>1609</v>
      </c>
      <c r="G14" t="s">
        <v>1609</v>
      </c>
      <c r="H14" t="s">
        <v>1609</v>
      </c>
      <c r="I14" t="s">
        <v>1609</v>
      </c>
      <c r="J14" t="s">
        <v>1609</v>
      </c>
      <c r="K14" t="s">
        <v>1054</v>
      </c>
      <c r="L14" t="s">
        <v>3645</v>
      </c>
    </row>
    <row r="15" spans="1:12" x14ac:dyDescent="0.2">
      <c r="A15" t="s">
        <v>83</v>
      </c>
      <c r="B15" t="s">
        <v>84</v>
      </c>
      <c r="C15" t="s">
        <v>19</v>
      </c>
      <c r="D15" t="s">
        <v>86</v>
      </c>
      <c r="E15" t="str">
        <f>HYPERLINK("/pdf/2025_10.1016_j.icte.2025.05.002_Lightweight_federated_learning-based_intrusion_detection_system_for_industrial_internet_of_things.pdf","open")</f>
        <v>open</v>
      </c>
      <c r="F15" t="s">
        <v>1609</v>
      </c>
      <c r="G15" t="s">
        <v>1609</v>
      </c>
      <c r="H15" t="s">
        <v>1609</v>
      </c>
      <c r="I15" t="s">
        <v>1604</v>
      </c>
      <c r="J15" t="s">
        <v>1609</v>
      </c>
      <c r="K15" t="s">
        <v>15</v>
      </c>
      <c r="L15" t="s">
        <v>3646</v>
      </c>
    </row>
    <row r="16" spans="1:12" x14ac:dyDescent="0.2">
      <c r="A16" t="s">
        <v>88</v>
      </c>
      <c r="B16" t="s">
        <v>89</v>
      </c>
      <c r="C16" t="s">
        <v>60</v>
      </c>
      <c r="D16" t="s">
        <v>91</v>
      </c>
      <c r="E16" t="str">
        <f>HYPERLINK("/pdf/2024_10.1109_icstem61137.2024.10560825_SentinelGuard__An_Integration_of_Intelligent_Text_Data_Loss_Prevention_Mechanism_for_Organizational_Security_(.pdf","open")</f>
        <v>open</v>
      </c>
      <c r="F16" t="s">
        <v>1609</v>
      </c>
      <c r="G16" t="s">
        <v>1609</v>
      </c>
      <c r="H16" t="s">
        <v>1609</v>
      </c>
      <c r="I16" t="s">
        <v>1609</v>
      </c>
      <c r="J16" t="s">
        <v>1609</v>
      </c>
      <c r="K16" t="s">
        <v>15</v>
      </c>
      <c r="L16" t="s">
        <v>3647</v>
      </c>
    </row>
    <row r="17" spans="1:12" x14ac:dyDescent="0.2">
      <c r="A17" t="s">
        <v>93</v>
      </c>
      <c r="B17" t="s">
        <v>94</v>
      </c>
      <c r="C17" t="s">
        <v>19</v>
      </c>
      <c r="D17" t="s">
        <v>96</v>
      </c>
      <c r="E17" t="str">
        <f>HYPERLINK("/pdf/2025_10.1109_itc58126.2025.00011_QuEST__Quantitative_Entropy_based_Security_and_Trojan_Detection_Framework_for_Confidentiality_Verification.pdf","open")</f>
        <v>open</v>
      </c>
      <c r="F17" t="s">
        <v>1054</v>
      </c>
      <c r="G17" t="s">
        <v>1054</v>
      </c>
      <c r="H17" t="s">
        <v>1054</v>
      </c>
      <c r="I17" t="s">
        <v>1054</v>
      </c>
      <c r="J17" t="s">
        <v>1054</v>
      </c>
      <c r="K17" t="s">
        <v>1054</v>
      </c>
      <c r="L17" t="s">
        <v>3648</v>
      </c>
    </row>
    <row r="18" spans="1:12" x14ac:dyDescent="0.2">
      <c r="A18" t="s">
        <v>98</v>
      </c>
      <c r="B18" t="s">
        <v>99</v>
      </c>
      <c r="C18" t="s">
        <v>100</v>
      </c>
      <c r="D18" t="s">
        <v>102</v>
      </c>
      <c r="E18" t="str">
        <f>HYPERLINK("/pdf/2022_10.1109_icced56140.2022.10010685_Patient_Data_Security_in_Telemedicine_Services_from_Data_Misuse_in_Health_Practice.pdf","open")</f>
        <v>open</v>
      </c>
      <c r="F18" t="s">
        <v>1054</v>
      </c>
      <c r="G18" t="s">
        <v>1054</v>
      </c>
      <c r="H18" t="s">
        <v>1054</v>
      </c>
      <c r="I18" t="s">
        <v>1054</v>
      </c>
      <c r="J18" t="s">
        <v>1054</v>
      </c>
      <c r="K18" t="s">
        <v>1054</v>
      </c>
      <c r="L18" t="s">
        <v>3649</v>
      </c>
    </row>
    <row r="19" spans="1:12" x14ac:dyDescent="0.2">
      <c r="A19" t="s">
        <v>104</v>
      </c>
      <c r="B19" t="s">
        <v>105</v>
      </c>
      <c r="C19" t="s">
        <v>25</v>
      </c>
      <c r="D19" t="s">
        <v>107</v>
      </c>
      <c r="E19" t="str">
        <f>HYPERLINK("/pdf/2023_10.1109_cises58720.2023.10183402_Security_Threats_in_Healthcare_Big_Data__A_Comparative_Study.pdf","open")</f>
        <v>open</v>
      </c>
      <c r="F19" t="s">
        <v>1054</v>
      </c>
      <c r="G19" t="s">
        <v>1054</v>
      </c>
      <c r="H19" t="s">
        <v>1054</v>
      </c>
      <c r="I19" t="s">
        <v>1054</v>
      </c>
      <c r="J19" t="s">
        <v>1054</v>
      </c>
      <c r="K19" t="s">
        <v>1054</v>
      </c>
      <c r="L19" t="s">
        <v>3650</v>
      </c>
    </row>
    <row r="20" spans="1:12" x14ac:dyDescent="0.2">
      <c r="A20" t="s">
        <v>109</v>
      </c>
      <c r="B20" t="s">
        <v>110</v>
      </c>
      <c r="C20" t="s">
        <v>36</v>
      </c>
      <c r="D20" t="s">
        <v>112</v>
      </c>
      <c r="E20" t="str">
        <f>HYPERLINK("/pdf/2021_10_1109_iccd53106_2021_00097_qflow_quantitative_information_flow_for_security_aware_hardware_design_in_verilog.pdf","open")</f>
        <v>open</v>
      </c>
      <c r="F20" t="s">
        <v>1609</v>
      </c>
      <c r="G20" t="s">
        <v>1609</v>
      </c>
      <c r="H20" t="s">
        <v>1609</v>
      </c>
      <c r="I20" t="s">
        <v>1604</v>
      </c>
      <c r="J20" t="s">
        <v>1609</v>
      </c>
      <c r="K20" t="s">
        <v>15</v>
      </c>
      <c r="L20" t="s">
        <v>3651</v>
      </c>
    </row>
    <row r="21" spans="1:12" x14ac:dyDescent="0.2">
      <c r="A21" t="s">
        <v>114</v>
      </c>
      <c r="B21" t="s">
        <v>115</v>
      </c>
      <c r="C21" t="s">
        <v>100</v>
      </c>
      <c r="D21" t="s">
        <v>117</v>
      </c>
      <c r="E21" t="str">
        <f>HYPERLINK("/pdf/2022_10.1016_j.cose.2022.102874_Background_knowledge_attacks_in_privacy-preserving_data_publishing_models.pdf","open")</f>
        <v>open</v>
      </c>
      <c r="F21" t="s">
        <v>1604</v>
      </c>
      <c r="G21" t="s">
        <v>1609</v>
      </c>
      <c r="H21" t="s">
        <v>1054</v>
      </c>
      <c r="I21" t="s">
        <v>1609</v>
      </c>
      <c r="J21" t="s">
        <v>1609</v>
      </c>
      <c r="K21" t="s">
        <v>1054</v>
      </c>
      <c r="L21" t="s">
        <v>3652</v>
      </c>
    </row>
    <row r="22" spans="1:12" x14ac:dyDescent="0.2">
      <c r="A22" t="s">
        <v>119</v>
      </c>
      <c r="B22" t="s">
        <v>120</v>
      </c>
      <c r="C22" t="s">
        <v>19</v>
      </c>
      <c r="D22" t="s">
        <v>122</v>
      </c>
      <c r="E22" t="str">
        <f>HYPERLINK("/pdf/2025_10_14445_23488549_ijece_v12i10p115_qryptashield_quantum_inspired_feature_selection_and_rl_calibrated_federated_lea.pdf","open")</f>
        <v>open</v>
      </c>
      <c r="F22" t="s">
        <v>1609</v>
      </c>
      <c r="G22" t="s">
        <v>1609</v>
      </c>
      <c r="H22" t="s">
        <v>1609</v>
      </c>
      <c r="I22" t="s">
        <v>1604</v>
      </c>
      <c r="J22" t="s">
        <v>1609</v>
      </c>
      <c r="K22" t="s">
        <v>15</v>
      </c>
      <c r="L22" t="s">
        <v>3653</v>
      </c>
    </row>
    <row r="23" spans="1:12" x14ac:dyDescent="0.2">
      <c r="A23" t="s">
        <v>124</v>
      </c>
      <c r="B23" t="s">
        <v>125</v>
      </c>
      <c r="C23" t="s">
        <v>100</v>
      </c>
      <c r="D23" t="s">
        <v>127</v>
      </c>
      <c r="E23" t="str">
        <f>HYPERLINK("/pdf/2022_10.1109_i2ct54291.2022.9824368_Security_Challenges_and_Cyber_Forensics_For_IoT_Driven_BYOD_Systems.pdf","open")</f>
        <v>open</v>
      </c>
      <c r="F23" t="s">
        <v>1609</v>
      </c>
      <c r="G23" t="s">
        <v>1609</v>
      </c>
      <c r="H23" t="s">
        <v>1609</v>
      </c>
      <c r="I23" t="s">
        <v>1609</v>
      </c>
      <c r="J23" t="s">
        <v>1609</v>
      </c>
      <c r="K23" t="s">
        <v>15</v>
      </c>
      <c r="L23" t="s">
        <v>3654</v>
      </c>
    </row>
    <row r="24" spans="1:12" x14ac:dyDescent="0.2">
      <c r="A24" t="s">
        <v>129</v>
      </c>
      <c r="B24" t="s">
        <v>130</v>
      </c>
      <c r="C24" t="s">
        <v>25</v>
      </c>
      <c r="D24" t="s">
        <v>132</v>
      </c>
      <c r="E24" t="str">
        <f>HYPERLINK("/pdf/2023_10.1109_socc58585.2023.10256758_μThingNet__Leveraging_Fine-Grained_Power_Analysis_towards_A_Robust_Zero-Day_Defender.pdf","open")</f>
        <v>open</v>
      </c>
      <c r="F24" t="s">
        <v>1609</v>
      </c>
      <c r="G24" t="s">
        <v>1609</v>
      </c>
      <c r="H24" t="s">
        <v>1054</v>
      </c>
      <c r="I24" t="s">
        <v>1604</v>
      </c>
      <c r="J24" t="s">
        <v>1604</v>
      </c>
      <c r="K24" t="s">
        <v>15</v>
      </c>
      <c r="L24" t="s">
        <v>3655</v>
      </c>
    </row>
    <row r="25" spans="1:12" x14ac:dyDescent="0.2">
      <c r="A25" t="s">
        <v>134</v>
      </c>
      <c r="B25" t="s">
        <v>135</v>
      </c>
      <c r="C25" t="s">
        <v>136</v>
      </c>
      <c r="D25" t="s">
        <v>138</v>
      </c>
      <c r="E25" t="str">
        <f>HYPERLINK("/pdf/2019_10_35940_ijeat_f8202_088619_byod_secured_solution_framework.pdf","open")</f>
        <v>open</v>
      </c>
      <c r="F25" t="s">
        <v>1609</v>
      </c>
      <c r="G25" t="s">
        <v>1609</v>
      </c>
      <c r="H25" t="s">
        <v>1609</v>
      </c>
      <c r="I25" t="s">
        <v>1609</v>
      </c>
      <c r="J25" t="s">
        <v>1609</v>
      </c>
      <c r="K25" t="s">
        <v>1054</v>
      </c>
      <c r="L25" t="s">
        <v>3656</v>
      </c>
    </row>
    <row r="26" spans="1:12" x14ac:dyDescent="0.2">
      <c r="A26" t="s">
        <v>140</v>
      </c>
      <c r="B26" t="s">
        <v>141</v>
      </c>
      <c r="C26" t="s">
        <v>25</v>
      </c>
      <c r="D26" t="s">
        <v>143</v>
      </c>
      <c r="E26" t="str">
        <f>HYPERLINK("/pdf/2023_10_11591_ijece_v13i5_pp5560_5568_concept_drift_and_machine_learning_model_for_detecting_fraudulent_transactions_in_streamin.pdf","open")</f>
        <v>open</v>
      </c>
      <c r="F26" t="s">
        <v>1609</v>
      </c>
      <c r="G26" t="s">
        <v>1604</v>
      </c>
      <c r="H26" t="s">
        <v>1054</v>
      </c>
      <c r="I26" t="s">
        <v>1604</v>
      </c>
      <c r="J26" t="s">
        <v>1604</v>
      </c>
      <c r="K26" t="s">
        <v>15</v>
      </c>
      <c r="L26" t="s">
        <v>3657</v>
      </c>
    </row>
    <row r="27" spans="1:12" x14ac:dyDescent="0.2">
      <c r="A27" t="s">
        <v>145</v>
      </c>
      <c r="B27" t="s">
        <v>146</v>
      </c>
      <c r="C27" t="s">
        <v>136</v>
      </c>
      <c r="D27" t="s">
        <v>148</v>
      </c>
      <c r="E27" t="str">
        <f>HYPERLINK("/pdf/2020_10.1109_idea49133.2020.9170738_Android_data_leakage_and_anomaly_based_Intrusion_detection_System.pdf","open")</f>
        <v>open</v>
      </c>
      <c r="F27" t="s">
        <v>1609</v>
      </c>
      <c r="G27" t="s">
        <v>1609</v>
      </c>
      <c r="H27" t="s">
        <v>1609</v>
      </c>
      <c r="I27" t="s">
        <v>1609</v>
      </c>
      <c r="J27" t="s">
        <v>1609</v>
      </c>
      <c r="K27" t="s">
        <v>15</v>
      </c>
      <c r="L27" t="s">
        <v>3658</v>
      </c>
    </row>
    <row r="28" spans="1:12" x14ac:dyDescent="0.2">
      <c r="A28" t="s">
        <v>150</v>
      </c>
      <c r="B28" t="s">
        <v>151</v>
      </c>
      <c r="C28" t="s">
        <v>19</v>
      </c>
      <c r="D28" t="s">
        <v>152</v>
      </c>
      <c r="E28" t="str">
        <f>HYPERLINK("/pdf/2025_10.1109_access.2025.3635667_PPATF__A_Privacy-Preserving_Adversarial_Training_Framework_to_Enhance_the_Robustness_of_Lightweight_Intrusion_.pdf","open")</f>
        <v>open</v>
      </c>
      <c r="F28" t="s">
        <v>1604</v>
      </c>
      <c r="G28" t="s">
        <v>1609</v>
      </c>
      <c r="H28" t="s">
        <v>1609</v>
      </c>
      <c r="I28" t="s">
        <v>1604</v>
      </c>
      <c r="J28" t="s">
        <v>1604</v>
      </c>
      <c r="K28" t="s">
        <v>15</v>
      </c>
      <c r="L28" t="s">
        <v>3659</v>
      </c>
    </row>
    <row r="29" spans="1:12" x14ac:dyDescent="0.2">
      <c r="A29" t="s">
        <v>154</v>
      </c>
      <c r="B29" t="s">
        <v>155</v>
      </c>
      <c r="C29" t="s">
        <v>156</v>
      </c>
      <c r="D29" t="s">
        <v>158</v>
      </c>
      <c r="E29" t="str">
        <f>HYPERLINK("/pdf/2013_10_1007_s10796_013_9419_8_guest_editorial_a_brief_overview_of_data_leakage_and_insider_threats.pdf","open")</f>
        <v>open</v>
      </c>
      <c r="F29" t="s">
        <v>1054</v>
      </c>
      <c r="G29" t="s">
        <v>1054</v>
      </c>
      <c r="H29" t="s">
        <v>1054</v>
      </c>
      <c r="I29" t="s">
        <v>1054</v>
      </c>
      <c r="J29" t="s">
        <v>1054</v>
      </c>
      <c r="K29" t="s">
        <v>1054</v>
      </c>
      <c r="L29" t="s">
        <v>3660</v>
      </c>
    </row>
    <row r="30" spans="1:12" x14ac:dyDescent="0.2">
      <c r="A30" t="s">
        <v>160</v>
      </c>
      <c r="B30" t="s">
        <v>161</v>
      </c>
      <c r="C30" t="s">
        <v>100</v>
      </c>
      <c r="D30" t="s">
        <v>163</v>
      </c>
      <c r="E30" t="str">
        <f>HYPERLINK("/pdf/2022_10.1109_eircon56026.2022.9934810_Model_to_Identify_the_Profile_of_Countermeasures_for_Information_Leakage_in_Financial_Organizations.pdf","open")</f>
        <v>open</v>
      </c>
      <c r="F30" t="s">
        <v>1054</v>
      </c>
      <c r="G30" t="s">
        <v>1054</v>
      </c>
      <c r="H30" t="s">
        <v>1054</v>
      </c>
      <c r="I30" t="s">
        <v>1054</v>
      </c>
      <c r="J30" t="s">
        <v>1054</v>
      </c>
      <c r="K30" t="s">
        <v>1054</v>
      </c>
      <c r="L30" t="s">
        <v>3661</v>
      </c>
    </row>
    <row r="31" spans="1:12" x14ac:dyDescent="0.2">
      <c r="A31" t="s">
        <v>165</v>
      </c>
      <c r="B31" t="s">
        <v>166</v>
      </c>
      <c r="C31" t="s">
        <v>60</v>
      </c>
      <c r="D31" t="s">
        <v>168</v>
      </c>
      <c r="E31" t="str">
        <f>HYPERLINK("/pdf/2024_10.1109_ithings-greencom-cpscom-smartdata-cybermatics62450.2024.00102_On_the_Security_and_Privacy_Implications_of_Large_Language_Models__In-Depth_Threat_Analysis.pdf","open")</f>
        <v>open</v>
      </c>
      <c r="F31" t="s">
        <v>1054</v>
      </c>
      <c r="G31" t="s">
        <v>1054</v>
      </c>
      <c r="H31" t="s">
        <v>1054</v>
      </c>
      <c r="I31" t="s">
        <v>1054</v>
      </c>
      <c r="J31" t="s">
        <v>1054</v>
      </c>
      <c r="K31" t="s">
        <v>1054</v>
      </c>
      <c r="L31" t="s">
        <v>3662</v>
      </c>
    </row>
    <row r="32" spans="1:12" x14ac:dyDescent="0.2">
      <c r="A32" t="s">
        <v>170</v>
      </c>
      <c r="B32" t="s">
        <v>171</v>
      </c>
      <c r="C32" t="s">
        <v>19</v>
      </c>
      <c r="D32" t="s">
        <v>173</v>
      </c>
      <c r="E32" t="str">
        <f>HYPERLINK("/pdf/2025_10_3390_cryptography9040072_a_post_quantum_cryptography_enabled_feature_level_fusion_framework_for_privacy_preserving.pdf","open")</f>
        <v>open</v>
      </c>
      <c r="F32" t="s">
        <v>1604</v>
      </c>
      <c r="G32" t="s">
        <v>1609</v>
      </c>
      <c r="H32" t="s">
        <v>1604</v>
      </c>
      <c r="I32" t="s">
        <v>1604</v>
      </c>
      <c r="J32" t="s">
        <v>1604</v>
      </c>
      <c r="K32" t="s">
        <v>44</v>
      </c>
      <c r="L32" t="s">
        <v>3663</v>
      </c>
    </row>
    <row r="33" spans="1:12" x14ac:dyDescent="0.2">
      <c r="A33" t="s">
        <v>175</v>
      </c>
      <c r="B33" t="s">
        <v>176</v>
      </c>
      <c r="C33" t="s">
        <v>19</v>
      </c>
      <c r="D33" t="s">
        <v>178</v>
      </c>
      <c r="E33" t="str">
        <f>HYPERLINK("/pdf/2025_10.1109_etfa65518.2025.11205756_Trustworthy_AI_for_Security_Decision-Making_in_ICSs__Towards_Compliance_with_the_EU_AI_Act.pdf","open")</f>
        <v>open</v>
      </c>
      <c r="F33" t="s">
        <v>1609</v>
      </c>
      <c r="G33" t="s">
        <v>1609</v>
      </c>
      <c r="H33" t="s">
        <v>1054</v>
      </c>
      <c r="I33" t="s">
        <v>1609</v>
      </c>
      <c r="J33" t="s">
        <v>1604</v>
      </c>
      <c r="K33" t="s">
        <v>15</v>
      </c>
      <c r="L33" t="s">
        <v>3664</v>
      </c>
    </row>
    <row r="34" spans="1:12" x14ac:dyDescent="0.2">
      <c r="A34" t="s">
        <v>180</v>
      </c>
      <c r="B34" t="s">
        <v>181</v>
      </c>
      <c r="C34" t="s">
        <v>19</v>
      </c>
      <c r="D34" t="s">
        <v>183</v>
      </c>
      <c r="E34" t="str">
        <f>HYPERLINK("/pdf/2025_10.1109_jiot.2025.3583304_BCTD-ICS__A_Blockchain-Aided_Framework_for_Trusted_Detection_of_Industrial_Control_System_Components.pdf","open")</f>
        <v>open</v>
      </c>
      <c r="F34" t="s">
        <v>1609</v>
      </c>
      <c r="G34" t="s">
        <v>1609</v>
      </c>
      <c r="H34" t="s">
        <v>1609</v>
      </c>
      <c r="I34" t="s">
        <v>1609</v>
      </c>
      <c r="J34" t="s">
        <v>1604</v>
      </c>
      <c r="K34" t="s">
        <v>1054</v>
      </c>
      <c r="L34" t="s">
        <v>3665</v>
      </c>
    </row>
    <row r="35" spans="1:12" x14ac:dyDescent="0.2">
      <c r="A35" t="s">
        <v>185</v>
      </c>
      <c r="B35" t="s">
        <v>186</v>
      </c>
      <c r="C35" t="s">
        <v>148</v>
      </c>
      <c r="D35" t="s">
        <v>148</v>
      </c>
      <c r="E35" t="str">
        <f>HYPERLINK("/pdf/2019_Towards_automated_threat-based_risk_assessment_for_cyber_security_in_smarthomes.pdf","open")</f>
        <v>open</v>
      </c>
      <c r="F35" t="s">
        <v>1609</v>
      </c>
      <c r="G35" t="s">
        <v>1609</v>
      </c>
      <c r="H35" t="s">
        <v>1609</v>
      </c>
      <c r="I35" t="s">
        <v>1609</v>
      </c>
      <c r="J35" t="s">
        <v>1609</v>
      </c>
      <c r="K35" t="s">
        <v>15</v>
      </c>
      <c r="L35" t="s">
        <v>3666</v>
      </c>
    </row>
    <row r="36" spans="1:12" x14ac:dyDescent="0.2">
      <c r="A36" t="s">
        <v>188</v>
      </c>
      <c r="B36" t="s">
        <v>189</v>
      </c>
      <c r="C36" t="s">
        <v>190</v>
      </c>
      <c r="D36" t="s">
        <v>192</v>
      </c>
      <c r="E36" t="str">
        <f>HYPERLINK("/pdf/2017_10.1016_j.jisa.2016.10.001_A_white-box_anomaly-based_framework_for_database_leakage_detection.pdf","open")</f>
        <v>open</v>
      </c>
      <c r="F36" t="s">
        <v>1604</v>
      </c>
      <c r="G36" t="s">
        <v>1604</v>
      </c>
      <c r="H36" t="s">
        <v>1609</v>
      </c>
      <c r="I36" t="s">
        <v>1604</v>
      </c>
      <c r="J36" t="s">
        <v>1604</v>
      </c>
      <c r="K36" t="s">
        <v>590</v>
      </c>
      <c r="L36" t="s">
        <v>3667</v>
      </c>
    </row>
    <row r="37" spans="1:12" x14ac:dyDescent="0.2">
      <c r="A37" t="s">
        <v>194</v>
      </c>
      <c r="B37" t="s">
        <v>195</v>
      </c>
      <c r="C37" t="s">
        <v>148</v>
      </c>
      <c r="D37" t="s">
        <v>148</v>
      </c>
      <c r="E37" t="str">
        <f>HYPERLINK("/pdf/2020_10.1109_rivf48685.2020.9140781_Network_Analytics_for_Improving_Students'_Cybersecurity_Awareness_in_Online_Learning_Systems.pdf","open")</f>
        <v>open</v>
      </c>
      <c r="F37" t="s">
        <v>1609</v>
      </c>
      <c r="G37" t="s">
        <v>1609</v>
      </c>
      <c r="H37" t="s">
        <v>1609</v>
      </c>
      <c r="I37" t="s">
        <v>1609</v>
      </c>
      <c r="J37" t="s">
        <v>1609</v>
      </c>
      <c r="K37" t="s">
        <v>15</v>
      </c>
      <c r="L37" t="s">
        <v>3668</v>
      </c>
    </row>
    <row r="38" spans="1:12" x14ac:dyDescent="0.2">
      <c r="A38" t="s">
        <v>198</v>
      </c>
      <c r="B38" t="s">
        <v>199</v>
      </c>
      <c r="C38" t="s">
        <v>25</v>
      </c>
      <c r="D38" t="s">
        <v>201</v>
      </c>
      <c r="E38" t="str">
        <f>HYPERLINK("/pdf/2023_10.1109_tcad.2022.3174171_IP-Tag__Tag-Based_Runtime_3PIP_Hardware_Trojan_Detection_in_SoC_Platforms.pdf","open")</f>
        <v>open</v>
      </c>
      <c r="F38" t="s">
        <v>1054</v>
      </c>
      <c r="G38" t="s">
        <v>1054</v>
      </c>
      <c r="H38" t="s">
        <v>1054</v>
      </c>
      <c r="I38" t="s">
        <v>1054</v>
      </c>
      <c r="J38" t="s">
        <v>1054</v>
      </c>
      <c r="K38" t="s">
        <v>1054</v>
      </c>
      <c r="L38" t="s">
        <v>3669</v>
      </c>
    </row>
    <row r="39" spans="1:12" x14ac:dyDescent="0.2">
      <c r="A39" t="s">
        <v>203</v>
      </c>
      <c r="B39" t="s">
        <v>204</v>
      </c>
      <c r="C39" t="s">
        <v>19</v>
      </c>
      <c r="D39" t="s">
        <v>206</v>
      </c>
      <c r="E39" t="str">
        <f>HYPERLINK("/pdf/2025_10.1109_roma66616.2025.11155405_A_Survey_on_AI-Enabled_Anomaly_Detection_with_Privacy_Preservation_in_Wireless_Sensor_Healthcare_IoT_Environme.pdf","open")</f>
        <v>open</v>
      </c>
      <c r="F39" t="s">
        <v>1609</v>
      </c>
      <c r="G39" t="s">
        <v>1054</v>
      </c>
      <c r="H39" t="s">
        <v>1054</v>
      </c>
      <c r="I39" t="s">
        <v>1609</v>
      </c>
      <c r="J39" t="s">
        <v>1609</v>
      </c>
      <c r="K39" t="s">
        <v>1054</v>
      </c>
      <c r="L39" t="s">
        <v>3670</v>
      </c>
    </row>
    <row r="40" spans="1:12" x14ac:dyDescent="0.2">
      <c r="A40" t="s">
        <v>208</v>
      </c>
      <c r="B40" t="s">
        <v>209</v>
      </c>
      <c r="C40" t="s">
        <v>210</v>
      </c>
      <c r="D40" t="s">
        <v>148</v>
      </c>
      <c r="E40" t="str">
        <f>HYPERLINK("/pdf/2015_Device_management_technology_for_preventing_data_leakage.pdf","open")</f>
        <v>open</v>
      </c>
      <c r="F40" t="s">
        <v>1609</v>
      </c>
      <c r="G40" t="s">
        <v>1609</v>
      </c>
      <c r="H40" t="s">
        <v>1609</v>
      </c>
      <c r="I40" t="s">
        <v>1609</v>
      </c>
      <c r="J40" t="s">
        <v>1609</v>
      </c>
      <c r="K40" t="s">
        <v>15</v>
      </c>
      <c r="L40" t="s">
        <v>3671</v>
      </c>
    </row>
    <row r="41" spans="1:12" x14ac:dyDescent="0.2">
      <c r="A41" t="s">
        <v>213</v>
      </c>
      <c r="B41" t="s">
        <v>214</v>
      </c>
      <c r="C41" t="s">
        <v>215</v>
      </c>
      <c r="D41" t="s">
        <v>217</v>
      </c>
      <c r="E41" t="str">
        <f>HYPERLINK("/pdf/2015_10.1109_mass.2014.131_Android_smartphone_third_party_advertising_library_data_leak_analysis.pdf","open")</f>
        <v>open</v>
      </c>
      <c r="F41" t="s">
        <v>1609</v>
      </c>
      <c r="G41" t="s">
        <v>1609</v>
      </c>
      <c r="H41" t="s">
        <v>1609</v>
      </c>
      <c r="I41" t="s">
        <v>1609</v>
      </c>
      <c r="J41" t="s">
        <v>1604</v>
      </c>
      <c r="K41" t="s">
        <v>15</v>
      </c>
      <c r="L41" t="s">
        <v>3672</v>
      </c>
    </row>
    <row r="42" spans="1:12" x14ac:dyDescent="0.2">
      <c r="A42" t="s">
        <v>219</v>
      </c>
      <c r="B42" t="s">
        <v>220</v>
      </c>
      <c r="C42" t="s">
        <v>19</v>
      </c>
      <c r="D42" t="s">
        <v>222</v>
      </c>
      <c r="E42" t="str">
        <f>HYPERLINK("/pdf/2025_10.1109_iacis65746.2025.11211489_A_Secure_Blockchain_Framework_Using_Stacked_SVM-RF_with_Advanced_Encryption_Standard_Galois_Counter_Mode.pdf","open")</f>
        <v>open</v>
      </c>
      <c r="F42" t="s">
        <v>1609</v>
      </c>
      <c r="G42" t="s">
        <v>1609</v>
      </c>
      <c r="H42" t="s">
        <v>1609</v>
      </c>
      <c r="I42" t="s">
        <v>1604</v>
      </c>
      <c r="J42" t="s">
        <v>1609</v>
      </c>
      <c r="K42" t="s">
        <v>15</v>
      </c>
      <c r="L42" t="s">
        <v>3673</v>
      </c>
    </row>
    <row r="43" spans="1:12" x14ac:dyDescent="0.2">
      <c r="A43" t="s">
        <v>224</v>
      </c>
      <c r="B43" t="s">
        <v>225</v>
      </c>
      <c r="C43" t="s">
        <v>100</v>
      </c>
      <c r="D43" t="s">
        <v>227</v>
      </c>
      <c r="E43" t="str">
        <f>HYPERLINK("/pdf/2022_10.1109_incoft55651.2022.10094509_Data_Leakage_Prevention_System_for_Internal_Security.pdf","open")</f>
        <v>open</v>
      </c>
      <c r="F43" t="s">
        <v>1054</v>
      </c>
      <c r="G43" t="s">
        <v>1054</v>
      </c>
      <c r="H43" t="s">
        <v>1054</v>
      </c>
      <c r="I43" t="s">
        <v>1054</v>
      </c>
      <c r="J43" t="s">
        <v>1054</v>
      </c>
      <c r="K43" t="s">
        <v>1054</v>
      </c>
      <c r="L43" t="s">
        <v>3674</v>
      </c>
    </row>
    <row r="44" spans="1:12" x14ac:dyDescent="0.2">
      <c r="A44" t="s">
        <v>229</v>
      </c>
      <c r="B44" t="s">
        <v>230</v>
      </c>
      <c r="C44" t="s">
        <v>19</v>
      </c>
      <c r="D44" t="s">
        <v>232</v>
      </c>
      <c r="E44" t="str">
        <f>HYPERLINK("/pdf/2025_10.1109_tsusc.2024.3409329_Safeguarding_Patient_Data-Sharing__Blockchain-Enabled_Federated_Learning_in_Medical_Diagnostics.pdf","open")</f>
        <v>open</v>
      </c>
      <c r="F44" t="s">
        <v>1054</v>
      </c>
      <c r="G44" t="s">
        <v>1609</v>
      </c>
      <c r="H44" t="s">
        <v>1054</v>
      </c>
      <c r="I44" t="s">
        <v>1604</v>
      </c>
      <c r="J44" t="s">
        <v>1609</v>
      </c>
      <c r="K44" t="s">
        <v>15</v>
      </c>
      <c r="L44" t="s">
        <v>3675</v>
      </c>
    </row>
    <row r="45" spans="1:12" x14ac:dyDescent="0.2">
      <c r="A45" t="s">
        <v>234</v>
      </c>
      <c r="B45" t="s">
        <v>235</v>
      </c>
      <c r="C45" t="s">
        <v>36</v>
      </c>
      <c r="D45" t="s">
        <v>237</v>
      </c>
      <c r="E45" t="str">
        <f>HYPERLINK("/pdf/2021_10.1016_j.heliyon.2021.e06016_Measuring_the_level_of_cyber-security_awareness_for_cybercrime_in_Saudi_Arabia.pdf","open")</f>
        <v>open</v>
      </c>
      <c r="F45" t="s">
        <v>1054</v>
      </c>
      <c r="G45" t="s">
        <v>1054</v>
      </c>
      <c r="H45" t="s">
        <v>1054</v>
      </c>
      <c r="I45" t="s">
        <v>1054</v>
      </c>
      <c r="J45" t="s">
        <v>1604</v>
      </c>
      <c r="K45" t="s">
        <v>15</v>
      </c>
      <c r="L45" t="s">
        <v>3676</v>
      </c>
    </row>
    <row r="46" spans="1:12" x14ac:dyDescent="0.2">
      <c r="A46" t="s">
        <v>239</v>
      </c>
      <c r="B46" t="s">
        <v>240</v>
      </c>
      <c r="C46" t="s">
        <v>60</v>
      </c>
      <c r="D46" t="s">
        <v>242</v>
      </c>
      <c r="E46" t="str">
        <f>HYPERLINK("/pdf/2024_10.1109_iccr61006.2024.10532886_Feed-forward_ANN_with_Random_Forest_Technique_for_Identifying_Malicious_Internet_of_Things_Network_Intrusion.pdf","open")</f>
        <v>open</v>
      </c>
      <c r="F46" t="s">
        <v>1604</v>
      </c>
      <c r="G46" t="s">
        <v>1609</v>
      </c>
      <c r="H46" t="s">
        <v>1609</v>
      </c>
      <c r="I46" t="s">
        <v>1609</v>
      </c>
      <c r="J46" t="s">
        <v>1609</v>
      </c>
      <c r="K46" t="s">
        <v>15</v>
      </c>
      <c r="L46" t="s">
        <v>3677</v>
      </c>
    </row>
    <row r="47" spans="1:12" x14ac:dyDescent="0.2">
      <c r="A47" t="s">
        <v>244</v>
      </c>
      <c r="B47" t="s">
        <v>245</v>
      </c>
      <c r="C47" t="s">
        <v>100</v>
      </c>
      <c r="D47" t="s">
        <v>247</v>
      </c>
      <c r="E47" t="str">
        <f>HYPERLINK("/pdf/2022_10.1049_cmu2.12401_Trust_management_and_data_protection_for_online_social_networks.pdf","open")</f>
        <v>open</v>
      </c>
      <c r="F47" t="s">
        <v>1609</v>
      </c>
      <c r="G47" t="s">
        <v>1609</v>
      </c>
      <c r="H47" t="s">
        <v>1609</v>
      </c>
      <c r="I47" t="s">
        <v>1609</v>
      </c>
      <c r="J47" t="s">
        <v>1609</v>
      </c>
      <c r="K47" t="s">
        <v>15</v>
      </c>
      <c r="L47" t="s">
        <v>3678</v>
      </c>
    </row>
    <row r="48" spans="1:12" x14ac:dyDescent="0.2">
      <c r="A48" t="s">
        <v>249</v>
      </c>
      <c r="B48" t="s">
        <v>250</v>
      </c>
      <c r="C48" t="s">
        <v>190</v>
      </c>
      <c r="D48" t="s">
        <v>252</v>
      </c>
      <c r="E48" t="str">
        <f>HYPERLINK("/pdf/2017_10.1109_dasc-picom-datacom-cyberscitec.2017.112_Combating_data_leakage_trojans_in_sequential_circuits_through_randomized_encoding.pdf","open")</f>
        <v>open</v>
      </c>
      <c r="F48" t="s">
        <v>1054</v>
      </c>
      <c r="G48" t="s">
        <v>1054</v>
      </c>
      <c r="H48" t="s">
        <v>1054</v>
      </c>
      <c r="I48" t="s">
        <v>1054</v>
      </c>
      <c r="J48" t="s">
        <v>1054</v>
      </c>
      <c r="K48" t="s">
        <v>1054</v>
      </c>
      <c r="L48" t="s">
        <v>3679</v>
      </c>
    </row>
    <row r="49" spans="1:12" x14ac:dyDescent="0.2">
      <c r="A49" t="s">
        <v>254</v>
      </c>
      <c r="B49" t="s">
        <v>255</v>
      </c>
      <c r="C49" t="s">
        <v>36</v>
      </c>
      <c r="D49" t="s">
        <v>257</v>
      </c>
      <c r="E49" t="str">
        <f>HYPERLINK("/pdf/2021_10.1109_ddecs52668.2021.9417061_A_Benchmark_Suite_of_RT-level_Hardware_Trojans_for_Pipelined_Microprocessor_Cores.pdf","open")</f>
        <v>open</v>
      </c>
      <c r="F49" t="s">
        <v>1054</v>
      </c>
      <c r="G49" t="s">
        <v>1054</v>
      </c>
      <c r="H49" t="s">
        <v>1054</v>
      </c>
      <c r="I49" t="s">
        <v>1054</v>
      </c>
      <c r="J49" t="s">
        <v>1054</v>
      </c>
      <c r="K49" t="s">
        <v>1054</v>
      </c>
      <c r="L49" t="s">
        <v>3680</v>
      </c>
    </row>
    <row r="50" spans="1:12" x14ac:dyDescent="0.2">
      <c r="A50" t="s">
        <v>259</v>
      </c>
      <c r="B50" t="s">
        <v>75</v>
      </c>
      <c r="C50" t="s">
        <v>25</v>
      </c>
      <c r="D50" t="s">
        <v>74</v>
      </c>
      <c r="E50" t="str">
        <f>HYPERLINK("/pdf/2024_10_1109_access_2024_3363640_how_can_credit_supervision_mechanism_improve_security_crowdsourcing_ecosystem_governance.pdf","open")</f>
        <v>open</v>
      </c>
      <c r="F50" t="s">
        <v>1054</v>
      </c>
      <c r="G50" t="s">
        <v>1054</v>
      </c>
      <c r="H50" t="s">
        <v>1054</v>
      </c>
      <c r="I50" t="s">
        <v>1054</v>
      </c>
      <c r="J50" t="s">
        <v>1054</v>
      </c>
      <c r="K50" t="s">
        <v>1054</v>
      </c>
      <c r="L50" t="s">
        <v>3681</v>
      </c>
    </row>
    <row r="51" spans="1:12" x14ac:dyDescent="0.2">
      <c r="A51" t="s">
        <v>261</v>
      </c>
      <c r="B51" t="s">
        <v>262</v>
      </c>
      <c r="C51" t="s">
        <v>36</v>
      </c>
      <c r="D51" t="s">
        <v>264</v>
      </c>
      <c r="E51" t="str">
        <f>HYPERLINK("/pdf/2021_10.1109_bigdatasecurityhpscids52275.2021.00038_Toward_Pinpointing_Data_Leakage_from_Advanced_Persistent_Threats.pdf","open")</f>
        <v>open</v>
      </c>
      <c r="F51" t="s">
        <v>1604</v>
      </c>
      <c r="G51" t="s">
        <v>1604</v>
      </c>
      <c r="H51" t="s">
        <v>1054</v>
      </c>
      <c r="I51" t="s">
        <v>1604</v>
      </c>
      <c r="J51" t="s">
        <v>1604</v>
      </c>
      <c r="K51" t="s">
        <v>44</v>
      </c>
      <c r="L51" t="s">
        <v>3682</v>
      </c>
    </row>
    <row r="52" spans="1:12" x14ac:dyDescent="0.2">
      <c r="A52" t="s">
        <v>266</v>
      </c>
      <c r="B52" t="s">
        <v>267</v>
      </c>
      <c r="C52" t="s">
        <v>268</v>
      </c>
      <c r="D52" t="s">
        <v>148</v>
      </c>
      <c r="E52" t="str">
        <f>HYPERLINK("/pdf/2010_10.1109_cnsm.2010.5691292_User_identification_in_encrypted_network_communications.pdf","open")</f>
        <v>open</v>
      </c>
      <c r="F52" t="s">
        <v>1609</v>
      </c>
      <c r="G52" t="s">
        <v>1609</v>
      </c>
      <c r="H52" t="s">
        <v>1609</v>
      </c>
      <c r="I52" t="s">
        <v>1609</v>
      </c>
      <c r="J52" t="s">
        <v>1609</v>
      </c>
      <c r="K52" t="s">
        <v>15</v>
      </c>
      <c r="L52" t="s">
        <v>3683</v>
      </c>
    </row>
    <row r="53" spans="1:12" x14ac:dyDescent="0.2">
      <c r="A53" t="s">
        <v>271</v>
      </c>
      <c r="B53" t="s">
        <v>272</v>
      </c>
      <c r="C53" t="s">
        <v>60</v>
      </c>
      <c r="D53" t="s">
        <v>274</v>
      </c>
      <c r="E53" t="str">
        <f>HYPERLINK("/pdf/2024_10_4108_eetsis_5028_determining_intrusion_attacks_against_online_applications_using_cloud_based_data_security.pdf","open")</f>
        <v>open</v>
      </c>
      <c r="F53" t="s">
        <v>1609</v>
      </c>
      <c r="G53" t="s">
        <v>1609</v>
      </c>
      <c r="H53" t="s">
        <v>1609</v>
      </c>
      <c r="I53" t="s">
        <v>1609</v>
      </c>
      <c r="J53" t="s">
        <v>1609</v>
      </c>
      <c r="K53" t="s">
        <v>1054</v>
      </c>
      <c r="L53" t="s">
        <v>3684</v>
      </c>
    </row>
    <row r="54" spans="1:12" x14ac:dyDescent="0.2">
      <c r="A54" t="s">
        <v>276</v>
      </c>
      <c r="B54" t="s">
        <v>277</v>
      </c>
      <c r="C54" t="s">
        <v>190</v>
      </c>
      <c r="D54" t="s">
        <v>279</v>
      </c>
      <c r="E54" t="str">
        <f>HYPERLINK("/pdf/2017_10_1109_netsoft_2017_8004195_automated_verification_of_security_chains_in_software_defined_networks_with_synaptic.pdf","open")</f>
        <v>open</v>
      </c>
      <c r="F54" t="s">
        <v>1054</v>
      </c>
      <c r="G54" t="s">
        <v>1054</v>
      </c>
      <c r="H54" t="s">
        <v>1054</v>
      </c>
      <c r="I54" t="s">
        <v>1054</v>
      </c>
      <c r="J54" t="s">
        <v>1054</v>
      </c>
      <c r="K54" t="s">
        <v>1054</v>
      </c>
      <c r="L54" t="s">
        <v>3685</v>
      </c>
    </row>
    <row r="55" spans="1:12" x14ac:dyDescent="0.2">
      <c r="A55" t="s">
        <v>281</v>
      </c>
      <c r="B55" t="s">
        <v>282</v>
      </c>
      <c r="C55" t="s">
        <v>36</v>
      </c>
      <c r="D55" t="s">
        <v>284</v>
      </c>
      <c r="E55" t="str">
        <f>HYPERLINK("/pdf/2021_10.1109_vts50974.2021.9441032_Special_session__CAD_for_hardware_security_-_Automation_is_key_to_adoption_of_solutions.pdf","open")</f>
        <v>open</v>
      </c>
      <c r="F55" t="s">
        <v>1054</v>
      </c>
      <c r="G55" t="s">
        <v>1054</v>
      </c>
      <c r="H55" t="s">
        <v>1054</v>
      </c>
      <c r="I55" t="s">
        <v>1054</v>
      </c>
      <c r="J55" t="s">
        <v>1054</v>
      </c>
      <c r="K55" t="s">
        <v>1054</v>
      </c>
      <c r="L55" t="s">
        <v>3686</v>
      </c>
    </row>
    <row r="56" spans="1:12" x14ac:dyDescent="0.2">
      <c r="A56" t="s">
        <v>286</v>
      </c>
      <c r="B56" t="s">
        <v>287</v>
      </c>
      <c r="C56" t="s">
        <v>60</v>
      </c>
      <c r="D56" t="s">
        <v>289</v>
      </c>
      <c r="E56" t="str">
        <f>HYPERLINK("/pdf/2024_10.1109_tifs.2024.3420233_SGD3QN__Joint_Stochastic_Games_and_Dueling_Double_Deep_Q-Networks_for_Defending_Malware_Propagation_in_Edge_In.pdf","open")</f>
        <v>open</v>
      </c>
      <c r="F56" t="s">
        <v>1609</v>
      </c>
      <c r="G56" t="s">
        <v>1609</v>
      </c>
      <c r="H56" t="s">
        <v>1609</v>
      </c>
      <c r="I56" t="s">
        <v>1609</v>
      </c>
      <c r="J56" t="s">
        <v>1604</v>
      </c>
      <c r="K56" t="s">
        <v>15</v>
      </c>
      <c r="L56" t="s">
        <v>3687</v>
      </c>
    </row>
    <row r="57" spans="1:12" x14ac:dyDescent="0.2">
      <c r="A57" t="s">
        <v>291</v>
      </c>
      <c r="B57" t="s">
        <v>292</v>
      </c>
      <c r="C57" t="s">
        <v>60</v>
      </c>
      <c r="D57" t="s">
        <v>294</v>
      </c>
      <c r="E57" t="str">
        <f>HYPERLINK("/pdf/2024_10.1007_s10115-024-02184-6_An_online_ensemble_classification_algorithm_for_multi-class_imbalanced_data_stream.pdf","open")</f>
        <v>open</v>
      </c>
      <c r="F57" t="s">
        <v>1609</v>
      </c>
      <c r="G57" t="s">
        <v>1604</v>
      </c>
      <c r="H57" t="s">
        <v>1054</v>
      </c>
      <c r="I57" t="s">
        <v>1604</v>
      </c>
      <c r="J57" t="s">
        <v>1604</v>
      </c>
      <c r="K57" t="s">
        <v>44</v>
      </c>
      <c r="L57" t="s">
        <v>3688</v>
      </c>
    </row>
    <row r="58" spans="1:12" x14ac:dyDescent="0.2">
      <c r="A58" t="s">
        <v>296</v>
      </c>
      <c r="B58" t="s">
        <v>297</v>
      </c>
      <c r="C58" t="s">
        <v>19</v>
      </c>
      <c r="D58" t="s">
        <v>296</v>
      </c>
      <c r="E58" t="str">
        <f>HYPERLINK("/pdf/2025_10.1109_icimia67127.2025.11200972_An_Intelligent_Data_Leakage_Prevention_in_Cloud_Computing_using_Golden_Jackal_Optimization.pdf.pdf","open")</f>
        <v>open</v>
      </c>
      <c r="F58" t="s">
        <v>1609</v>
      </c>
      <c r="G58" t="s">
        <v>1609</v>
      </c>
      <c r="H58" t="s">
        <v>1604</v>
      </c>
      <c r="I58" t="s">
        <v>1604</v>
      </c>
      <c r="J58" t="s">
        <v>1609</v>
      </c>
      <c r="K58" t="s">
        <v>15</v>
      </c>
      <c r="L58" t="s">
        <v>3689</v>
      </c>
    </row>
    <row r="59" spans="1:12" x14ac:dyDescent="0.2">
      <c r="A59" t="s">
        <v>300</v>
      </c>
      <c r="B59" t="s">
        <v>301</v>
      </c>
      <c r="C59" t="s">
        <v>60</v>
      </c>
      <c r="D59" t="s">
        <v>303</v>
      </c>
      <c r="E59" t="str">
        <f>HYPERLINK("/pdf/2024_10.1109_host55342.2024.10545402_NoiseHopper__Emission_Hopping_Air-Gap_Covert_Side_Channel_with_Lower_Probability_of_Detection.pdf","open")</f>
        <v>open</v>
      </c>
      <c r="F59" t="s">
        <v>1054</v>
      </c>
      <c r="G59" t="s">
        <v>1054</v>
      </c>
      <c r="H59" t="s">
        <v>1054</v>
      </c>
      <c r="I59" t="s">
        <v>1054</v>
      </c>
      <c r="J59" t="s">
        <v>1054</v>
      </c>
      <c r="K59" t="s">
        <v>1054</v>
      </c>
      <c r="L59" t="s">
        <v>3690</v>
      </c>
    </row>
    <row r="60" spans="1:12" x14ac:dyDescent="0.2">
      <c r="A60" t="s">
        <v>305</v>
      </c>
      <c r="B60" t="s">
        <v>306</v>
      </c>
      <c r="C60" t="s">
        <v>100</v>
      </c>
      <c r="D60" t="s">
        <v>148</v>
      </c>
      <c r="E60" t="str">
        <f>HYPERLINK("/pdf/2023_10_1109_mobilsoft59058_2023_00016_sensitive_and_personal_data_what_exactly_are_you_talking_about.pdf","open")</f>
        <v>open</v>
      </c>
      <c r="F60" t="s">
        <v>1054</v>
      </c>
      <c r="G60" t="s">
        <v>1054</v>
      </c>
      <c r="H60" t="s">
        <v>1054</v>
      </c>
      <c r="I60" t="s">
        <v>1054</v>
      </c>
      <c r="J60" t="s">
        <v>1054</v>
      </c>
      <c r="K60" t="s">
        <v>1054</v>
      </c>
      <c r="L60" t="s">
        <v>3691</v>
      </c>
    </row>
    <row r="61" spans="1:12" x14ac:dyDescent="0.2">
      <c r="A61" t="s">
        <v>308</v>
      </c>
      <c r="B61" t="s">
        <v>309</v>
      </c>
      <c r="C61" t="s">
        <v>36</v>
      </c>
      <c r="D61" t="s">
        <v>311</v>
      </c>
      <c r="E61" t="str">
        <f>HYPERLINK("/pdf/2022_10_1016_j_neucom_2021_01_144_a_real_time_dynamic_concept_adaptive_learning_algorithm_for_exploitability_prediction.pdf","open")</f>
        <v>open</v>
      </c>
      <c r="F61" t="s">
        <v>1604</v>
      </c>
      <c r="G61" t="s">
        <v>1604</v>
      </c>
      <c r="H61" t="s">
        <v>148</v>
      </c>
      <c r="I61" t="s">
        <v>1604</v>
      </c>
      <c r="J61" t="s">
        <v>1604</v>
      </c>
      <c r="K61" t="s">
        <v>44</v>
      </c>
      <c r="L61" t="s">
        <v>3692</v>
      </c>
    </row>
    <row r="62" spans="1:12" x14ac:dyDescent="0.2">
      <c r="A62" t="s">
        <v>313</v>
      </c>
      <c r="B62" t="s">
        <v>314</v>
      </c>
      <c r="C62" t="s">
        <v>36</v>
      </c>
      <c r="D62" t="s">
        <v>316</v>
      </c>
      <c r="E62" t="str">
        <f>HYPERLINK("/pdf/2022_10_1080_0144929x_2021_1953597_the_relationship_between_online_political_participation_and_privacy_protection_evidence_f.pdf","open")</f>
        <v>open</v>
      </c>
      <c r="F62" t="s">
        <v>1054</v>
      </c>
      <c r="G62" t="s">
        <v>1054</v>
      </c>
      <c r="H62" t="s">
        <v>1054</v>
      </c>
      <c r="I62" t="s">
        <v>1054</v>
      </c>
      <c r="J62" t="s">
        <v>1054</v>
      </c>
      <c r="K62" t="s">
        <v>1054</v>
      </c>
      <c r="L62" t="s">
        <v>3693</v>
      </c>
    </row>
    <row r="63" spans="1:12" x14ac:dyDescent="0.2">
      <c r="A63" t="s">
        <v>318</v>
      </c>
      <c r="B63" t="s">
        <v>319</v>
      </c>
      <c r="C63" t="s">
        <v>25</v>
      </c>
      <c r="D63" t="s">
        <v>321</v>
      </c>
      <c r="E63" t="str">
        <f>HYPERLINK("/pdf/2023_10_1007_s40747_021_00456_0_deep_learning_framework_for_handling_concept_drift_and_class_imbalanced_complex_decision_m.pdf","open")</f>
        <v>open</v>
      </c>
      <c r="F63" t="s">
        <v>1609</v>
      </c>
      <c r="G63" t="s">
        <v>1609</v>
      </c>
      <c r="H63" t="s">
        <v>1054</v>
      </c>
      <c r="I63" t="s">
        <v>1604</v>
      </c>
      <c r="J63" t="s">
        <v>1604</v>
      </c>
      <c r="K63" t="s">
        <v>15</v>
      </c>
      <c r="L63" t="s">
        <v>3694</v>
      </c>
    </row>
    <row r="64" spans="1:12" x14ac:dyDescent="0.2">
      <c r="A64" t="s">
        <v>323</v>
      </c>
      <c r="B64" t="s">
        <v>323</v>
      </c>
      <c r="C64" t="s">
        <v>19</v>
      </c>
      <c r="D64" t="s">
        <v>324</v>
      </c>
      <c r="E64" t="str">
        <f>HYPERLINK("/pdf/2025_10.1109_access.2025.3569356_FEXGBIDS__Federated_XGBoost-Based_Intrusion_Detection_System_for_In-Vehicle_Network.pdf","open")</f>
        <v>open</v>
      </c>
      <c r="F64" t="s">
        <v>1609</v>
      </c>
      <c r="G64" t="s">
        <v>1609</v>
      </c>
      <c r="H64" t="s">
        <v>1609</v>
      </c>
      <c r="I64" t="s">
        <v>1604</v>
      </c>
      <c r="J64" t="s">
        <v>1604</v>
      </c>
      <c r="K64" t="s">
        <v>15</v>
      </c>
      <c r="L64" t="s">
        <v>3695</v>
      </c>
    </row>
    <row r="65" spans="1:12" x14ac:dyDescent="0.2">
      <c r="A65" t="s">
        <v>326</v>
      </c>
      <c r="B65" t="s">
        <v>327</v>
      </c>
      <c r="C65" t="s">
        <v>190</v>
      </c>
      <c r="D65" t="s">
        <v>329</v>
      </c>
      <c r="E65" t="str">
        <f>HYPERLINK("/pdf/2017_10.1109_iccsn.2017.8230197_EddLeak__Enhancing_precision_of_detecting_inter-app_data_leakage_in_Android_applications.pdf","open")</f>
        <v>open</v>
      </c>
      <c r="F65" t="s">
        <v>1609</v>
      </c>
      <c r="G65" t="s">
        <v>1609</v>
      </c>
      <c r="H65" t="s">
        <v>1609</v>
      </c>
      <c r="I65" t="s">
        <v>1609</v>
      </c>
      <c r="J65" t="s">
        <v>1609</v>
      </c>
      <c r="K65" t="s">
        <v>15</v>
      </c>
      <c r="L65" t="s">
        <v>3696</v>
      </c>
    </row>
    <row r="66" spans="1:12" x14ac:dyDescent="0.2">
      <c r="A66" t="s">
        <v>331</v>
      </c>
      <c r="B66" t="s">
        <v>332</v>
      </c>
      <c r="C66" t="s">
        <v>25</v>
      </c>
      <c r="D66" t="s">
        <v>334</v>
      </c>
      <c r="E66" t="str">
        <f>HYPERLINK("/pdf/2023_10.1109_3ict60104.2023.10391475_Enhancing_Mobile_Security__A_Systematic_Review_of_AI_and_Blockchain_Integration_Strategies_for_Effective_Analy.pdf","open")</f>
        <v>open</v>
      </c>
      <c r="F66" t="s">
        <v>1054</v>
      </c>
      <c r="G66" t="s">
        <v>1054</v>
      </c>
      <c r="H66" t="s">
        <v>1054</v>
      </c>
      <c r="I66" t="s">
        <v>1054</v>
      </c>
      <c r="J66" t="s">
        <v>1054</v>
      </c>
      <c r="K66" t="s">
        <v>1054</v>
      </c>
      <c r="L66" t="s">
        <v>3697</v>
      </c>
    </row>
    <row r="67" spans="1:12" x14ac:dyDescent="0.2">
      <c r="A67" t="s">
        <v>336</v>
      </c>
      <c r="B67" t="s">
        <v>337</v>
      </c>
      <c r="C67" t="s">
        <v>19</v>
      </c>
      <c r="D67" t="s">
        <v>339</v>
      </c>
      <c r="E67" t="str">
        <f>HYPERLINK("/pdf/2025_10.1007_s13198-025-03013-x_Mobile_network_intelligent_recommendation_based_on_data_mining_and_network_security_application_in_college_stu.pdf","open")</f>
        <v>open</v>
      </c>
      <c r="F67" t="s">
        <v>1609</v>
      </c>
      <c r="G67" t="s">
        <v>1609</v>
      </c>
      <c r="H67" t="s">
        <v>1609</v>
      </c>
      <c r="I67" t="s">
        <v>1609</v>
      </c>
      <c r="J67" t="s">
        <v>1604</v>
      </c>
      <c r="K67" t="s">
        <v>15</v>
      </c>
      <c r="L67" t="s">
        <v>3698</v>
      </c>
    </row>
    <row r="68" spans="1:12" x14ac:dyDescent="0.2">
      <c r="A68" t="s">
        <v>341</v>
      </c>
      <c r="B68" t="s">
        <v>342</v>
      </c>
      <c r="C68" t="s">
        <v>12</v>
      </c>
      <c r="D68" t="s">
        <v>344</v>
      </c>
      <c r="E68" t="str">
        <f>HYPERLINK("/pdf/2018_10.1109_isvlsi.2018.00105_Security-driven_task_scheduling_for_multiprocessor_system-on-chips_with_performance_constraints.pdf","open")</f>
        <v>open</v>
      </c>
      <c r="F68" t="s">
        <v>1054</v>
      </c>
      <c r="G68" t="s">
        <v>1054</v>
      </c>
      <c r="H68" t="s">
        <v>1054</v>
      </c>
      <c r="I68" t="s">
        <v>1054</v>
      </c>
      <c r="J68" t="s">
        <v>1604</v>
      </c>
      <c r="K68" t="s">
        <v>1054</v>
      </c>
      <c r="L68" t="s">
        <v>3699</v>
      </c>
    </row>
    <row r="69" spans="1:12" x14ac:dyDescent="0.2">
      <c r="A69" t="s">
        <v>346</v>
      </c>
      <c r="B69" t="s">
        <v>347</v>
      </c>
      <c r="C69" t="s">
        <v>54</v>
      </c>
      <c r="D69" t="s">
        <v>349</v>
      </c>
      <c r="E69" t="str">
        <f>HYPERLINK("/pdf/2020_10.1145_3407023.3409216_Exploring_data_leakage_in_encrypted_payload_using_supervised_machine_learning.pdf","open")</f>
        <v>open</v>
      </c>
      <c r="F69" t="s">
        <v>1609</v>
      </c>
      <c r="G69" t="s">
        <v>1609</v>
      </c>
      <c r="H69" t="s">
        <v>1609</v>
      </c>
      <c r="I69" t="s">
        <v>1604</v>
      </c>
      <c r="J69" t="s">
        <v>1604</v>
      </c>
      <c r="K69" t="s">
        <v>15</v>
      </c>
      <c r="L69" t="s">
        <v>3700</v>
      </c>
    </row>
    <row r="70" spans="1:12" x14ac:dyDescent="0.2">
      <c r="A70" t="s">
        <v>351</v>
      </c>
      <c r="B70" t="s">
        <v>352</v>
      </c>
      <c r="C70" t="s">
        <v>54</v>
      </c>
      <c r="D70" t="s">
        <v>354</v>
      </c>
      <c r="E70" t="str">
        <f>HYPERLINK("/pdf/2020_10.1109_tvlsi.2020.2982188_Cache-Out__Leaking_Cache_Memory_Using_Hardware_Trojan.pdf","open")</f>
        <v>open</v>
      </c>
      <c r="F70" t="s">
        <v>1609</v>
      </c>
      <c r="G70" t="s">
        <v>1609</v>
      </c>
      <c r="H70" t="s">
        <v>1609</v>
      </c>
      <c r="I70" t="s">
        <v>1609</v>
      </c>
      <c r="J70" t="s">
        <v>1609</v>
      </c>
      <c r="K70" t="s">
        <v>1054</v>
      </c>
      <c r="L70" t="s">
        <v>3701</v>
      </c>
    </row>
    <row r="71" spans="1:12" x14ac:dyDescent="0.2">
      <c r="A71" t="s">
        <v>356</v>
      </c>
      <c r="B71" t="s">
        <v>357</v>
      </c>
      <c r="C71" t="s">
        <v>25</v>
      </c>
      <c r="D71" t="s">
        <v>359</v>
      </c>
      <c r="E71" t="str">
        <f>HYPERLINK("/pdf/2023_10.1109_isctech60480.2023.00028_An_attack-aware_shipping_enterprise_cybersecurity_framework_based_on_deep_learning.pdf","open")</f>
        <v>open</v>
      </c>
      <c r="F71" t="s">
        <v>1609</v>
      </c>
      <c r="G71" t="s">
        <v>1609</v>
      </c>
      <c r="H71" t="s">
        <v>1609</v>
      </c>
      <c r="I71" t="s">
        <v>1609</v>
      </c>
      <c r="J71" t="s">
        <v>1604</v>
      </c>
      <c r="K71" t="s">
        <v>15</v>
      </c>
      <c r="L71" t="s">
        <v>3702</v>
      </c>
    </row>
    <row r="72" spans="1:12" x14ac:dyDescent="0.2">
      <c r="A72" t="s">
        <v>361</v>
      </c>
      <c r="B72" t="s">
        <v>362</v>
      </c>
      <c r="C72" t="s">
        <v>363</v>
      </c>
      <c r="D72" t="s">
        <v>365</v>
      </c>
      <c r="E72" t="str">
        <f>HYPERLINK("/pdf/2016_10.1016_j.jnca.2016.01.008_A_survey_on_data_leakage_prevention_systems.pdf","open")</f>
        <v>open</v>
      </c>
      <c r="F72" t="s">
        <v>1054</v>
      </c>
      <c r="G72" t="s">
        <v>1054</v>
      </c>
      <c r="H72" t="s">
        <v>1054</v>
      </c>
      <c r="I72" t="s">
        <v>1054</v>
      </c>
      <c r="J72" t="s">
        <v>1054</v>
      </c>
      <c r="K72" t="s">
        <v>1054</v>
      </c>
      <c r="L72" t="s">
        <v>3703</v>
      </c>
    </row>
    <row r="73" spans="1:12" x14ac:dyDescent="0.2">
      <c r="A73" t="s">
        <v>367</v>
      </c>
      <c r="B73" t="s">
        <v>368</v>
      </c>
      <c r="C73" t="s">
        <v>60</v>
      </c>
      <c r="D73" t="s">
        <v>370</v>
      </c>
      <c r="E73" t="str">
        <f>HYPERLINK("/pdf/2024_10.1002_9781394200801.ch32_Risks_for_conversational_AI_security.pdf","open")</f>
        <v>open</v>
      </c>
      <c r="F73" t="s">
        <v>1609</v>
      </c>
      <c r="G73" t="s">
        <v>1609</v>
      </c>
      <c r="H73" t="s">
        <v>1609</v>
      </c>
      <c r="I73" t="s">
        <v>1609</v>
      </c>
      <c r="J73" t="s">
        <v>1609</v>
      </c>
      <c r="K73" t="s">
        <v>15</v>
      </c>
      <c r="L73" t="s">
        <v>3704</v>
      </c>
    </row>
    <row r="74" spans="1:12" x14ac:dyDescent="0.2">
      <c r="A74" t="s">
        <v>372</v>
      </c>
      <c r="B74" t="s">
        <v>373</v>
      </c>
      <c r="C74" t="s">
        <v>363</v>
      </c>
      <c r="D74" t="s">
        <v>375</v>
      </c>
      <c r="E74" t="str">
        <f>HYPERLINK("/pdf/2016_10.1109_hicss.2016.679_Utilizing_the_cloud_to_store_hijacked_camera_images.pdf","open")</f>
        <v>open</v>
      </c>
      <c r="F74" t="s">
        <v>1609</v>
      </c>
      <c r="G74" t="s">
        <v>1609</v>
      </c>
      <c r="H74" t="s">
        <v>1609</v>
      </c>
      <c r="I74" t="s">
        <v>1609</v>
      </c>
      <c r="J74" t="s">
        <v>1609</v>
      </c>
      <c r="K74" t="s">
        <v>1054</v>
      </c>
      <c r="L74" t="s">
        <v>3705</v>
      </c>
    </row>
    <row r="75" spans="1:12" x14ac:dyDescent="0.2">
      <c r="A75" t="s">
        <v>140</v>
      </c>
      <c r="B75" t="s">
        <v>141</v>
      </c>
      <c r="C75" t="s">
        <v>25</v>
      </c>
      <c r="D75" t="s">
        <v>143</v>
      </c>
      <c r="E75" t="str">
        <f>HYPERLINK("/pdf/2023_10_11591_ijece_v13i5_pp5560_5568_concept_drift_and_machine_learning_model_for_detecting_fraudulent_transactions_i.pdf","open")</f>
        <v>open</v>
      </c>
      <c r="F75" t="s">
        <v>1604</v>
      </c>
      <c r="G75" t="s">
        <v>1604</v>
      </c>
      <c r="H75" t="s">
        <v>1609</v>
      </c>
      <c r="I75" t="s">
        <v>1604</v>
      </c>
      <c r="J75" t="s">
        <v>1604</v>
      </c>
      <c r="K75" t="s">
        <v>590</v>
      </c>
      <c r="L75" t="s">
        <v>3706</v>
      </c>
    </row>
    <row r="76" spans="1:12" x14ac:dyDescent="0.2">
      <c r="A76" t="s">
        <v>378</v>
      </c>
      <c r="B76" t="s">
        <v>379</v>
      </c>
      <c r="C76" t="s">
        <v>25</v>
      </c>
      <c r="D76" t="s">
        <v>378</v>
      </c>
      <c r="E76" t="str">
        <f>HYPERLINK("/pdf/2024_10_1587_transfun_2023eap1049_real_time_monitoring_systems_that_provide_m2m_communication_between_machines.pdf","open")</f>
        <v>open</v>
      </c>
      <c r="F76" t="s">
        <v>1609</v>
      </c>
      <c r="G76" t="s">
        <v>1604</v>
      </c>
      <c r="H76" t="s">
        <v>1609</v>
      </c>
      <c r="I76" t="s">
        <v>1609</v>
      </c>
      <c r="J76" t="s">
        <v>1609</v>
      </c>
      <c r="K76" t="s">
        <v>15</v>
      </c>
      <c r="L76" t="s">
        <v>3707</v>
      </c>
    </row>
    <row r="77" spans="1:12" x14ac:dyDescent="0.2">
      <c r="A77" t="s">
        <v>382</v>
      </c>
      <c r="B77" t="s">
        <v>383</v>
      </c>
      <c r="C77" t="s">
        <v>48</v>
      </c>
      <c r="D77" t="s">
        <v>385</v>
      </c>
      <c r="E77" t="str">
        <f>HYPERLINK("/pdf/2026_10_37394_23209_2026_23_6_intrusion_detection_system_iids.pdf","open")</f>
        <v>open</v>
      </c>
      <c r="F77" t="s">
        <v>1604</v>
      </c>
      <c r="G77" t="s">
        <v>1609</v>
      </c>
      <c r="H77" t="s">
        <v>1609</v>
      </c>
      <c r="I77" t="s">
        <v>1604</v>
      </c>
      <c r="J77" t="s">
        <v>1604</v>
      </c>
      <c r="K77" t="s">
        <v>15</v>
      </c>
      <c r="L77" t="s">
        <v>3708</v>
      </c>
    </row>
    <row r="78" spans="1:12" x14ac:dyDescent="0.2">
      <c r="A78" t="s">
        <v>387</v>
      </c>
      <c r="B78" t="s">
        <v>388</v>
      </c>
      <c r="C78" t="s">
        <v>25</v>
      </c>
      <c r="D78" t="s">
        <v>390</v>
      </c>
      <c r="E78" t="str">
        <f>HYPERLINK("/pdf/2023_10_3390_fi15090296_fredy_federated_resilience_enhanced_with_differential_privacy.pdf","open")</f>
        <v>open</v>
      </c>
      <c r="F78" t="s">
        <v>1604</v>
      </c>
      <c r="G78" t="s">
        <v>1609</v>
      </c>
      <c r="H78" t="s">
        <v>1609</v>
      </c>
      <c r="I78" t="s">
        <v>1604</v>
      </c>
      <c r="J78" t="s">
        <v>1604</v>
      </c>
      <c r="K78" t="s">
        <v>15</v>
      </c>
      <c r="L78" t="s">
        <v>3709</v>
      </c>
    </row>
    <row r="79" spans="1:12" x14ac:dyDescent="0.2">
      <c r="A79" t="s">
        <v>392</v>
      </c>
      <c r="B79" t="s">
        <v>393</v>
      </c>
      <c r="C79" t="s">
        <v>19</v>
      </c>
      <c r="D79" t="s">
        <v>395</v>
      </c>
      <c r="E79" t="str">
        <f>HYPERLINK("/pdf/2025_10.1109_isctt66403.2025.11137906_Distributed_Network_Intrusion_Detection_Model_Based_on_Multi-Feature_Fusion_Generative_Adversarial_Network_and.pdf","open")</f>
        <v>open</v>
      </c>
      <c r="F79" t="s">
        <v>1609</v>
      </c>
      <c r="G79" t="s">
        <v>1609</v>
      </c>
      <c r="H79" t="s">
        <v>1609</v>
      </c>
      <c r="I79" t="s">
        <v>1609</v>
      </c>
      <c r="J79" t="s">
        <v>1604</v>
      </c>
      <c r="K79" t="s">
        <v>15</v>
      </c>
      <c r="L79" t="s">
        <v>3710</v>
      </c>
    </row>
    <row r="80" spans="1:12" x14ac:dyDescent="0.2">
      <c r="A80" t="s">
        <v>397</v>
      </c>
      <c r="B80" t="s">
        <v>398</v>
      </c>
      <c r="C80" t="s">
        <v>25</v>
      </c>
      <c r="D80" t="s">
        <v>400</v>
      </c>
      <c r="E80" t="str">
        <f>HYPERLINK("/pdf/2023_10_3390_en16134838_a_review_of_cybersecurity_concerns_for_transactive_energy_markets.pdf","open")</f>
        <v>open</v>
      </c>
      <c r="F80" t="s">
        <v>1054</v>
      </c>
      <c r="G80" t="s">
        <v>1054</v>
      </c>
      <c r="H80" t="s">
        <v>1054</v>
      </c>
      <c r="I80" t="s">
        <v>1054</v>
      </c>
      <c r="J80" t="s">
        <v>1054</v>
      </c>
      <c r="K80" t="s">
        <v>1054</v>
      </c>
      <c r="L80" t="s">
        <v>3711</v>
      </c>
    </row>
    <row r="81" spans="1:12" x14ac:dyDescent="0.2">
      <c r="A81" t="s">
        <v>402</v>
      </c>
      <c r="B81" t="s">
        <v>403</v>
      </c>
      <c r="C81" t="s">
        <v>136</v>
      </c>
      <c r="D81" t="s">
        <v>405</v>
      </c>
      <c r="E81" t="str">
        <f>HYPERLINK("/pdf/2019_10_1109_compsac_2019_00118_ctrl_alt_led_leaking_data_from_air_gapped_computers_via_keyboard_leds.pdf","open")</f>
        <v>open</v>
      </c>
      <c r="F81" t="s">
        <v>1054</v>
      </c>
      <c r="G81" t="s">
        <v>1054</v>
      </c>
      <c r="H81" t="s">
        <v>1054</v>
      </c>
      <c r="I81" t="s">
        <v>1054</v>
      </c>
      <c r="J81" t="s">
        <v>1054</v>
      </c>
      <c r="K81" t="s">
        <v>1054</v>
      </c>
      <c r="L81" t="s">
        <v>3712</v>
      </c>
    </row>
    <row r="82" spans="1:12" x14ac:dyDescent="0.2">
      <c r="A82" t="s">
        <v>407</v>
      </c>
      <c r="B82" t="s">
        <v>408</v>
      </c>
      <c r="C82" t="s">
        <v>12</v>
      </c>
      <c r="D82" t="s">
        <v>410</v>
      </c>
      <c r="E82" t="str">
        <f>HYPERLINK("/pdf/2018_10.1109_iccnc.2018.8390242_Don't_Be_Surprised__I_See_Your_Mobile_App_Stealing_Your_Data.pdf","open")</f>
        <v>open</v>
      </c>
      <c r="F82" t="s">
        <v>1609</v>
      </c>
      <c r="G82" t="s">
        <v>1609</v>
      </c>
      <c r="H82" t="s">
        <v>1609</v>
      </c>
      <c r="I82" t="s">
        <v>1609</v>
      </c>
      <c r="J82" t="s">
        <v>1609</v>
      </c>
      <c r="K82" t="s">
        <v>15</v>
      </c>
      <c r="L82" t="s">
        <v>3713</v>
      </c>
    </row>
    <row r="83" spans="1:12" x14ac:dyDescent="0.2">
      <c r="A83" t="s">
        <v>412</v>
      </c>
      <c r="B83" t="s">
        <v>11</v>
      </c>
      <c r="C83" t="s">
        <v>12</v>
      </c>
      <c r="D83" t="s">
        <v>14</v>
      </c>
      <c r="E83" t="str">
        <f>HYPERLINK("/pdf/2018_10_1007_978_1_4842_3700_7_defending_iot_infrastructures_with_the_raspberry_pi_monitoring_and_detecting_nefarious_be.pdf","open")</f>
        <v>open</v>
      </c>
      <c r="F83" t="s">
        <v>1609</v>
      </c>
      <c r="G83" t="s">
        <v>1609</v>
      </c>
      <c r="H83" t="s">
        <v>1609</v>
      </c>
      <c r="I83" t="s">
        <v>1609</v>
      </c>
      <c r="J83" t="s">
        <v>1609</v>
      </c>
      <c r="K83" t="s">
        <v>15</v>
      </c>
      <c r="L83" t="s">
        <v>3714</v>
      </c>
    </row>
    <row r="84" spans="1:12" x14ac:dyDescent="0.2">
      <c r="A84" t="s">
        <v>415</v>
      </c>
      <c r="B84" t="s">
        <v>416</v>
      </c>
      <c r="C84" t="s">
        <v>19</v>
      </c>
      <c r="D84" t="s">
        <v>418</v>
      </c>
      <c r="E84" t="str">
        <f>HYPERLINK("/pdf/2025_10.1007_s10586-025-05591-8_RF-FedAvg__Federated_learning-based_random_forest_model_for_intrusion_detection_in_wireless_sensor_networks.pdf","open")</f>
        <v>open</v>
      </c>
      <c r="F84" t="s">
        <v>1609</v>
      </c>
      <c r="G84" t="s">
        <v>1609</v>
      </c>
      <c r="H84" t="s">
        <v>1609</v>
      </c>
      <c r="I84" t="s">
        <v>1604</v>
      </c>
      <c r="J84" t="s">
        <v>1604</v>
      </c>
      <c r="K84" t="s">
        <v>15</v>
      </c>
      <c r="L84" t="s">
        <v>3715</v>
      </c>
    </row>
    <row r="85" spans="1:12" x14ac:dyDescent="0.2">
      <c r="A85" t="s">
        <v>420</v>
      </c>
      <c r="B85" t="s">
        <v>421</v>
      </c>
      <c r="C85" t="s">
        <v>19</v>
      </c>
      <c r="D85" t="s">
        <v>423</v>
      </c>
      <c r="E85" t="str">
        <f>HYPERLINK("/pdf/2025_10.1109_tifs.2025.3607271_The_Gradient_Puppeteer__Adversarial_Domination_in_Gradient_Leakage_Attacks_Through_Model_Poisoning.pdf","open")</f>
        <v>open</v>
      </c>
      <c r="F85" t="s">
        <v>1604</v>
      </c>
      <c r="G85" t="s">
        <v>1609</v>
      </c>
      <c r="H85" t="s">
        <v>1054</v>
      </c>
      <c r="I85" t="s">
        <v>1604</v>
      </c>
      <c r="J85" t="s">
        <v>1604</v>
      </c>
      <c r="K85" t="s">
        <v>44</v>
      </c>
      <c r="L85" t="s">
        <v>3716</v>
      </c>
    </row>
    <row r="86" spans="1:12" x14ac:dyDescent="0.2">
      <c r="A86" t="s">
        <v>425</v>
      </c>
      <c r="B86" t="s">
        <v>426</v>
      </c>
      <c r="C86" t="s">
        <v>210</v>
      </c>
      <c r="D86" t="s">
        <v>428</v>
      </c>
      <c r="E86" t="str">
        <f>HYPERLINK("/pdf/2015_10.1109_ictc.2015.7354766_Mobile_security_technology_for_smart_devices.pdf","open")</f>
        <v>open</v>
      </c>
      <c r="F86" t="s">
        <v>1609</v>
      </c>
      <c r="G86" t="s">
        <v>1609</v>
      </c>
      <c r="H86" t="s">
        <v>1609</v>
      </c>
      <c r="I86" t="s">
        <v>1609</v>
      </c>
      <c r="J86" t="s">
        <v>1609</v>
      </c>
      <c r="K86" t="s">
        <v>15</v>
      </c>
      <c r="L86" t="s">
        <v>3717</v>
      </c>
    </row>
    <row r="87" spans="1:12" x14ac:dyDescent="0.2">
      <c r="A87" t="s">
        <v>430</v>
      </c>
      <c r="B87" t="s">
        <v>431</v>
      </c>
      <c r="C87" t="s">
        <v>60</v>
      </c>
      <c r="D87" t="s">
        <v>433</v>
      </c>
      <c r="E87" t="str">
        <f>HYPERLINK("/pdf/2024_10.1109_icees61253.2024.10776873_A_Comparative_Study_on_the_Impacts_of_Data_Leakage_During_Feature_Selection_using_the_CIC-IoT_2023_Intrusion_D.pdf","open")</f>
        <v>open</v>
      </c>
      <c r="F87" t="s">
        <v>1604</v>
      </c>
      <c r="G87" t="s">
        <v>1609</v>
      </c>
      <c r="H87" t="s">
        <v>1609</v>
      </c>
      <c r="I87" t="s">
        <v>1604</v>
      </c>
      <c r="J87" t="s">
        <v>1609</v>
      </c>
      <c r="K87" t="s">
        <v>15</v>
      </c>
      <c r="L87" t="s">
        <v>3718</v>
      </c>
    </row>
    <row r="88" spans="1:12" x14ac:dyDescent="0.2">
      <c r="A88" t="s">
        <v>435</v>
      </c>
      <c r="B88" t="s">
        <v>436</v>
      </c>
      <c r="C88" t="s">
        <v>25</v>
      </c>
      <c r="D88" t="s">
        <v>438</v>
      </c>
      <c r="E88" t="str">
        <f>HYPERLINK("/pdf/2023_10.1109_tnet.2022.3215549_Packet_Chunking_for_File_Detection.pdf","open")</f>
        <v>open</v>
      </c>
      <c r="F88" t="s">
        <v>1609</v>
      </c>
      <c r="G88" t="s">
        <v>2816</v>
      </c>
      <c r="H88" t="s">
        <v>1604</v>
      </c>
      <c r="I88" t="s">
        <v>1604</v>
      </c>
      <c r="J88" t="s">
        <v>1604</v>
      </c>
      <c r="K88" t="s">
        <v>44</v>
      </c>
      <c r="L88" t="s">
        <v>3719</v>
      </c>
    </row>
    <row r="89" spans="1:12" x14ac:dyDescent="0.2">
      <c r="A89" t="s">
        <v>440</v>
      </c>
      <c r="B89" t="s">
        <v>441</v>
      </c>
      <c r="C89" t="s">
        <v>54</v>
      </c>
      <c r="D89" t="s">
        <v>443</v>
      </c>
      <c r="E89" t="str">
        <f>HYPERLINK("/pdf/2020_10.1109_tvlsi.2019.2961358_HarTBleed__Using_Hardware_Trojans_for_Data_Leakage_Exploits.pdf","open")</f>
        <v>open</v>
      </c>
      <c r="F89" t="s">
        <v>1054</v>
      </c>
      <c r="G89" t="s">
        <v>1054</v>
      </c>
      <c r="H89" t="s">
        <v>1054</v>
      </c>
      <c r="I89" t="s">
        <v>1054</v>
      </c>
      <c r="J89" t="s">
        <v>1054</v>
      </c>
      <c r="K89" t="s">
        <v>1054</v>
      </c>
      <c r="L89" t="s">
        <v>3720</v>
      </c>
    </row>
    <row r="90" spans="1:12" x14ac:dyDescent="0.2">
      <c r="A90" t="s">
        <v>445</v>
      </c>
      <c r="B90" t="s">
        <v>446</v>
      </c>
      <c r="C90" t="s">
        <v>19</v>
      </c>
      <c r="D90" t="s">
        <v>448</v>
      </c>
      <c r="E90" t="str">
        <f>HYPERLINK("/pdf/2025_10_3991_ijep_v15i4_53127_integration_of_cybersecurity_into_computer_science_teachers_training_a_systematic_review.pdf","open")</f>
        <v>open</v>
      </c>
      <c r="F90" t="s">
        <v>1054</v>
      </c>
      <c r="G90" t="s">
        <v>1054</v>
      </c>
      <c r="H90" t="s">
        <v>1054</v>
      </c>
      <c r="I90" t="s">
        <v>1054</v>
      </c>
      <c r="J90" t="s">
        <v>1054</v>
      </c>
      <c r="K90" t="s">
        <v>1054</v>
      </c>
      <c r="L90" t="s">
        <v>3721</v>
      </c>
    </row>
    <row r="91" spans="1:12" x14ac:dyDescent="0.2">
      <c r="A91" t="s">
        <v>450</v>
      </c>
      <c r="B91" t="s">
        <v>451</v>
      </c>
      <c r="C91" t="s">
        <v>19</v>
      </c>
      <c r="D91" t="s">
        <v>453</v>
      </c>
      <c r="E91" t="str">
        <f>HYPERLINK("/pdf/2025_10.1109_iccad66269.2025.11240658_Invited_Paper__2025_ICCAD_CAD_Contest_Problem_A__Hardware_Trojan_Detection_on_Gate-Level_Netlist.pdf","open")</f>
        <v>open</v>
      </c>
      <c r="F91" t="s">
        <v>1609</v>
      </c>
      <c r="G91" t="s">
        <v>1609</v>
      </c>
      <c r="H91" t="s">
        <v>1054</v>
      </c>
      <c r="I91" t="s">
        <v>1604</v>
      </c>
      <c r="J91" t="s">
        <v>1604</v>
      </c>
      <c r="K91" t="s">
        <v>44</v>
      </c>
      <c r="L91" t="s">
        <v>3722</v>
      </c>
    </row>
    <row r="92" spans="1:12" x14ac:dyDescent="0.2">
      <c r="A92" t="s">
        <v>455</v>
      </c>
      <c r="B92" t="s">
        <v>456</v>
      </c>
      <c r="C92" t="s">
        <v>136</v>
      </c>
      <c r="D92" t="s">
        <v>148</v>
      </c>
      <c r="E92" t="str">
        <f>HYPERLINK("/pdf/2019_Testing_the_human_backdoor__organizational_response_to_a_phishing_campaign.pdf","open")</f>
        <v>open</v>
      </c>
      <c r="F92" t="s">
        <v>1609</v>
      </c>
      <c r="G92" t="s">
        <v>1609</v>
      </c>
      <c r="H92" t="s">
        <v>1609</v>
      </c>
      <c r="I92" t="s">
        <v>1609</v>
      </c>
      <c r="J92" t="s">
        <v>1609</v>
      </c>
      <c r="K92" t="s">
        <v>1054</v>
      </c>
      <c r="L92" t="s">
        <v>3723</v>
      </c>
    </row>
    <row r="93" spans="1:12" x14ac:dyDescent="0.2">
      <c r="A93" t="s">
        <v>459</v>
      </c>
      <c r="B93" t="s">
        <v>460</v>
      </c>
      <c r="C93" t="s">
        <v>156</v>
      </c>
      <c r="D93" t="s">
        <v>148</v>
      </c>
      <c r="E93" t="str">
        <f>HYPERLINK("/pdf/2013_10_15837_ijccc_2013_1_173_managing_information_technology_security_in_the_context_of_cyber_crime_trends.pdf","open")</f>
        <v>open</v>
      </c>
      <c r="F93" t="s">
        <v>1054</v>
      </c>
      <c r="G93" t="s">
        <v>1054</v>
      </c>
      <c r="H93" t="s">
        <v>1054</v>
      </c>
      <c r="I93" t="s">
        <v>1054</v>
      </c>
      <c r="J93" t="s">
        <v>1054</v>
      </c>
      <c r="K93" t="s">
        <v>1054</v>
      </c>
      <c r="L93" t="s">
        <v>3724</v>
      </c>
    </row>
    <row r="94" spans="1:12" x14ac:dyDescent="0.2">
      <c r="A94" t="s">
        <v>463</v>
      </c>
      <c r="B94" t="s">
        <v>464</v>
      </c>
      <c r="C94" t="s">
        <v>25</v>
      </c>
      <c r="D94" t="s">
        <v>466</v>
      </c>
      <c r="E94" t="str">
        <f>HYPERLINK("/pdf/2023_10.1109_cymaen57228.2023.10050996_Robotic_Process_Automation_and_Intelligent_Automation_Security_Challenges__A_Review.pdf","open")</f>
        <v>open</v>
      </c>
      <c r="F94" t="s">
        <v>1054</v>
      </c>
      <c r="G94" t="s">
        <v>1054</v>
      </c>
      <c r="H94" t="s">
        <v>1054</v>
      </c>
      <c r="I94" t="s">
        <v>1054</v>
      </c>
      <c r="J94" t="s">
        <v>1054</v>
      </c>
      <c r="K94" t="s">
        <v>1054</v>
      </c>
      <c r="L94" t="s">
        <v>3725</v>
      </c>
    </row>
    <row r="95" spans="1:12" x14ac:dyDescent="0.2">
      <c r="A95" t="s">
        <v>468</v>
      </c>
      <c r="B95" t="s">
        <v>469</v>
      </c>
      <c r="C95" t="s">
        <v>100</v>
      </c>
      <c r="D95" t="s">
        <v>471</v>
      </c>
      <c r="E95" t="str">
        <f>HYPERLINK("/pdf/2022_10.1109_globecom48099.2022.10001017_Intelligent_Ensemble_based_System_for_Rare_Attacks_Dectection_in_IoT_Networks.pdf","open")</f>
        <v>open</v>
      </c>
      <c r="F95" t="s">
        <v>1609</v>
      </c>
      <c r="G95" t="s">
        <v>1609</v>
      </c>
      <c r="H95" t="s">
        <v>1609</v>
      </c>
      <c r="I95" t="s">
        <v>1604</v>
      </c>
      <c r="J95" t="s">
        <v>1604</v>
      </c>
      <c r="K95" t="s">
        <v>15</v>
      </c>
      <c r="L95" t="s">
        <v>3726</v>
      </c>
    </row>
    <row r="96" spans="1:12" x14ac:dyDescent="0.2">
      <c r="A96" t="s">
        <v>473</v>
      </c>
      <c r="B96" t="s">
        <v>474</v>
      </c>
      <c r="C96" t="s">
        <v>36</v>
      </c>
      <c r="D96" t="s">
        <v>476</v>
      </c>
      <c r="E96" t="str">
        <f>HYPERLINK("/pdf/2022_10.1109_hpcc-dss-smartcity-dependsys53884.2021.00090_Detecting_Data_Leakage_in_DNS_Traffic_based_on_Time_Series_Anomaly_Detection.pdf","open")</f>
        <v>open</v>
      </c>
      <c r="F96" t="s">
        <v>1609</v>
      </c>
      <c r="G96" t="s">
        <v>1609</v>
      </c>
      <c r="H96" t="s">
        <v>1054</v>
      </c>
      <c r="I96" t="s">
        <v>1609</v>
      </c>
      <c r="J96" t="s">
        <v>1604</v>
      </c>
      <c r="K96" t="s">
        <v>15</v>
      </c>
      <c r="L96" t="s">
        <v>3727</v>
      </c>
    </row>
    <row r="97" spans="1:12" x14ac:dyDescent="0.2">
      <c r="A97" t="s">
        <v>478</v>
      </c>
      <c r="B97" t="s">
        <v>479</v>
      </c>
      <c r="C97" t="s">
        <v>136</v>
      </c>
      <c r="D97" t="s">
        <v>480</v>
      </c>
      <c r="E97" t="str">
        <f>HYPERLINK("/pdf/2019_10.1016_j.jnca.2019.07.006_Using_malware_for_the_greater_good__Mitigating_data_leakage.pdf","open")</f>
        <v>open</v>
      </c>
      <c r="F97" t="s">
        <v>1054</v>
      </c>
      <c r="G97" t="s">
        <v>1054</v>
      </c>
      <c r="H97" t="s">
        <v>1054</v>
      </c>
      <c r="I97" t="s">
        <v>1054</v>
      </c>
      <c r="J97" t="s">
        <v>1054</v>
      </c>
      <c r="K97" t="s">
        <v>1054</v>
      </c>
      <c r="L97" t="s">
        <v>3728</v>
      </c>
    </row>
    <row r="98" spans="1:12" x14ac:dyDescent="0.2">
      <c r="A98" t="s">
        <v>482</v>
      </c>
      <c r="B98" t="s">
        <v>483</v>
      </c>
      <c r="C98" t="s">
        <v>363</v>
      </c>
      <c r="D98" t="s">
        <v>482</v>
      </c>
      <c r="E98" t="str">
        <f>HYPERLINK("/pdf/2016_10.1002_sec.1531_DAT_detectors__uncovering_TCP_IP_covert_channels_by_descriptive_analytics.pdf","open")</f>
        <v>open</v>
      </c>
      <c r="F98" t="s">
        <v>1609</v>
      </c>
      <c r="G98" t="s">
        <v>1609</v>
      </c>
      <c r="H98" t="s">
        <v>1609</v>
      </c>
      <c r="I98" t="s">
        <v>1609</v>
      </c>
      <c r="J98" t="s">
        <v>1604</v>
      </c>
      <c r="K98" t="s">
        <v>15</v>
      </c>
      <c r="L98" t="s">
        <v>3729</v>
      </c>
    </row>
    <row r="99" spans="1:12" x14ac:dyDescent="0.2">
      <c r="A99" t="s">
        <v>486</v>
      </c>
      <c r="B99" t="s">
        <v>487</v>
      </c>
      <c r="C99" t="s">
        <v>25</v>
      </c>
      <c r="D99" t="s">
        <v>489</v>
      </c>
      <c r="E99" t="str">
        <f>HYPERLINK("/pdf/2023_10.1007_s10207-022-00651-1_Random_resampling_algorithms_for_addressing_the_imbalanced_dataset_classes_in_insider_threat_detection.pdf","open")</f>
        <v>open</v>
      </c>
      <c r="F99" t="s">
        <v>1609</v>
      </c>
      <c r="G99" t="s">
        <v>1609</v>
      </c>
      <c r="H99" t="s">
        <v>1609</v>
      </c>
      <c r="I99" t="s">
        <v>1604</v>
      </c>
      <c r="J99" t="s">
        <v>1604</v>
      </c>
      <c r="K99" t="s">
        <v>15</v>
      </c>
      <c r="L99" t="s">
        <v>3730</v>
      </c>
    </row>
    <row r="100" spans="1:12" x14ac:dyDescent="0.2">
      <c r="A100" t="s">
        <v>491</v>
      </c>
      <c r="B100" t="s">
        <v>492</v>
      </c>
      <c r="C100" t="s">
        <v>19</v>
      </c>
      <c r="D100" t="s">
        <v>494</v>
      </c>
      <c r="E100" t="str">
        <f>HYPERLINK("/pdf/2025_10_1038_s41598_025_88856_x_security_verification_framework_for_ndn_access_control.pdf","open")</f>
        <v>open</v>
      </c>
      <c r="F100" t="s">
        <v>1054</v>
      </c>
      <c r="G100" t="s">
        <v>1054</v>
      </c>
      <c r="H100" t="s">
        <v>1054</v>
      </c>
      <c r="I100" t="s">
        <v>1054</v>
      </c>
      <c r="J100" t="s">
        <v>1054</v>
      </c>
      <c r="K100" t="s">
        <v>1054</v>
      </c>
      <c r="L100" t="s">
        <v>3731</v>
      </c>
    </row>
    <row r="101" spans="1:12" x14ac:dyDescent="0.2">
      <c r="A101" t="s">
        <v>496</v>
      </c>
      <c r="B101" t="s">
        <v>497</v>
      </c>
      <c r="C101" t="s">
        <v>12</v>
      </c>
      <c r="D101" t="s">
        <v>148</v>
      </c>
      <c r="E101" t="str">
        <f>HYPERLINK("/pdf/2018_10.1109_ntms.2018.8328709_On_the_detection_and_handling_of_security_incidents_and_perimeter_breaches_-_A_modular_and_flexible_honeytoken.pdf","open")</f>
        <v>open</v>
      </c>
      <c r="F101" t="s">
        <v>1609</v>
      </c>
      <c r="G101" t="s">
        <v>1609</v>
      </c>
      <c r="H101" t="s">
        <v>1609</v>
      </c>
      <c r="I101" t="s">
        <v>1609</v>
      </c>
      <c r="J101" t="s">
        <v>1609</v>
      </c>
      <c r="K101" t="s">
        <v>15</v>
      </c>
      <c r="L101" t="s">
        <v>3732</v>
      </c>
    </row>
    <row r="102" spans="1:12" x14ac:dyDescent="0.2">
      <c r="A102" t="s">
        <v>500</v>
      </c>
      <c r="B102" t="s">
        <v>501</v>
      </c>
      <c r="C102" t="s">
        <v>48</v>
      </c>
      <c r="D102" t="s">
        <v>503</v>
      </c>
      <c r="E102" t="str">
        <f>HYPERLINK("/pdf/2026_10.1007_s10922-026-10034-9_Robust_CNN-Based_Threat_Detection_in_SDN-Enabled_IoT_Networks.pdf","open")</f>
        <v>open</v>
      </c>
      <c r="F102" t="s">
        <v>1609</v>
      </c>
      <c r="G102" t="s">
        <v>1609</v>
      </c>
      <c r="H102" t="s">
        <v>1609</v>
      </c>
      <c r="I102" t="s">
        <v>1604</v>
      </c>
      <c r="J102" t="s">
        <v>1604</v>
      </c>
      <c r="K102" t="s">
        <v>15</v>
      </c>
      <c r="L102" t="s">
        <v>3733</v>
      </c>
    </row>
    <row r="103" spans="1:12" x14ac:dyDescent="0.2">
      <c r="A103" t="s">
        <v>505</v>
      </c>
      <c r="B103" t="s">
        <v>506</v>
      </c>
      <c r="C103" t="s">
        <v>100</v>
      </c>
      <c r="D103" t="s">
        <v>508</v>
      </c>
      <c r="E103" t="str">
        <f>HYPERLINK("/pdf/2022_10.1109_aie57029.2022.00096_AI_in_Blockchain_Towards_Realizing_Cyber_Security.pdf","open")</f>
        <v>open</v>
      </c>
      <c r="F103" t="s">
        <v>1054</v>
      </c>
      <c r="G103" t="s">
        <v>1054</v>
      </c>
      <c r="H103" t="s">
        <v>1054</v>
      </c>
      <c r="I103" t="s">
        <v>1054</v>
      </c>
      <c r="J103" t="s">
        <v>1054</v>
      </c>
      <c r="K103" t="s">
        <v>1054</v>
      </c>
      <c r="L103" t="s">
        <v>3734</v>
      </c>
    </row>
    <row r="104" spans="1:12" x14ac:dyDescent="0.2">
      <c r="A104" t="s">
        <v>510</v>
      </c>
      <c r="B104" t="s">
        <v>511</v>
      </c>
      <c r="C104" t="s">
        <v>210</v>
      </c>
      <c r="D104" t="s">
        <v>513</v>
      </c>
      <c r="E104" t="str">
        <f>HYPERLINK("/pdf/2015_10.1109_trustcom.2015.464_Detecting_data_semantic__A_data_leakage_prevention_approach.pdf","open")</f>
        <v>open</v>
      </c>
      <c r="F104" t="s">
        <v>1609</v>
      </c>
      <c r="G104" t="s">
        <v>1609</v>
      </c>
      <c r="H104" t="s">
        <v>1609</v>
      </c>
      <c r="I104" t="s">
        <v>1604</v>
      </c>
      <c r="J104" t="s">
        <v>1609</v>
      </c>
      <c r="K104" t="s">
        <v>15</v>
      </c>
      <c r="L104" t="s">
        <v>3735</v>
      </c>
    </row>
    <row r="105" spans="1:12" x14ac:dyDescent="0.2">
      <c r="A105" t="s">
        <v>271</v>
      </c>
      <c r="B105" t="s">
        <v>272</v>
      </c>
      <c r="C105" t="s">
        <v>60</v>
      </c>
      <c r="D105" t="s">
        <v>274</v>
      </c>
      <c r="E105" t="str">
        <f>HYPERLINK("/pdf/2024_10_4108_eetsis_5028_determining_intrusion_attacks_against_online_applications_using_cloud_based_data.pdf","open")</f>
        <v>open</v>
      </c>
      <c r="F105" t="s">
        <v>1054</v>
      </c>
      <c r="G105" t="s">
        <v>1054</v>
      </c>
      <c r="H105" t="s">
        <v>1054</v>
      </c>
      <c r="I105" t="s">
        <v>1054</v>
      </c>
      <c r="J105" t="s">
        <v>1054</v>
      </c>
      <c r="K105" t="s">
        <v>15</v>
      </c>
      <c r="L105" t="s">
        <v>3736</v>
      </c>
    </row>
    <row r="106" spans="1:12" x14ac:dyDescent="0.2">
      <c r="A106" t="s">
        <v>516</v>
      </c>
      <c r="B106" t="s">
        <v>517</v>
      </c>
      <c r="C106" t="s">
        <v>518</v>
      </c>
      <c r="D106" t="s">
        <v>148</v>
      </c>
      <c r="E106" t="str">
        <f>HYPERLINK("/pdf/2021_Exploring_the_information_security_practices_on_the_smartphone_by_the_postgraduate_students_of_University_of_C.pdf","open")</f>
        <v>open</v>
      </c>
      <c r="F106" t="s">
        <v>1609</v>
      </c>
      <c r="G106" t="s">
        <v>1609</v>
      </c>
      <c r="H106" t="s">
        <v>1609</v>
      </c>
      <c r="I106" t="s">
        <v>1609</v>
      </c>
      <c r="J106" t="s">
        <v>1609</v>
      </c>
      <c r="K106" t="s">
        <v>1054</v>
      </c>
      <c r="L106" t="s">
        <v>3737</v>
      </c>
    </row>
    <row r="107" spans="1:12" x14ac:dyDescent="0.2">
      <c r="A107" t="s">
        <v>521</v>
      </c>
      <c r="B107" t="s">
        <v>522</v>
      </c>
      <c r="C107" t="s">
        <v>25</v>
      </c>
      <c r="D107" t="s">
        <v>524</v>
      </c>
      <c r="E107" t="str">
        <f>HYPERLINK("/pdf/2023_10.1109_pcems58491.2023.10136083_Automated_Detection_of_Hardware_Trojans_using_Power_Side-Channel_Analysis_and_VGG-Net.pdf","open")</f>
        <v>open</v>
      </c>
      <c r="F107" t="s">
        <v>1609</v>
      </c>
      <c r="G107" t="s">
        <v>1609</v>
      </c>
      <c r="H107" t="s">
        <v>1609</v>
      </c>
      <c r="I107" t="s">
        <v>1604</v>
      </c>
      <c r="J107" t="s">
        <v>1609</v>
      </c>
      <c r="K107" t="s">
        <v>15</v>
      </c>
      <c r="L107" t="s">
        <v>3738</v>
      </c>
    </row>
    <row r="108" spans="1:12" x14ac:dyDescent="0.2">
      <c r="A108" t="s">
        <v>526</v>
      </c>
      <c r="B108" t="s">
        <v>527</v>
      </c>
      <c r="C108" t="s">
        <v>25</v>
      </c>
      <c r="D108" t="s">
        <v>529</v>
      </c>
      <c r="E108" t="str">
        <f>HYPERLINK("/pdf/2023_10.1109_sin60469.2023.10474998_Exploring_the_Evolving_Landscape_of_API_Security_Challenges_in_the_Healthcare_Industry__A_Comprehensive_Review.pdf","open")</f>
        <v>open</v>
      </c>
      <c r="F108" t="s">
        <v>1054</v>
      </c>
      <c r="G108" t="s">
        <v>1054</v>
      </c>
      <c r="H108" t="s">
        <v>1054</v>
      </c>
      <c r="I108" t="s">
        <v>1054</v>
      </c>
      <c r="J108" t="s">
        <v>1054</v>
      </c>
      <c r="K108" t="s">
        <v>1054</v>
      </c>
      <c r="L108" t="s">
        <v>3739</v>
      </c>
    </row>
    <row r="109" spans="1:12" x14ac:dyDescent="0.2">
      <c r="A109" t="s">
        <v>531</v>
      </c>
      <c r="B109" t="s">
        <v>532</v>
      </c>
      <c r="C109" t="s">
        <v>156</v>
      </c>
      <c r="D109" t="s">
        <v>148</v>
      </c>
      <c r="E109" t="str">
        <f>HYPERLINK("/pdf/2013_10_1109_icmla_2013_104_streaming_malware_classification_in_the_presence_of_concept_drift_and_class_imbalance.pdf","open")</f>
        <v>open</v>
      </c>
      <c r="F109" t="s">
        <v>1604</v>
      </c>
      <c r="G109" t="s">
        <v>1604</v>
      </c>
      <c r="H109" t="s">
        <v>1054</v>
      </c>
      <c r="I109" t="s">
        <v>1604</v>
      </c>
      <c r="J109" t="s">
        <v>1604</v>
      </c>
      <c r="K109" t="s">
        <v>44</v>
      </c>
      <c r="L109" t="s">
        <v>3740</v>
      </c>
    </row>
    <row r="110" spans="1:12" x14ac:dyDescent="0.2">
      <c r="A110" t="s">
        <v>535</v>
      </c>
      <c r="B110" t="s">
        <v>536</v>
      </c>
      <c r="C110" t="s">
        <v>60</v>
      </c>
      <c r="D110" t="s">
        <v>538</v>
      </c>
      <c r="E110" t="str">
        <f>HYPERLINK("/pdf/2023_10_32604_cmes_2023_044169_enhancing_healthcare_data_security_and_disease_detection_using_crossover_based_m.pdf","open")</f>
        <v>open</v>
      </c>
      <c r="F110" t="s">
        <v>1609</v>
      </c>
      <c r="G110" t="s">
        <v>1609</v>
      </c>
      <c r="H110" t="s">
        <v>1054</v>
      </c>
      <c r="I110" t="s">
        <v>1604</v>
      </c>
      <c r="J110" t="s">
        <v>1609</v>
      </c>
      <c r="K110" t="s">
        <v>15</v>
      </c>
      <c r="L110" t="s">
        <v>3741</v>
      </c>
    </row>
    <row r="111" spans="1:12" x14ac:dyDescent="0.2">
      <c r="A111" t="s">
        <v>540</v>
      </c>
      <c r="B111" t="s">
        <v>541</v>
      </c>
      <c r="C111" t="s">
        <v>25</v>
      </c>
      <c r="D111" t="s">
        <v>540</v>
      </c>
      <c r="E111" t="str">
        <f>HYPERLINK("/pdf/2024_10_1109_tdsc_2023_3323713_leakage_of_authorization_data_in_iot_device_sharing_new_attacks_and_countermeas.pdf","open")</f>
        <v>open</v>
      </c>
      <c r="F111" t="s">
        <v>1054</v>
      </c>
      <c r="G111" t="s">
        <v>1054</v>
      </c>
      <c r="H111" t="s">
        <v>1054</v>
      </c>
      <c r="I111" t="s">
        <v>1054</v>
      </c>
      <c r="J111" t="s">
        <v>1054</v>
      </c>
      <c r="K111" t="s">
        <v>1054</v>
      </c>
      <c r="L111" t="s">
        <v>3742</v>
      </c>
    </row>
    <row r="112" spans="1:12" x14ac:dyDescent="0.2">
      <c r="A112" t="s">
        <v>544</v>
      </c>
      <c r="B112" t="s">
        <v>545</v>
      </c>
      <c r="C112" t="s">
        <v>156</v>
      </c>
      <c r="D112" t="s">
        <v>547</v>
      </c>
      <c r="E112" t="str">
        <f>HYPERLINK("/pdf/2013_10.1109_icspcs.2013.6723919_Adaptable_N-gram_classification_model_for_data_leakage_prevention.pdf","open")</f>
        <v>open</v>
      </c>
      <c r="F112" t="s">
        <v>1609</v>
      </c>
      <c r="G112" t="s">
        <v>1609</v>
      </c>
      <c r="H112" t="s">
        <v>1609</v>
      </c>
      <c r="I112" t="s">
        <v>1609</v>
      </c>
      <c r="J112" t="s">
        <v>1604</v>
      </c>
      <c r="K112" t="s">
        <v>15</v>
      </c>
      <c r="L112" t="s">
        <v>3743</v>
      </c>
    </row>
    <row r="113" spans="1:12" x14ac:dyDescent="0.2">
      <c r="A113" t="s">
        <v>549</v>
      </c>
      <c r="B113" t="s">
        <v>550</v>
      </c>
      <c r="C113" t="s">
        <v>25</v>
      </c>
      <c r="D113" t="s">
        <v>552</v>
      </c>
      <c r="E113" t="str">
        <f>HYPERLINK("/pdf/2023_10.58496_mjcs_2023_016_A_Comprehensive_Review_of_Security_Measures_in_Database_Systems__Assessing_Authentication,_Access_Control,_and.pdf","open")</f>
        <v>open</v>
      </c>
      <c r="F113" t="s">
        <v>1609</v>
      </c>
      <c r="G113" t="s">
        <v>1609</v>
      </c>
      <c r="H113" t="s">
        <v>1609</v>
      </c>
      <c r="I113" t="s">
        <v>1609</v>
      </c>
      <c r="J113" t="s">
        <v>1609</v>
      </c>
      <c r="K113" t="s">
        <v>1054</v>
      </c>
      <c r="L113" t="s">
        <v>3744</v>
      </c>
    </row>
    <row r="114" spans="1:12" x14ac:dyDescent="0.2">
      <c r="A114" t="s">
        <v>554</v>
      </c>
      <c r="B114" t="s">
        <v>555</v>
      </c>
      <c r="C114" t="s">
        <v>19</v>
      </c>
      <c r="D114" t="s">
        <v>557</v>
      </c>
      <c r="E114" t="str">
        <f>HYPERLINK("/pdf/2025_10_36128_priw_vi54_1201_artificial_intelligence_in_e_administration.pdf","open")</f>
        <v>open</v>
      </c>
      <c r="F114" t="s">
        <v>1054</v>
      </c>
      <c r="G114" t="s">
        <v>1054</v>
      </c>
      <c r="H114" t="s">
        <v>1054</v>
      </c>
      <c r="I114" t="s">
        <v>1054</v>
      </c>
      <c r="J114" t="s">
        <v>1054</v>
      </c>
      <c r="K114" t="s">
        <v>1054</v>
      </c>
      <c r="L114" t="s">
        <v>3745</v>
      </c>
    </row>
    <row r="115" spans="1:12" x14ac:dyDescent="0.2">
      <c r="A115" t="s">
        <v>559</v>
      </c>
      <c r="B115" t="s">
        <v>560</v>
      </c>
      <c r="C115" t="s">
        <v>19</v>
      </c>
      <c r="D115" t="s">
        <v>562</v>
      </c>
      <c r="E115" t="str">
        <f>HYPERLINK("/pdf/2025_10.1109_eurospw67616.2025.00026_PPT-GNN__A_Practical_Pretrained_Spatio-Temporal_Graph_Neural_Network_for_Network_Security.pdf","open")</f>
        <v>open</v>
      </c>
      <c r="F115" t="s">
        <v>1604</v>
      </c>
      <c r="G115" t="s">
        <v>1604</v>
      </c>
      <c r="H115" t="s">
        <v>1604</v>
      </c>
      <c r="I115" t="s">
        <v>1604</v>
      </c>
      <c r="J115" t="s">
        <v>1604</v>
      </c>
      <c r="K115" t="s">
        <v>44</v>
      </c>
      <c r="L115" t="s">
        <v>3746</v>
      </c>
    </row>
    <row r="116" spans="1:12" x14ac:dyDescent="0.2">
      <c r="A116" t="s">
        <v>564</v>
      </c>
      <c r="B116" t="s">
        <v>565</v>
      </c>
      <c r="C116" t="s">
        <v>19</v>
      </c>
      <c r="D116" t="s">
        <v>567</v>
      </c>
      <c r="E116" t="str">
        <f>HYPERLINK("/pdf/2025_10.1109_discover66922.2025.11259004_Adaptive_Graph_Attention_Network-Approach_for_Detecting_Hardware_Trojans.pdf","open")</f>
        <v>open</v>
      </c>
      <c r="F116" t="s">
        <v>1604</v>
      </c>
      <c r="G116" t="s">
        <v>1609</v>
      </c>
      <c r="H116" t="s">
        <v>1604</v>
      </c>
      <c r="I116" t="s">
        <v>1604</v>
      </c>
      <c r="J116" t="s">
        <v>1609</v>
      </c>
      <c r="K116" t="s">
        <v>44</v>
      </c>
      <c r="L116" t="s">
        <v>3747</v>
      </c>
    </row>
    <row r="117" spans="1:12" x14ac:dyDescent="0.2">
      <c r="A117" t="s">
        <v>569</v>
      </c>
      <c r="B117" t="s">
        <v>570</v>
      </c>
      <c r="C117" t="s">
        <v>60</v>
      </c>
      <c r="D117" t="s">
        <v>572</v>
      </c>
      <c r="E117" t="str">
        <f>HYPERLINK("/pdf/2024_10.1109_sces61914.2024.10652305_IoT_Network_Anomaly_Detection_Using_Machine_Learning_and_Deep_Learning_Techniques_-_Research_Study.pdf","open")</f>
        <v>open</v>
      </c>
      <c r="F117" t="s">
        <v>1609</v>
      </c>
      <c r="G117" t="s">
        <v>1609</v>
      </c>
      <c r="H117" t="s">
        <v>1609</v>
      </c>
      <c r="I117" t="s">
        <v>1604</v>
      </c>
      <c r="J117" t="s">
        <v>1609</v>
      </c>
      <c r="K117" t="s">
        <v>15</v>
      </c>
      <c r="L117" t="s">
        <v>3748</v>
      </c>
    </row>
    <row r="118" spans="1:12" x14ac:dyDescent="0.2">
      <c r="A118" t="s">
        <v>574</v>
      </c>
      <c r="B118" t="s">
        <v>575</v>
      </c>
      <c r="C118" t="s">
        <v>60</v>
      </c>
      <c r="D118" t="s">
        <v>577</v>
      </c>
      <c r="E118" t="str">
        <f>HYPERLINK("/pdf/2024_10.12263_dzxb.20220611_A_Whitelist_Network_Control_Based_on_Android_Kernel_Driver;_基于_Android_内核驱动的白名单网络控制.pdf","open")</f>
        <v>open</v>
      </c>
      <c r="F118" t="s">
        <v>1054</v>
      </c>
      <c r="G118" t="s">
        <v>1054</v>
      </c>
      <c r="H118" t="s">
        <v>1054</v>
      </c>
      <c r="I118" t="s">
        <v>1054</v>
      </c>
      <c r="J118" t="s">
        <v>1054</v>
      </c>
      <c r="K118" t="s">
        <v>15</v>
      </c>
      <c r="L118" t="s">
        <v>3749</v>
      </c>
    </row>
    <row r="119" spans="1:12" x14ac:dyDescent="0.2">
      <c r="A119" t="s">
        <v>579</v>
      </c>
      <c r="B119" t="s">
        <v>580</v>
      </c>
      <c r="C119" t="s">
        <v>100</v>
      </c>
      <c r="D119" t="s">
        <v>582</v>
      </c>
      <c r="E119" t="str">
        <f>HYPERLINK("/pdf/2022_10.1109_icc45855.2022.9839001_Intelligent_Fingerprinting_to_Detect_Data_Leakage_Attacks_on_Spectrum_Sensors.pdf","open")</f>
        <v>open</v>
      </c>
      <c r="F119" t="s">
        <v>1609</v>
      </c>
      <c r="G119" t="s">
        <v>1054</v>
      </c>
      <c r="H119" t="s">
        <v>1657</v>
      </c>
      <c r="I119" t="s">
        <v>1604</v>
      </c>
      <c r="J119" t="s">
        <v>1609</v>
      </c>
      <c r="K119" t="s">
        <v>15</v>
      </c>
      <c r="L119" t="s">
        <v>3750</v>
      </c>
    </row>
    <row r="120" spans="1:12" x14ac:dyDescent="0.2">
      <c r="A120" t="s">
        <v>584</v>
      </c>
      <c r="B120" t="s">
        <v>585</v>
      </c>
      <c r="C120" t="s">
        <v>60</v>
      </c>
      <c r="D120" t="s">
        <v>587</v>
      </c>
      <c r="E120" t="str">
        <f>HYPERLINK("/pdf/2024_10.1145_3689236.3689867_Intelligent_Talent_Information_System_Guarantee_Based_on_Cyberspace_Security_Technology.pdf","open")</f>
        <v>open</v>
      </c>
      <c r="F120" t="s">
        <v>1609</v>
      </c>
      <c r="G120" t="s">
        <v>1609</v>
      </c>
      <c r="H120" t="s">
        <v>1609</v>
      </c>
      <c r="I120" t="s">
        <v>1609</v>
      </c>
      <c r="J120" t="s">
        <v>1609</v>
      </c>
      <c r="K120" t="s">
        <v>15</v>
      </c>
      <c r="L120" t="s">
        <v>3751</v>
      </c>
    </row>
    <row r="121" spans="1:12" x14ac:dyDescent="0.2">
      <c r="A121" t="s">
        <v>589</v>
      </c>
      <c r="B121" t="s">
        <v>110</v>
      </c>
      <c r="C121" t="s">
        <v>36</v>
      </c>
      <c r="D121" t="s">
        <v>112</v>
      </c>
      <c r="E121" t="str">
        <f>HYPERLINK("/pdf/2021_10_1109_iccd53106_2021_00097_qflow_quantitative_information_flow_for_security_aware_hardware_design_in_veril.pdf","open")</f>
        <v>open</v>
      </c>
      <c r="F121" t="s">
        <v>1609</v>
      </c>
      <c r="G121" t="s">
        <v>1609</v>
      </c>
      <c r="H121" t="s">
        <v>1609</v>
      </c>
      <c r="I121" t="s">
        <v>1604</v>
      </c>
      <c r="J121" t="s">
        <v>1609</v>
      </c>
      <c r="K121" t="s">
        <v>15</v>
      </c>
      <c r="L121" t="s">
        <v>3752</v>
      </c>
    </row>
    <row r="122" spans="1:12" x14ac:dyDescent="0.2">
      <c r="A122" t="s">
        <v>592</v>
      </c>
      <c r="B122" t="s">
        <v>593</v>
      </c>
      <c r="C122" t="s">
        <v>136</v>
      </c>
      <c r="D122" t="s">
        <v>594</v>
      </c>
      <c r="E122" t="str">
        <f>HYPERLINK("/pdf/2019_10.1109_jiot.2018.2871719_An_ensemble_intrusion_detection_technique_based_on_proposed_statistical_flow_features_for_protecting_network_t.pdf","open")</f>
        <v>open</v>
      </c>
      <c r="F122" t="s">
        <v>1609</v>
      </c>
      <c r="G122" t="s">
        <v>1609</v>
      </c>
      <c r="H122" t="s">
        <v>1609</v>
      </c>
      <c r="I122" t="s">
        <v>1604</v>
      </c>
      <c r="J122" t="s">
        <v>1609</v>
      </c>
      <c r="K122" t="s">
        <v>15</v>
      </c>
      <c r="L122" t="s">
        <v>3753</v>
      </c>
    </row>
    <row r="123" spans="1:12" x14ac:dyDescent="0.2">
      <c r="A123" t="s">
        <v>596</v>
      </c>
      <c r="B123" t="s">
        <v>597</v>
      </c>
      <c r="C123" t="s">
        <v>598</v>
      </c>
      <c r="D123" t="s">
        <v>600</v>
      </c>
      <c r="E123" t="str">
        <f>HYPERLINK("/pdf/2012_10.1109_hicss.2012.491_Pseudonymization_with_metadata_encryption_for_privacy-preserving_searchable_documents.pdf","open")</f>
        <v>open</v>
      </c>
      <c r="F123" t="s">
        <v>1609</v>
      </c>
      <c r="G123" t="s">
        <v>1609</v>
      </c>
      <c r="H123" t="s">
        <v>1609</v>
      </c>
      <c r="I123" t="s">
        <v>1609</v>
      </c>
      <c r="J123" t="s">
        <v>1609</v>
      </c>
      <c r="K123" t="s">
        <v>15</v>
      </c>
      <c r="L123" t="s">
        <v>3754</v>
      </c>
    </row>
    <row r="124" spans="1:12" x14ac:dyDescent="0.2">
      <c r="A124" t="s">
        <v>602</v>
      </c>
      <c r="B124" t="s">
        <v>603</v>
      </c>
      <c r="C124" t="s">
        <v>19</v>
      </c>
      <c r="D124" t="s">
        <v>605</v>
      </c>
      <c r="E124" t="str">
        <f>HYPERLINK("/pdf/2025_10_1007_s43926_025_00185_7_a_feature_level_ensemble_machine_learning_approach_for_attack_detection_in_iot_networks.pdf","open")</f>
        <v>open</v>
      </c>
      <c r="F124" t="s">
        <v>1609</v>
      </c>
      <c r="G124" t="s">
        <v>1609</v>
      </c>
      <c r="H124" t="s">
        <v>1609</v>
      </c>
      <c r="I124" t="s">
        <v>1604</v>
      </c>
      <c r="J124" t="s">
        <v>1604</v>
      </c>
      <c r="K124" t="s">
        <v>15</v>
      </c>
      <c r="L124" t="s">
        <v>3755</v>
      </c>
    </row>
    <row r="125" spans="1:12" x14ac:dyDescent="0.2">
      <c r="A125" t="s">
        <v>607</v>
      </c>
      <c r="B125" t="s">
        <v>608</v>
      </c>
      <c r="C125" t="s">
        <v>60</v>
      </c>
      <c r="D125" t="s">
        <v>610</v>
      </c>
      <c r="E125" t="str">
        <f>HYPERLINK("/pdf/2024_10.1007_s42979-024-03152-1_P3IDF-EC__PCA-Based_Privacy-Preserving_Intrusion_Detection_Framework_for_Edge_Computing.pdf","open")</f>
        <v>open</v>
      </c>
      <c r="F125" t="s">
        <v>1609</v>
      </c>
      <c r="G125" t="s">
        <v>1609</v>
      </c>
      <c r="H125" t="s">
        <v>1609</v>
      </c>
      <c r="I125" t="s">
        <v>1604</v>
      </c>
      <c r="J125" t="s">
        <v>1604</v>
      </c>
      <c r="K125" t="s">
        <v>15</v>
      </c>
      <c r="L125" t="s">
        <v>3756</v>
      </c>
    </row>
    <row r="126" spans="1:12" x14ac:dyDescent="0.2">
      <c r="A126" t="s">
        <v>612</v>
      </c>
      <c r="B126" t="s">
        <v>613</v>
      </c>
      <c r="C126" t="s">
        <v>19</v>
      </c>
      <c r="D126" t="s">
        <v>615</v>
      </c>
      <c r="E126" t="str">
        <f>HYPERLINK("/pdf/2025_10.1109_isdfs65363.2025.11012123_Insider_Threat_Pattern_Detection_Using_Deep_Learning_to_Evaluate_Cyber_Value_at_Risk_(CVaR).pdf","open")</f>
        <v>open</v>
      </c>
      <c r="F126" t="s">
        <v>1609</v>
      </c>
      <c r="G126" t="s">
        <v>1609</v>
      </c>
      <c r="H126" t="s">
        <v>1609</v>
      </c>
      <c r="I126" t="s">
        <v>1604</v>
      </c>
      <c r="J126" t="s">
        <v>1604</v>
      </c>
      <c r="K126" t="s">
        <v>15</v>
      </c>
      <c r="L126" t="s">
        <v>3757</v>
      </c>
    </row>
    <row r="127" spans="1:12" x14ac:dyDescent="0.2">
      <c r="A127" t="s">
        <v>617</v>
      </c>
      <c r="B127" t="s">
        <v>618</v>
      </c>
      <c r="C127" t="s">
        <v>25</v>
      </c>
      <c r="D127" t="s">
        <v>619</v>
      </c>
      <c r="E127" t="str">
        <f>HYPERLINK("/pdf/2023_10_3390_app13095568_security_ontology_ontosecrpa_for_robotic_process_automation_domain.pdf","open")</f>
        <v>open</v>
      </c>
      <c r="F127" t="s">
        <v>1657</v>
      </c>
      <c r="G127" t="s">
        <v>1609</v>
      </c>
      <c r="H127" t="s">
        <v>1657</v>
      </c>
      <c r="I127" t="s">
        <v>1657</v>
      </c>
      <c r="J127" t="s">
        <v>1657</v>
      </c>
      <c r="K127" t="s">
        <v>1054</v>
      </c>
      <c r="L127" t="s">
        <v>3758</v>
      </c>
    </row>
    <row r="128" spans="1:12" x14ac:dyDescent="0.2">
      <c r="A128" t="s">
        <v>621</v>
      </c>
      <c r="B128" t="s">
        <v>622</v>
      </c>
      <c r="C128" t="s">
        <v>60</v>
      </c>
      <c r="D128" t="s">
        <v>624</v>
      </c>
      <c r="E128" t="str">
        <f>HYPERLINK("/pdf/2024_10.1109_icces63552.2024.10860119_Secure_Cloud-WSNs_with_Advanced_Intrusion_Detection_System_using_Kepler_Optimization_and_Bi-ConGRU_Network_App.pdf","open")</f>
        <v>open</v>
      </c>
      <c r="F128" t="s">
        <v>1609</v>
      </c>
      <c r="G128" t="s">
        <v>1609</v>
      </c>
      <c r="H128" t="s">
        <v>1609</v>
      </c>
      <c r="I128" t="s">
        <v>1609</v>
      </c>
      <c r="J128" t="s">
        <v>1609</v>
      </c>
      <c r="K128" t="s">
        <v>15</v>
      </c>
      <c r="L128" t="s">
        <v>3759</v>
      </c>
    </row>
    <row r="129" spans="1:12" x14ac:dyDescent="0.2">
      <c r="A129" t="s">
        <v>626</v>
      </c>
      <c r="B129" t="s">
        <v>627</v>
      </c>
      <c r="C129" t="s">
        <v>19</v>
      </c>
      <c r="D129" t="s">
        <v>628</v>
      </c>
      <c r="E129" t="str">
        <f>HYPERLINK("/pdf/2025_10_3390_app15116258_anomaly_detection_in_network_traffic_via_cross_domain_federated_graph_representation_learn.pdf","open")</f>
        <v>open</v>
      </c>
      <c r="F129" t="s">
        <v>1609</v>
      </c>
      <c r="G129" t="s">
        <v>1609</v>
      </c>
      <c r="H129" t="s">
        <v>1609</v>
      </c>
      <c r="I129" t="s">
        <v>1604</v>
      </c>
      <c r="J129" t="s">
        <v>1609</v>
      </c>
      <c r="K129" t="s">
        <v>15</v>
      </c>
      <c r="L129" t="s">
        <v>3760</v>
      </c>
    </row>
    <row r="130" spans="1:12" x14ac:dyDescent="0.2">
      <c r="A130" t="s">
        <v>630</v>
      </c>
      <c r="B130" t="s">
        <v>631</v>
      </c>
      <c r="C130" t="s">
        <v>19</v>
      </c>
      <c r="D130" t="s">
        <v>633</v>
      </c>
      <c r="E130" t="str">
        <f>HYPERLINK("/pdf/2025_10_58346_jisis_2025_i3_021_secure_wireless_connectivity_frameworks_for_financial_internet_services.pdf","open")</f>
        <v>open</v>
      </c>
      <c r="F130" t="s">
        <v>1609</v>
      </c>
      <c r="G130" t="s">
        <v>1609</v>
      </c>
      <c r="H130" t="s">
        <v>1609</v>
      </c>
      <c r="I130" t="s">
        <v>1609</v>
      </c>
      <c r="J130" t="s">
        <v>1609</v>
      </c>
      <c r="K130" t="s">
        <v>15</v>
      </c>
      <c r="L130" t="s">
        <v>3761</v>
      </c>
    </row>
    <row r="131" spans="1:12" x14ac:dyDescent="0.2">
      <c r="A131" t="s">
        <v>635</v>
      </c>
      <c r="B131" t="s">
        <v>636</v>
      </c>
      <c r="C131" t="s">
        <v>36</v>
      </c>
      <c r="D131" t="s">
        <v>638</v>
      </c>
      <c r="E131" t="str">
        <f>HYPERLINK("/pdf/2021_10.1145_3474124.3474195_Examining_security_for_different_data_models.pdf","open")</f>
        <v>open</v>
      </c>
      <c r="F131" t="s">
        <v>1054</v>
      </c>
      <c r="G131" t="s">
        <v>1054</v>
      </c>
      <c r="H131" t="s">
        <v>1054</v>
      </c>
      <c r="I131" t="s">
        <v>1054</v>
      </c>
      <c r="J131" t="s">
        <v>1054</v>
      </c>
      <c r="K131" t="s">
        <v>1054</v>
      </c>
      <c r="L131" t="s">
        <v>3762</v>
      </c>
    </row>
    <row r="132" spans="1:12" x14ac:dyDescent="0.2">
      <c r="A132" t="s">
        <v>640</v>
      </c>
      <c r="B132" t="s">
        <v>641</v>
      </c>
      <c r="C132" t="s">
        <v>598</v>
      </c>
      <c r="D132" t="s">
        <v>643</v>
      </c>
      <c r="E132" t="str">
        <f>HYPERLINK("/pdf/2012_10.1109_cybersec.2012.6246117_Hierarchical_secure_virtualization_model_for_cloud.pdf","open")</f>
        <v>open</v>
      </c>
      <c r="F132" t="s">
        <v>1609</v>
      </c>
      <c r="G132" t="s">
        <v>1609</v>
      </c>
      <c r="H132" t="s">
        <v>1609</v>
      </c>
      <c r="I132" t="s">
        <v>1609</v>
      </c>
      <c r="J132" t="s">
        <v>1609</v>
      </c>
      <c r="K132" t="s">
        <v>1054</v>
      </c>
      <c r="L132" t="s">
        <v>3763</v>
      </c>
    </row>
    <row r="133" spans="1:12" x14ac:dyDescent="0.2">
      <c r="A133" t="s">
        <v>645</v>
      </c>
      <c r="B133" t="s">
        <v>646</v>
      </c>
      <c r="C133" t="s">
        <v>19</v>
      </c>
      <c r="D133" t="s">
        <v>648</v>
      </c>
      <c r="E133" t="str">
        <f>HYPERLINK("/pdf/2025_10.1007_s11042-023-16777-w_Blockchain-based_color_medical_image_cryptosystem_for_industrial_Internet_of_Healthcare_Things_(IoHT).pdf","open")</f>
        <v>open</v>
      </c>
      <c r="F133" t="s">
        <v>1054</v>
      </c>
      <c r="G133" t="s">
        <v>1054</v>
      </c>
      <c r="H133" t="s">
        <v>1054</v>
      </c>
      <c r="I133" t="s">
        <v>1054</v>
      </c>
      <c r="J133" t="s">
        <v>1054</v>
      </c>
      <c r="K133" t="s">
        <v>1054</v>
      </c>
      <c r="L133" t="s">
        <v>3764</v>
      </c>
    </row>
    <row r="134" spans="1:12" x14ac:dyDescent="0.2">
      <c r="A134" t="s">
        <v>650</v>
      </c>
      <c r="B134" t="s">
        <v>651</v>
      </c>
      <c r="C134" t="s">
        <v>156</v>
      </c>
      <c r="D134" t="s">
        <v>652</v>
      </c>
      <c r="E134" t="str">
        <f>HYPERLINK("/pdf/2013_10.1007_s10796-010-9266-9_Application_of_density-based_outlier_detection_to_database_activity_monitoring.pdf","open")</f>
        <v>open</v>
      </c>
      <c r="F134" t="s">
        <v>1609</v>
      </c>
      <c r="G134" t="s">
        <v>1609</v>
      </c>
      <c r="H134" t="s">
        <v>1609</v>
      </c>
      <c r="I134" t="s">
        <v>1609</v>
      </c>
      <c r="J134" t="s">
        <v>1604</v>
      </c>
      <c r="K134" t="s">
        <v>15</v>
      </c>
      <c r="L134" t="s">
        <v>3765</v>
      </c>
    </row>
    <row r="135" spans="1:12" x14ac:dyDescent="0.2">
      <c r="A135" t="s">
        <v>654</v>
      </c>
      <c r="B135" t="s">
        <v>655</v>
      </c>
      <c r="C135" t="s">
        <v>363</v>
      </c>
      <c r="D135" t="s">
        <v>148</v>
      </c>
      <c r="E135" t="str">
        <f>HYPERLINK("/pdf/2016_Dynamic_intrusion_detection_in_database_systems__A_machine-learning_approach.pdf","open")</f>
        <v>open</v>
      </c>
      <c r="F135" t="s">
        <v>1609</v>
      </c>
      <c r="G135" t="s">
        <v>1609</v>
      </c>
      <c r="H135" t="s">
        <v>1609</v>
      </c>
      <c r="I135" t="s">
        <v>1604</v>
      </c>
      <c r="J135" t="s">
        <v>1604</v>
      </c>
      <c r="K135" t="s">
        <v>15</v>
      </c>
      <c r="L135" t="s">
        <v>3766</v>
      </c>
    </row>
    <row r="136" spans="1:12" x14ac:dyDescent="0.2">
      <c r="A136" t="s">
        <v>658</v>
      </c>
      <c r="B136" t="s">
        <v>659</v>
      </c>
      <c r="C136" t="s">
        <v>19</v>
      </c>
      <c r="D136" t="s">
        <v>661</v>
      </c>
      <c r="E136" t="str">
        <f>HYPERLINK("/pdf/2025_10_3390_electronics14234590_prifed_ids_a_privacy_preserving_federated_reinforcement_learning_framework_for_secure_and.pdf","open")</f>
        <v>open</v>
      </c>
      <c r="F136" t="s">
        <v>1609</v>
      </c>
      <c r="G136" t="s">
        <v>1609</v>
      </c>
      <c r="H136" t="s">
        <v>1609</v>
      </c>
      <c r="I136" t="s">
        <v>1604</v>
      </c>
      <c r="J136" t="s">
        <v>1604</v>
      </c>
      <c r="K136" t="s">
        <v>15</v>
      </c>
      <c r="L136" t="s">
        <v>3767</v>
      </c>
    </row>
    <row r="137" spans="1:12" x14ac:dyDescent="0.2">
      <c r="A137" t="s">
        <v>663</v>
      </c>
      <c r="B137" t="s">
        <v>664</v>
      </c>
      <c r="C137" t="s">
        <v>54</v>
      </c>
      <c r="D137" t="s">
        <v>666</v>
      </c>
      <c r="E137" t="str">
        <f>HYPERLINK("/pdf/2020_10_3390_electronics9111937_fast_packet_inspection_for_end_to_end_encryption.pdf","open")</f>
        <v>open</v>
      </c>
      <c r="F137" t="s">
        <v>1609</v>
      </c>
      <c r="G137" t="s">
        <v>1609</v>
      </c>
      <c r="H137" t="s">
        <v>1609</v>
      </c>
      <c r="I137" t="s">
        <v>1609</v>
      </c>
      <c r="J137" t="s">
        <v>1604</v>
      </c>
      <c r="K137" t="s">
        <v>15</v>
      </c>
      <c r="L137" t="s">
        <v>3768</v>
      </c>
    </row>
    <row r="138" spans="1:12" x14ac:dyDescent="0.2">
      <c r="A138" t="s">
        <v>668</v>
      </c>
      <c r="B138" t="s">
        <v>669</v>
      </c>
      <c r="C138" t="s">
        <v>25</v>
      </c>
      <c r="D138" t="s">
        <v>670</v>
      </c>
      <c r="E138" t="str">
        <f>HYPERLINK("/pdf/2023_10.1007_s10207-023-00727-6_Federated_learning-based_intrusion_detection_system_for_Internet_of_Things.pdf","open")</f>
        <v>open</v>
      </c>
      <c r="F138" t="s">
        <v>1609</v>
      </c>
      <c r="G138" t="s">
        <v>1609</v>
      </c>
      <c r="H138" t="s">
        <v>1609</v>
      </c>
      <c r="I138" t="s">
        <v>2816</v>
      </c>
      <c r="J138" t="s">
        <v>1604</v>
      </c>
      <c r="K138" t="s">
        <v>15</v>
      </c>
      <c r="L138" t="s">
        <v>3769</v>
      </c>
    </row>
    <row r="139" spans="1:12" x14ac:dyDescent="0.2">
      <c r="A139" t="s">
        <v>672</v>
      </c>
      <c r="B139" t="s">
        <v>673</v>
      </c>
      <c r="C139" t="s">
        <v>210</v>
      </c>
      <c r="D139" t="s">
        <v>148</v>
      </c>
      <c r="E139" t="str">
        <f>HYPERLINK("/pdf/2015_Fujitsu's_security_technology_based_on_practical_knowledge.pdf","open")</f>
        <v>open</v>
      </c>
      <c r="F139" t="s">
        <v>1609</v>
      </c>
      <c r="G139" t="s">
        <v>1609</v>
      </c>
      <c r="H139" t="s">
        <v>1609</v>
      </c>
      <c r="I139" t="s">
        <v>1609</v>
      </c>
      <c r="J139" t="s">
        <v>1609</v>
      </c>
      <c r="K139" t="s">
        <v>15</v>
      </c>
      <c r="L139" t="s">
        <v>3770</v>
      </c>
    </row>
    <row r="140" spans="1:12" x14ac:dyDescent="0.2">
      <c r="A140" t="s">
        <v>675</v>
      </c>
      <c r="B140" t="s">
        <v>676</v>
      </c>
      <c r="C140" t="s">
        <v>60</v>
      </c>
      <c r="D140" t="s">
        <v>677</v>
      </c>
      <c r="E140" t="str">
        <f>HYPERLINK("/pdf/2024_10.1007_s10207-023-00805-9_Federated_transfer_learning_for_attack_detection_for_Internet_of_Medical_Things.pdf","open")</f>
        <v>open</v>
      </c>
      <c r="F140" t="s">
        <v>1609</v>
      </c>
      <c r="G140" t="s">
        <v>1609</v>
      </c>
      <c r="H140" t="s">
        <v>1609</v>
      </c>
      <c r="I140" t="s">
        <v>1604</v>
      </c>
      <c r="J140" t="s">
        <v>1604</v>
      </c>
      <c r="K140" t="s">
        <v>15</v>
      </c>
      <c r="L140" t="s">
        <v>3771</v>
      </c>
    </row>
    <row r="141" spans="1:12" x14ac:dyDescent="0.2">
      <c r="A141" t="s">
        <v>679</v>
      </c>
      <c r="B141" t="s">
        <v>680</v>
      </c>
      <c r="C141" t="s">
        <v>19</v>
      </c>
      <c r="D141" t="s">
        <v>682</v>
      </c>
      <c r="E141" t="str">
        <f>HYPERLINK("/pdf/2025_10_37934_araset_51_2_153176_detecting_wormhole_attack_in_environmental_monitoring_system_for_agriculture_usi.pdf","open")</f>
        <v>open</v>
      </c>
      <c r="F141" t="s">
        <v>1609</v>
      </c>
      <c r="G141" t="s">
        <v>1609</v>
      </c>
      <c r="H141" t="s">
        <v>1609</v>
      </c>
      <c r="I141" t="s">
        <v>1604</v>
      </c>
      <c r="J141" t="s">
        <v>1609</v>
      </c>
      <c r="K141" t="s">
        <v>15</v>
      </c>
      <c r="L141" t="s">
        <v>3772</v>
      </c>
    </row>
    <row r="142" spans="1:12" x14ac:dyDescent="0.2">
      <c r="A142" t="s">
        <v>684</v>
      </c>
      <c r="B142" t="s">
        <v>685</v>
      </c>
      <c r="C142" t="s">
        <v>136</v>
      </c>
      <c r="D142" t="s">
        <v>687</v>
      </c>
      <c r="E142" t="str">
        <f>HYPERLINK("/pdf/2019_10.1109_icac49085.2019.9103339_Enhanced_Secure_Solution_for_PoS_Architecture.pdf","open")</f>
        <v>open</v>
      </c>
      <c r="F142" t="s">
        <v>1609</v>
      </c>
      <c r="G142" t="s">
        <v>1609</v>
      </c>
      <c r="H142" t="s">
        <v>1609</v>
      </c>
      <c r="I142" t="s">
        <v>1604</v>
      </c>
      <c r="J142" t="s">
        <v>1609</v>
      </c>
      <c r="K142" t="s">
        <v>15</v>
      </c>
      <c r="L142" t="s">
        <v>3773</v>
      </c>
    </row>
    <row r="143" spans="1:12" x14ac:dyDescent="0.2">
      <c r="A143" t="s">
        <v>689</v>
      </c>
      <c r="B143" t="s">
        <v>690</v>
      </c>
      <c r="C143" t="s">
        <v>36</v>
      </c>
      <c r="D143" t="s">
        <v>692</v>
      </c>
      <c r="E143" t="str">
        <f>HYPERLINK("/pdf/2021_10_3390_e23101258_an_insider_data_leakage_detection_using_one_hot_encoding_synthetic_minority_oversampling.pdf","open")</f>
        <v>open</v>
      </c>
      <c r="F143" t="s">
        <v>1609</v>
      </c>
      <c r="G143" t="s">
        <v>1609</v>
      </c>
      <c r="H143" t="s">
        <v>1609</v>
      </c>
      <c r="I143" t="s">
        <v>1604</v>
      </c>
      <c r="J143" t="s">
        <v>1604</v>
      </c>
      <c r="K143" t="s">
        <v>15</v>
      </c>
      <c r="L143" t="s">
        <v>3774</v>
      </c>
    </row>
    <row r="144" spans="1:12" x14ac:dyDescent="0.2">
      <c r="A144" t="s">
        <v>694</v>
      </c>
      <c r="B144" t="s">
        <v>695</v>
      </c>
      <c r="C144" t="s">
        <v>363</v>
      </c>
      <c r="D144" t="s">
        <v>697</v>
      </c>
      <c r="E144" t="str">
        <f>HYPERLINK("/pdf/2016_10.1145_2976749.2978343_TaintART__A_practical_multi-level_information-flow_tracking_system_for_Android_RunTime.pdf","open")</f>
        <v>open</v>
      </c>
      <c r="F144" t="s">
        <v>1054</v>
      </c>
      <c r="G144" t="s">
        <v>1054</v>
      </c>
      <c r="H144" t="s">
        <v>1054</v>
      </c>
      <c r="I144" t="s">
        <v>1054</v>
      </c>
      <c r="J144" t="s">
        <v>1054</v>
      </c>
      <c r="K144" t="s">
        <v>1054</v>
      </c>
      <c r="L144" t="s">
        <v>3775</v>
      </c>
    </row>
    <row r="145" spans="1:12" x14ac:dyDescent="0.2">
      <c r="A145" t="s">
        <v>699</v>
      </c>
      <c r="B145" t="s">
        <v>700</v>
      </c>
      <c r="C145" t="s">
        <v>100</v>
      </c>
      <c r="D145" t="s">
        <v>702</v>
      </c>
      <c r="E145" t="str">
        <f>HYPERLINK("/pdf/2022_10.1109_icssa54161.2022.9870973_Machine_Learning_Techniques_for_Intrusion_Detection_in_Smart_Healthcare_Systems__A_Comparative_Analysis.pdf","open")</f>
        <v>open</v>
      </c>
      <c r="F145" t="s">
        <v>1609</v>
      </c>
      <c r="G145" t="s">
        <v>1609</v>
      </c>
      <c r="H145" t="s">
        <v>1609</v>
      </c>
      <c r="I145" t="s">
        <v>1604</v>
      </c>
      <c r="J145" t="s">
        <v>1609</v>
      </c>
      <c r="K145" t="s">
        <v>15</v>
      </c>
      <c r="L145" t="s">
        <v>3776</v>
      </c>
    </row>
    <row r="146" spans="1:12" x14ac:dyDescent="0.2">
      <c r="A146" t="s">
        <v>704</v>
      </c>
      <c r="B146" t="s">
        <v>705</v>
      </c>
      <c r="C146" t="s">
        <v>60</v>
      </c>
      <c r="D146" t="s">
        <v>707</v>
      </c>
      <c r="E146" t="str">
        <f>HYPERLINK("/pdf/2024_10.48084_etasr.7467_An_Enhanced_Framework_to_Mitigate_Post-Installation_Cyber_Attacks_on_Android_Apps.pdf","open")</f>
        <v>open</v>
      </c>
      <c r="F146" t="s">
        <v>1609</v>
      </c>
      <c r="G146" t="s">
        <v>1609</v>
      </c>
      <c r="H146" t="s">
        <v>1609</v>
      </c>
      <c r="I146" t="s">
        <v>1609</v>
      </c>
      <c r="J146" t="s">
        <v>1604</v>
      </c>
      <c r="K146" t="s">
        <v>15</v>
      </c>
      <c r="L146" t="s">
        <v>3777</v>
      </c>
    </row>
    <row r="147" spans="1:12" x14ac:dyDescent="0.2">
      <c r="A147" t="s">
        <v>709</v>
      </c>
      <c r="B147" t="s">
        <v>710</v>
      </c>
      <c r="C147" t="s">
        <v>19</v>
      </c>
      <c r="D147" t="s">
        <v>711</v>
      </c>
      <c r="E147" t="str">
        <f>HYPERLINK("/pdf/2025_10_1038_s41598_025_17799_0_multi_resolution_transfer_learning_for_tampered_image_classification_using_se_en.pdf","open")</f>
        <v>open</v>
      </c>
      <c r="F147" t="s">
        <v>1609</v>
      </c>
      <c r="G147" t="s">
        <v>1609</v>
      </c>
      <c r="H147" t="s">
        <v>1609</v>
      </c>
      <c r="I147" t="s">
        <v>1604</v>
      </c>
      <c r="J147" t="s">
        <v>1604</v>
      </c>
      <c r="K147" t="s">
        <v>15</v>
      </c>
      <c r="L147" t="s">
        <v>3778</v>
      </c>
    </row>
    <row r="148" spans="1:12" x14ac:dyDescent="0.2">
      <c r="A148" t="s">
        <v>713</v>
      </c>
      <c r="B148" t="s">
        <v>714</v>
      </c>
      <c r="C148" t="s">
        <v>215</v>
      </c>
      <c r="D148" t="s">
        <v>716</v>
      </c>
      <c r="E148" t="str">
        <f>HYPERLINK("/pdf/2015_10.1109_cis.2014.133_Application_research_on_retrospective_analysis_system_in_network_intrusion_detection.pdf","open")</f>
        <v>open</v>
      </c>
      <c r="F148" t="s">
        <v>1609</v>
      </c>
      <c r="G148" t="s">
        <v>1609</v>
      </c>
      <c r="H148" t="s">
        <v>1609</v>
      </c>
      <c r="I148" t="s">
        <v>1609</v>
      </c>
      <c r="J148" t="s">
        <v>1609</v>
      </c>
      <c r="K148" t="s">
        <v>15</v>
      </c>
      <c r="L148" t="s">
        <v>3779</v>
      </c>
    </row>
    <row r="149" spans="1:12" x14ac:dyDescent="0.2">
      <c r="A149" t="s">
        <v>718</v>
      </c>
      <c r="B149" t="s">
        <v>719</v>
      </c>
      <c r="C149" t="s">
        <v>25</v>
      </c>
      <c r="D149" t="s">
        <v>721</v>
      </c>
      <c r="E149" t="str">
        <f>HYPERLINK("/pdf/2023_10.1109_airosip58759.2023.10873912_Smart_Closed-Loop_Jamming_System.pdf","open")</f>
        <v>open</v>
      </c>
      <c r="F149" t="s">
        <v>1604</v>
      </c>
      <c r="G149" t="s">
        <v>1609</v>
      </c>
      <c r="H149" t="s">
        <v>1609</v>
      </c>
      <c r="I149" t="s">
        <v>1604</v>
      </c>
      <c r="J149" t="s">
        <v>1609</v>
      </c>
      <c r="K149" t="s">
        <v>15</v>
      </c>
      <c r="L149" t="s">
        <v>3780</v>
      </c>
    </row>
    <row r="150" spans="1:12" x14ac:dyDescent="0.2">
      <c r="A150" t="s">
        <v>723</v>
      </c>
      <c r="B150" t="s">
        <v>724</v>
      </c>
      <c r="C150" t="s">
        <v>60</v>
      </c>
      <c r="D150" t="s">
        <v>725</v>
      </c>
      <c r="E150" t="str">
        <f>HYPERLINK("/pdf/2024_10.1109_jiot.2024.3385989_An_Authentication_Mechanism_Based_on_Zero_Trust_With_Radio_Frequency_Fingerprint_for_Internet_of_Things_Networ.pdf","open")</f>
        <v>open</v>
      </c>
      <c r="F150" t="s">
        <v>1609</v>
      </c>
      <c r="G150" t="s">
        <v>1609</v>
      </c>
      <c r="H150" t="s">
        <v>1609</v>
      </c>
      <c r="I150" t="s">
        <v>1609</v>
      </c>
      <c r="J150" t="s">
        <v>1604</v>
      </c>
      <c r="K150" t="s">
        <v>15</v>
      </c>
      <c r="L150" t="s">
        <v>3781</v>
      </c>
    </row>
    <row r="151" spans="1:12" x14ac:dyDescent="0.2">
      <c r="A151" t="s">
        <v>727</v>
      </c>
      <c r="B151" t="s">
        <v>728</v>
      </c>
      <c r="C151" t="s">
        <v>190</v>
      </c>
      <c r="D151" t="s">
        <v>730</v>
      </c>
      <c r="E151" t="str">
        <f>HYPERLINK("/pdf/2017_10.1109_wcsp.2017.8170908_Data_leakage_between_C_S_communication__A_case_study_on_Android_music_app.pdf","open")</f>
        <v>open</v>
      </c>
      <c r="F151" t="s">
        <v>1054</v>
      </c>
      <c r="G151" t="s">
        <v>1054</v>
      </c>
      <c r="H151" t="s">
        <v>1054</v>
      </c>
      <c r="I151" t="s">
        <v>1054</v>
      </c>
      <c r="J151" t="s">
        <v>1054</v>
      </c>
      <c r="K151" t="s">
        <v>1054</v>
      </c>
      <c r="L151" t="s">
        <v>3782</v>
      </c>
    </row>
    <row r="152" spans="1:12" x14ac:dyDescent="0.2">
      <c r="A152" t="s">
        <v>732</v>
      </c>
      <c r="B152" t="s">
        <v>733</v>
      </c>
      <c r="C152" t="s">
        <v>19</v>
      </c>
      <c r="D152" t="s">
        <v>735</v>
      </c>
      <c r="E152" t="str">
        <f>HYPERLINK("/pdf/2025_10.1109_icoict66265.2025.11192987_Federated_Learning_Approaches_for_IoT_Intrusion_Detection_Based_on_FedAvg_and_FedProx_on_IID_and_Non-IID_Data.pdf","open")</f>
        <v>open</v>
      </c>
      <c r="F152" t="s">
        <v>1609</v>
      </c>
      <c r="G152" t="s">
        <v>1609</v>
      </c>
      <c r="H152" t="s">
        <v>1609</v>
      </c>
      <c r="I152" t="s">
        <v>1604</v>
      </c>
      <c r="J152" t="s">
        <v>1604</v>
      </c>
      <c r="K152" t="s">
        <v>15</v>
      </c>
      <c r="L152" t="s">
        <v>3783</v>
      </c>
    </row>
    <row r="153" spans="1:12" x14ac:dyDescent="0.2">
      <c r="A153" t="s">
        <v>737</v>
      </c>
      <c r="B153" t="s">
        <v>738</v>
      </c>
      <c r="C153" t="s">
        <v>156</v>
      </c>
      <c r="D153" t="s">
        <v>740</v>
      </c>
      <c r="E153" t="str">
        <f>HYPERLINK("/pdf/2013_10.1109_icon.2013.6781950_Security_testing_in_Android_networks_-_A_practical_case_study.pdf","open")</f>
        <v>open</v>
      </c>
      <c r="F153" t="s">
        <v>1609</v>
      </c>
      <c r="G153" t="s">
        <v>1609</v>
      </c>
      <c r="H153" t="s">
        <v>1609</v>
      </c>
      <c r="I153" t="s">
        <v>1609</v>
      </c>
      <c r="J153" t="s">
        <v>1609</v>
      </c>
      <c r="K153" t="s">
        <v>15</v>
      </c>
      <c r="L153" t="s">
        <v>3784</v>
      </c>
    </row>
    <row r="154" spans="1:12" x14ac:dyDescent="0.2">
      <c r="A154" t="s">
        <v>742</v>
      </c>
      <c r="B154" t="s">
        <v>743</v>
      </c>
      <c r="C154" t="s">
        <v>60</v>
      </c>
      <c r="D154" t="s">
        <v>148</v>
      </c>
      <c r="E154" t="str">
        <f>HYPERLINK("/pdf/2024_10.23919_indiacom61295.2024.10499164_A_DNA-based_Authentication_System_for_Securing_Cloud_Data_Storage_and_Transactions.pdf","open")</f>
        <v>open</v>
      </c>
      <c r="F154" t="s">
        <v>1054</v>
      </c>
      <c r="G154" t="s">
        <v>1054</v>
      </c>
      <c r="H154" t="s">
        <v>1054</v>
      </c>
      <c r="I154" t="s">
        <v>1054</v>
      </c>
      <c r="J154" t="s">
        <v>1054</v>
      </c>
      <c r="K154" t="s">
        <v>1054</v>
      </c>
      <c r="L154" t="s">
        <v>3785</v>
      </c>
    </row>
    <row r="155" spans="1:12" x14ac:dyDescent="0.2">
      <c r="A155" t="s">
        <v>746</v>
      </c>
      <c r="B155" t="s">
        <v>747</v>
      </c>
      <c r="C155" t="s">
        <v>136</v>
      </c>
      <c r="D155" t="s">
        <v>148</v>
      </c>
      <c r="E155" t="str">
        <f>HYPERLINK("/pdf/2019_10.1109_iceei47359.2019.8988832_OTPAF__A_Security_Requirement_Conceptual_Model_of_SaaS_for_Malaysian_Government_based_on_Common_Criteria.pdf","open")</f>
        <v>open</v>
      </c>
      <c r="F155" t="s">
        <v>1054</v>
      </c>
      <c r="G155" t="s">
        <v>1054</v>
      </c>
      <c r="H155" t="s">
        <v>1054</v>
      </c>
      <c r="I155" t="s">
        <v>1054</v>
      </c>
      <c r="J155" t="s">
        <v>1054</v>
      </c>
      <c r="K155" t="s">
        <v>1054</v>
      </c>
      <c r="L155" t="s">
        <v>3786</v>
      </c>
    </row>
    <row r="156" spans="1:12" x14ac:dyDescent="0.2">
      <c r="A156" t="s">
        <v>750</v>
      </c>
      <c r="B156" t="s">
        <v>751</v>
      </c>
      <c r="C156" t="s">
        <v>60</v>
      </c>
      <c r="D156" t="s">
        <v>148</v>
      </c>
      <c r="E156" t="str">
        <f>HYPERLINK("/pdf/2024_In_Plain_Sight__A_Pragmatic_Exploration_of_the_Italian_Medical_Landscape_(In)security.pdf.pdf","open")</f>
        <v>open</v>
      </c>
      <c r="F156" t="s">
        <v>1054</v>
      </c>
      <c r="G156" t="s">
        <v>1054</v>
      </c>
      <c r="H156" t="s">
        <v>1054</v>
      </c>
      <c r="I156" t="s">
        <v>1054</v>
      </c>
      <c r="J156" t="s">
        <v>1054</v>
      </c>
      <c r="K156" t="s">
        <v>1054</v>
      </c>
      <c r="L156" t="s">
        <v>3787</v>
      </c>
    </row>
    <row r="157" spans="1:12" x14ac:dyDescent="0.2">
      <c r="A157" t="s">
        <v>754</v>
      </c>
      <c r="B157" t="s">
        <v>755</v>
      </c>
      <c r="C157" t="s">
        <v>19</v>
      </c>
      <c r="D157" t="s">
        <v>757</v>
      </c>
      <c r="E157" t="str">
        <f>HYPERLINK("/pdf/2025_10_3390_info16110957_llms_for_cybersecurity_in_the_big_data_era_a_comprehensive_review_of_applications_challe.pdf","open")</f>
        <v>open</v>
      </c>
      <c r="F157" t="s">
        <v>1604</v>
      </c>
      <c r="G157" t="s">
        <v>1604</v>
      </c>
      <c r="H157" t="s">
        <v>1604</v>
      </c>
      <c r="I157" t="s">
        <v>1604</v>
      </c>
      <c r="J157" t="s">
        <v>1609</v>
      </c>
      <c r="K157" t="s">
        <v>44</v>
      </c>
      <c r="L157" t="s">
        <v>3788</v>
      </c>
    </row>
    <row r="158" spans="1:12" x14ac:dyDescent="0.2">
      <c r="A158" t="s">
        <v>759</v>
      </c>
      <c r="B158" t="s">
        <v>760</v>
      </c>
      <c r="C158" t="s">
        <v>48</v>
      </c>
      <c r="D158" t="s">
        <v>761</v>
      </c>
      <c r="E158" t="str">
        <f>HYPERLINK("/pdf/2010_CollSec_2010_-_2010_Workshop_on_Collaborative_Methods_for_Security_and_Privacy.pdf","open")</f>
        <v>open</v>
      </c>
      <c r="F158" t="s">
        <v>1609</v>
      </c>
      <c r="G158" t="s">
        <v>1609</v>
      </c>
      <c r="H158" t="s">
        <v>1609</v>
      </c>
      <c r="I158" t="s">
        <v>1604</v>
      </c>
      <c r="J158" t="s">
        <v>1609</v>
      </c>
      <c r="K158" t="s">
        <v>15</v>
      </c>
      <c r="L158" t="s">
        <v>3789</v>
      </c>
    </row>
    <row r="159" spans="1:12" x14ac:dyDescent="0.2">
      <c r="A159" t="s">
        <v>763</v>
      </c>
      <c r="B159" t="s">
        <v>764</v>
      </c>
      <c r="C159" t="s">
        <v>136</v>
      </c>
      <c r="D159" t="s">
        <v>765</v>
      </c>
      <c r="E159" t="str">
        <f>HYPERLINK("/pdf/2019_10_1109_access_2019_2951425_covert_channels_in_the_mqtt_based_internet_of_things.pdf","open")</f>
        <v>open</v>
      </c>
      <c r="F159" t="s">
        <v>1609</v>
      </c>
      <c r="G159" t="s">
        <v>1609</v>
      </c>
      <c r="H159" t="s">
        <v>1609</v>
      </c>
      <c r="I159" t="s">
        <v>1609</v>
      </c>
      <c r="J159" t="s">
        <v>1604</v>
      </c>
      <c r="K159" t="s">
        <v>15</v>
      </c>
      <c r="L159" t="s">
        <v>3790</v>
      </c>
    </row>
    <row r="160" spans="1:12" x14ac:dyDescent="0.2">
      <c r="A160" t="s">
        <v>767</v>
      </c>
      <c r="B160" t="s">
        <v>768</v>
      </c>
      <c r="C160" t="s">
        <v>100</v>
      </c>
      <c r="D160" t="s">
        <v>770</v>
      </c>
      <c r="E160" t="str">
        <f>HYPERLINK("/pdf/2022_10.1109_asiancon55314.2022.9909471_Data_Leakage_in_Android_and_Anomaly_Based_Intrusion_Detection_and_Prevention_System.pdf","open")</f>
        <v>open</v>
      </c>
      <c r="F160" t="s">
        <v>1609</v>
      </c>
      <c r="G160" t="s">
        <v>1609</v>
      </c>
      <c r="H160" t="s">
        <v>1609</v>
      </c>
      <c r="I160" t="s">
        <v>1604</v>
      </c>
      <c r="J160" t="s">
        <v>1609</v>
      </c>
      <c r="K160" t="s">
        <v>15</v>
      </c>
      <c r="L160" t="s">
        <v>3791</v>
      </c>
    </row>
    <row r="161" spans="1:12" x14ac:dyDescent="0.2">
      <c r="A161" t="s">
        <v>772</v>
      </c>
      <c r="B161" t="s">
        <v>773</v>
      </c>
      <c r="C161" t="s">
        <v>19</v>
      </c>
      <c r="D161" t="s">
        <v>775</v>
      </c>
      <c r="E161" t="str">
        <f>HYPERLINK("/pdf/2025_10.1142_s2010324725400119_A_Hybrid_BiLSTM-Attention_and_Homomorphic_Encryption_Framework_for_Privacy-Preserving_Threat_Detection_in_Clou.pdf","open")</f>
        <v>open</v>
      </c>
      <c r="F161" t="s">
        <v>1609</v>
      </c>
      <c r="G161" t="s">
        <v>1609</v>
      </c>
      <c r="H161" t="s">
        <v>1609</v>
      </c>
      <c r="I161" t="s">
        <v>1604</v>
      </c>
      <c r="J161" t="s">
        <v>1604</v>
      </c>
      <c r="K161" t="s">
        <v>15</v>
      </c>
      <c r="L161" t="s">
        <v>3792</v>
      </c>
    </row>
    <row r="162" spans="1:12" x14ac:dyDescent="0.2">
      <c r="A162" t="s">
        <v>445</v>
      </c>
      <c r="B162" t="s">
        <v>446</v>
      </c>
      <c r="C162" t="s">
        <v>19</v>
      </c>
      <c r="D162" t="s">
        <v>448</v>
      </c>
      <c r="E162" t="str">
        <f>HYPERLINK("/pdf/2025_10_3991_ijep_v15i4_53127_integration_of_cybersecurity_into_computer_science_teachers_training_a_systema.pdf","open")</f>
        <v>open</v>
      </c>
      <c r="F162" t="s">
        <v>1054</v>
      </c>
      <c r="G162" t="s">
        <v>1054</v>
      </c>
      <c r="H162" t="s">
        <v>1054</v>
      </c>
      <c r="I162" t="s">
        <v>1054</v>
      </c>
      <c r="J162" t="s">
        <v>1054</v>
      </c>
      <c r="K162" t="s">
        <v>1054</v>
      </c>
      <c r="L162" t="s">
        <v>3793</v>
      </c>
    </row>
    <row r="163" spans="1:12" x14ac:dyDescent="0.2">
      <c r="A163" t="s">
        <v>778</v>
      </c>
      <c r="B163" t="s">
        <v>779</v>
      </c>
      <c r="C163" t="s">
        <v>60</v>
      </c>
      <c r="D163" t="s">
        <v>778</v>
      </c>
      <c r="E163" t="str">
        <f>HYPERLINK("/pdf/2024_10_20473_mi_v7i3_55931_data_leakage_of_the_indonesian_elections_commission_in_legal_aspects_of_personal.pdf","open")</f>
        <v>open</v>
      </c>
      <c r="F163" t="s">
        <v>1054</v>
      </c>
      <c r="G163" t="s">
        <v>1054</v>
      </c>
      <c r="H163" t="s">
        <v>1054</v>
      </c>
      <c r="I163" t="s">
        <v>1054</v>
      </c>
      <c r="J163" t="s">
        <v>1054</v>
      </c>
      <c r="K163" t="s">
        <v>1054</v>
      </c>
      <c r="L163" t="s">
        <v>3794</v>
      </c>
    </row>
    <row r="164" spans="1:12" x14ac:dyDescent="0.2">
      <c r="A164" t="s">
        <v>782</v>
      </c>
      <c r="B164" t="s">
        <v>783</v>
      </c>
      <c r="C164" t="s">
        <v>148</v>
      </c>
      <c r="D164" t="s">
        <v>148</v>
      </c>
      <c r="E164" t="str">
        <f>HYPERLINK("/pdf/2019_10_1109_gciot47977_2019_9058410_practical_application_of_machine_learning_based_online_intrusion_detection_to_internet_of.pdf","open")</f>
        <v>open</v>
      </c>
      <c r="F164" t="s">
        <v>1604</v>
      </c>
      <c r="G164" t="s">
        <v>1604</v>
      </c>
      <c r="H164" t="s">
        <v>1054</v>
      </c>
      <c r="I164" t="s">
        <v>1604</v>
      </c>
      <c r="J164" t="s">
        <v>1609</v>
      </c>
      <c r="K164" t="s">
        <v>44</v>
      </c>
      <c r="L164" t="s">
        <v>3795</v>
      </c>
    </row>
    <row r="165" spans="1:12" x14ac:dyDescent="0.2">
      <c r="A165" t="s">
        <v>785</v>
      </c>
      <c r="B165" t="s">
        <v>786</v>
      </c>
      <c r="C165" t="s">
        <v>60</v>
      </c>
      <c r="D165" t="s">
        <v>787</v>
      </c>
      <c r="E165" t="str">
        <f>HYPERLINK("/pdf/2024_10.1016_j.cose.2024.103864_MeMalDet__A_memory_analysis-based_malware_detection_framework_using_deep_autoencoders_and_stacked_ensemble_und.pdf","open")</f>
        <v>open</v>
      </c>
      <c r="F165" t="s">
        <v>1604</v>
      </c>
      <c r="G165" t="s">
        <v>1604</v>
      </c>
      <c r="H165" t="s">
        <v>1604</v>
      </c>
      <c r="I165" t="s">
        <v>1604</v>
      </c>
      <c r="J165" t="s">
        <v>1604</v>
      </c>
      <c r="K165" t="s">
        <v>44</v>
      </c>
      <c r="L165" t="s">
        <v>3796</v>
      </c>
    </row>
    <row r="166" spans="1:12" x14ac:dyDescent="0.2">
      <c r="A166" t="s">
        <v>789</v>
      </c>
      <c r="B166" t="s">
        <v>790</v>
      </c>
      <c r="C166" t="s">
        <v>19</v>
      </c>
      <c r="D166" t="s">
        <v>791</v>
      </c>
      <c r="E166" t="str">
        <f>HYPERLINK("/pdf/2025_10.1109_access.2025.3602562_Enhanced_Intrusion_Detection_via_Hybrid_Data_Resampling_and_Feature_Optimization.pdf","open")</f>
        <v>open</v>
      </c>
      <c r="F166" t="s">
        <v>1604</v>
      </c>
      <c r="G166" t="s">
        <v>1609</v>
      </c>
      <c r="H166" t="s">
        <v>1609</v>
      </c>
      <c r="I166" t="s">
        <v>1604</v>
      </c>
      <c r="J166" t="s">
        <v>1604</v>
      </c>
      <c r="K166" t="s">
        <v>15</v>
      </c>
      <c r="L166" t="s">
        <v>3797</v>
      </c>
    </row>
    <row r="167" spans="1:12" x14ac:dyDescent="0.2">
      <c r="A167" t="s">
        <v>793</v>
      </c>
      <c r="B167" t="s">
        <v>794</v>
      </c>
      <c r="C167" t="s">
        <v>100</v>
      </c>
      <c r="D167" t="s">
        <v>795</v>
      </c>
      <c r="E167" t="str">
        <f>HYPERLINK("/pdf/2022_10.1016_j.cose.2022.102783_Adversarial_training_for_deep_learning-based_cyberattack_detection_in_IoT-based_smart_city_applications.pdf","open")</f>
        <v>open</v>
      </c>
      <c r="F167" t="s">
        <v>1609</v>
      </c>
      <c r="G167" t="s">
        <v>1609</v>
      </c>
      <c r="H167" t="s">
        <v>1609</v>
      </c>
      <c r="I167" t="s">
        <v>1604</v>
      </c>
      <c r="J167" t="s">
        <v>1604</v>
      </c>
      <c r="K167" t="s">
        <v>15</v>
      </c>
      <c r="L167" t="s">
        <v>3798</v>
      </c>
    </row>
    <row r="168" spans="1:12" x14ac:dyDescent="0.2">
      <c r="A168" t="s">
        <v>797</v>
      </c>
      <c r="B168" t="s">
        <v>798</v>
      </c>
      <c r="C168" t="s">
        <v>36</v>
      </c>
      <c r="D168" t="s">
        <v>800</v>
      </c>
      <c r="E168" t="str">
        <f>HYPERLINK("/pdf/2021_10.1109_jetcas.2021.3075098_Proof-Carrying_Hardware-Based_Information_Flow_Tracking_in_Analog_Mixed-Signal_Designs.pdf","open")</f>
        <v>open</v>
      </c>
      <c r="F168" t="s">
        <v>1054</v>
      </c>
      <c r="G168" t="s">
        <v>1054</v>
      </c>
      <c r="H168" t="s">
        <v>1054</v>
      </c>
      <c r="I168" t="s">
        <v>1054</v>
      </c>
      <c r="J168" t="s">
        <v>1054</v>
      </c>
      <c r="K168" t="s">
        <v>1054</v>
      </c>
      <c r="L168" t="s">
        <v>3799</v>
      </c>
    </row>
    <row r="169" spans="1:12" x14ac:dyDescent="0.2">
      <c r="A169" t="s">
        <v>802</v>
      </c>
      <c r="B169" t="s">
        <v>803</v>
      </c>
      <c r="C169" t="s">
        <v>100</v>
      </c>
      <c r="D169" t="s">
        <v>805</v>
      </c>
      <c r="E169" t="str">
        <f>HYPERLINK("/pdf/2022_10.1145_3564625.3567970_Randezvous__Making_Randomization_Effective_on_MCUs.pdf","open")</f>
        <v>open</v>
      </c>
      <c r="F169" t="s">
        <v>1054</v>
      </c>
      <c r="G169" t="s">
        <v>1054</v>
      </c>
      <c r="H169" t="s">
        <v>1054</v>
      </c>
      <c r="I169" t="s">
        <v>1054</v>
      </c>
      <c r="J169" t="s">
        <v>1054</v>
      </c>
      <c r="K169" t="s">
        <v>1054</v>
      </c>
      <c r="L169" t="s">
        <v>3800</v>
      </c>
    </row>
    <row r="170" spans="1:12" x14ac:dyDescent="0.2">
      <c r="A170" t="s">
        <v>807</v>
      </c>
      <c r="B170" t="s">
        <v>146</v>
      </c>
      <c r="C170" t="s">
        <v>136</v>
      </c>
      <c r="D170" t="s">
        <v>148</v>
      </c>
      <c r="E170" t="str">
        <f>HYPERLINK("/pdf/2020_10.1109_iceee49618.2020.9102516_The_Techniques_of_Securing_Imaging_Data_in_Medical_System.pdf","open")</f>
        <v>open</v>
      </c>
      <c r="F170" t="s">
        <v>1609</v>
      </c>
      <c r="G170" t="s">
        <v>1609</v>
      </c>
      <c r="H170" t="s">
        <v>1609</v>
      </c>
      <c r="I170" t="s">
        <v>1609</v>
      </c>
      <c r="J170" t="s">
        <v>1609</v>
      </c>
      <c r="K170" t="s">
        <v>15</v>
      </c>
      <c r="L170" t="s">
        <v>3801</v>
      </c>
    </row>
    <row r="171" spans="1:12" x14ac:dyDescent="0.2">
      <c r="A171" t="s">
        <v>809</v>
      </c>
      <c r="B171" t="s">
        <v>810</v>
      </c>
      <c r="C171" t="s">
        <v>363</v>
      </c>
      <c r="D171" t="s">
        <v>812</v>
      </c>
      <c r="E171" t="str">
        <f>HYPERLINK("/pdf/2016_10.1145_2976749.2978398_ProvUSB__Block-level_provenance-based_data_protection_for_USB_storage_devices.pdf","open")</f>
        <v>open</v>
      </c>
      <c r="F171" t="s">
        <v>1054</v>
      </c>
      <c r="G171" t="s">
        <v>1054</v>
      </c>
      <c r="H171" t="s">
        <v>1054</v>
      </c>
      <c r="I171" t="s">
        <v>1054</v>
      </c>
      <c r="J171" t="s">
        <v>1054</v>
      </c>
      <c r="K171" t="s">
        <v>1054</v>
      </c>
      <c r="L171" t="s">
        <v>3802</v>
      </c>
    </row>
    <row r="172" spans="1:12" x14ac:dyDescent="0.2">
      <c r="A172" t="s">
        <v>814</v>
      </c>
      <c r="B172" t="s">
        <v>815</v>
      </c>
      <c r="C172" t="s">
        <v>210</v>
      </c>
      <c r="D172" t="s">
        <v>817</v>
      </c>
      <c r="E172" t="str">
        <f>HYPERLINK("/pdf/2015_10.1109_msp.2015.88_Can_Content-Based_Data_Loss_Prevention_Solutions_Prevent_Data_Leakage_in_Web_Traffic_.pdf","open")</f>
        <v>open</v>
      </c>
      <c r="F172" t="s">
        <v>1054</v>
      </c>
      <c r="G172" t="s">
        <v>1054</v>
      </c>
      <c r="H172" t="s">
        <v>1054</v>
      </c>
      <c r="I172" t="s">
        <v>1054</v>
      </c>
      <c r="J172" t="s">
        <v>1054</v>
      </c>
      <c r="K172" t="s">
        <v>1054</v>
      </c>
      <c r="L172" t="s">
        <v>3803</v>
      </c>
    </row>
    <row r="173" spans="1:12" x14ac:dyDescent="0.2">
      <c r="A173" t="s">
        <v>819</v>
      </c>
      <c r="B173" t="s">
        <v>820</v>
      </c>
      <c r="C173" t="s">
        <v>25</v>
      </c>
      <c r="D173" t="s">
        <v>822</v>
      </c>
      <c r="E173" t="str">
        <f>HYPERLINK("/pdf/2023_10.1109_gcat59970.2023.10353244_Exploring_Advanced_Model_Optimization_Strategies_for_Network_Intrusion_Detection_in_cloud_computing.pdf","open")</f>
        <v>open</v>
      </c>
      <c r="F173" t="s">
        <v>1609</v>
      </c>
      <c r="G173" t="s">
        <v>1609</v>
      </c>
      <c r="H173" t="s">
        <v>1609</v>
      </c>
      <c r="I173" t="s">
        <v>1609</v>
      </c>
      <c r="J173" t="s">
        <v>1609</v>
      </c>
      <c r="K173" t="s">
        <v>15</v>
      </c>
      <c r="L173" t="s">
        <v>3804</v>
      </c>
    </row>
    <row r="174" spans="1:12" x14ac:dyDescent="0.2">
      <c r="A174" t="s">
        <v>824</v>
      </c>
      <c r="B174" t="s">
        <v>825</v>
      </c>
      <c r="C174" t="s">
        <v>100</v>
      </c>
      <c r="D174" t="s">
        <v>826</v>
      </c>
      <c r="E174" t="str">
        <f>HYPERLINK("/pdf/2022_10_3390_app12042174_assistive_multimodal_robotic_system_amrsys_security_and_privacy_issues_challenges_and.pdf","open")</f>
        <v>open</v>
      </c>
      <c r="F174" t="s">
        <v>1054</v>
      </c>
      <c r="G174" t="s">
        <v>1054</v>
      </c>
      <c r="H174" t="s">
        <v>1054</v>
      </c>
      <c r="I174" t="s">
        <v>1054</v>
      </c>
      <c r="J174" t="s">
        <v>1054</v>
      </c>
      <c r="K174" t="s">
        <v>1054</v>
      </c>
      <c r="L174" t="s">
        <v>3805</v>
      </c>
    </row>
    <row r="175" spans="1:12" x14ac:dyDescent="0.2">
      <c r="A175" t="s">
        <v>828</v>
      </c>
      <c r="B175" t="s">
        <v>829</v>
      </c>
      <c r="C175" t="s">
        <v>60</v>
      </c>
      <c r="D175" t="s">
        <v>831</v>
      </c>
      <c r="E175" t="str">
        <f>HYPERLINK("/pdf/2024_10.1080_23311916.2024.2411859_Investigation_of_cyber_attacks_using_post-installation_app_detection_method.pdf","open")</f>
        <v>open</v>
      </c>
      <c r="F175" t="s">
        <v>1609</v>
      </c>
      <c r="G175" t="s">
        <v>1609</v>
      </c>
      <c r="H175" t="s">
        <v>1054</v>
      </c>
      <c r="I175" t="s">
        <v>1609</v>
      </c>
      <c r="J175" t="s">
        <v>1604</v>
      </c>
      <c r="K175" t="s">
        <v>15</v>
      </c>
      <c r="L175" t="s">
        <v>3806</v>
      </c>
    </row>
    <row r="176" spans="1:12" x14ac:dyDescent="0.2">
      <c r="A176" t="s">
        <v>833</v>
      </c>
      <c r="B176" t="s">
        <v>834</v>
      </c>
      <c r="C176" t="s">
        <v>100</v>
      </c>
      <c r="D176" t="s">
        <v>148</v>
      </c>
      <c r="E176" t="str">
        <f>HYPERLINK("/pdf/2023_10_1109_compsac57700_2023_00106_feature_engineering_based_detection_of_buffer_overflow_vulnerability_in_source_code_using.pdf","open")</f>
        <v>open</v>
      </c>
      <c r="F176" t="s">
        <v>1609</v>
      </c>
      <c r="G176" t="s">
        <v>1609</v>
      </c>
      <c r="H176" t="s">
        <v>1609</v>
      </c>
      <c r="I176" t="s">
        <v>1604</v>
      </c>
      <c r="J176" t="s">
        <v>1609</v>
      </c>
      <c r="K176" t="s">
        <v>15</v>
      </c>
      <c r="L176" t="s">
        <v>3807</v>
      </c>
    </row>
    <row r="177" spans="1:12" x14ac:dyDescent="0.2">
      <c r="A177" t="s">
        <v>836</v>
      </c>
      <c r="B177" t="s">
        <v>837</v>
      </c>
      <c r="C177" t="s">
        <v>36</v>
      </c>
      <c r="D177" t="s">
        <v>839</v>
      </c>
      <c r="E177" t="str">
        <f>HYPERLINK("/pdf/2021_10.4316_aece.2021.03005_Deep_Learning_Based_DNS_Tunneling_Detection_and_Blocking_System.pdf","open")</f>
        <v>open</v>
      </c>
      <c r="F177" t="s">
        <v>1609</v>
      </c>
      <c r="G177" t="s">
        <v>1609</v>
      </c>
      <c r="H177" t="s">
        <v>1609</v>
      </c>
      <c r="I177" t="s">
        <v>1604</v>
      </c>
      <c r="J177" t="s">
        <v>1604</v>
      </c>
      <c r="K177" t="s">
        <v>15</v>
      </c>
      <c r="L177" t="s">
        <v>3808</v>
      </c>
    </row>
    <row r="178" spans="1:12" x14ac:dyDescent="0.2">
      <c r="A178" t="s">
        <v>841</v>
      </c>
      <c r="B178" t="s">
        <v>842</v>
      </c>
      <c r="C178" t="s">
        <v>100</v>
      </c>
      <c r="D178" t="s">
        <v>844</v>
      </c>
      <c r="E178" t="str">
        <f>HYPERLINK("/pdf/2022_10.1016_j.ins.2022.07.104_Privacy-preserving_knowledge_transfer_for_intrusion_detection_with_federated_deep_autoencoding_gaussian_mixtur.pdf","open")</f>
        <v>open</v>
      </c>
      <c r="F178" t="s">
        <v>1609</v>
      </c>
      <c r="G178" t="s">
        <v>1609</v>
      </c>
      <c r="H178" t="s">
        <v>1054</v>
      </c>
      <c r="I178" t="s">
        <v>1604</v>
      </c>
      <c r="J178" t="s">
        <v>1604</v>
      </c>
      <c r="K178" t="s">
        <v>15</v>
      </c>
      <c r="L178" t="s">
        <v>3809</v>
      </c>
    </row>
    <row r="179" spans="1:12" x14ac:dyDescent="0.2">
      <c r="A179" t="s">
        <v>846</v>
      </c>
      <c r="B179" t="s">
        <v>847</v>
      </c>
      <c r="C179" t="s">
        <v>19</v>
      </c>
      <c r="D179" t="s">
        <v>848</v>
      </c>
      <c r="E179" t="str">
        <f>HYPERLINK("/pdf/2025_10_3390_electronics14101982_ficconvnet_a_privacy_preserving_framework_for_malware_detection_using_ckks_homomorphic_en.pdf","open")</f>
        <v>open</v>
      </c>
      <c r="F179" t="s">
        <v>1609</v>
      </c>
      <c r="G179" t="s">
        <v>1609</v>
      </c>
      <c r="H179" t="s">
        <v>1609</v>
      </c>
      <c r="I179" t="s">
        <v>1604</v>
      </c>
      <c r="J179" t="s">
        <v>1604</v>
      </c>
      <c r="K179" t="s">
        <v>15</v>
      </c>
      <c r="L179" t="s">
        <v>3810</v>
      </c>
    </row>
    <row r="180" spans="1:12" x14ac:dyDescent="0.2">
      <c r="A180" t="s">
        <v>850</v>
      </c>
      <c r="B180" t="s">
        <v>850</v>
      </c>
      <c r="C180" t="s">
        <v>100</v>
      </c>
      <c r="D180" t="s">
        <v>851</v>
      </c>
      <c r="E180" t="str">
        <f>HYPERLINK("/pdf/2022_10.1016_j.cose.2022.102644_Preventive_portfolio_against_data-selling_ransomware—A_game_theory_of_encryption_and_deception.pdf","open")</f>
        <v>open</v>
      </c>
      <c r="F180" t="s">
        <v>1054</v>
      </c>
      <c r="G180" t="s">
        <v>1054</v>
      </c>
      <c r="H180" t="s">
        <v>1054</v>
      </c>
      <c r="I180" t="s">
        <v>1054</v>
      </c>
      <c r="J180" t="s">
        <v>1604</v>
      </c>
      <c r="K180" t="s">
        <v>15</v>
      </c>
      <c r="L180" t="s">
        <v>3811</v>
      </c>
    </row>
    <row r="181" spans="1:12" x14ac:dyDescent="0.2">
      <c r="A181" t="s">
        <v>853</v>
      </c>
      <c r="B181" t="s">
        <v>854</v>
      </c>
      <c r="C181" t="s">
        <v>19</v>
      </c>
      <c r="D181" t="s">
        <v>856</v>
      </c>
      <c r="E181" t="str">
        <f>HYPERLINK("/pdf/2025_10.1109_sennet64220.2025.11135967_Secure_IoMT_Networks__A_Federated_Learning_Approach_to_Intrusion_Detection_with_Ensemble_Voting_Classifier.pdf","open")</f>
        <v>open</v>
      </c>
      <c r="F181" t="s">
        <v>1609</v>
      </c>
      <c r="G181" t="s">
        <v>1609</v>
      </c>
      <c r="H181" t="s">
        <v>1609</v>
      </c>
      <c r="I181" t="s">
        <v>1609</v>
      </c>
      <c r="J181" t="s">
        <v>1604</v>
      </c>
      <c r="K181" t="s">
        <v>15</v>
      </c>
      <c r="L181" t="s">
        <v>3812</v>
      </c>
    </row>
    <row r="182" spans="1:12" x14ac:dyDescent="0.2">
      <c r="A182" t="s">
        <v>858</v>
      </c>
      <c r="B182" t="s">
        <v>859</v>
      </c>
      <c r="C182" t="s">
        <v>25</v>
      </c>
      <c r="D182" t="s">
        <v>861</v>
      </c>
      <c r="E182" t="str">
        <f>HYPERLINK("/pdf/2023_10.1016_j.micpro.2023.104845_Empirical_study_on_security_verification_and_assessment_of_neural_network_accelerator.pdf","open")</f>
        <v>open</v>
      </c>
      <c r="F182" t="s">
        <v>1609</v>
      </c>
      <c r="G182" t="s">
        <v>1609</v>
      </c>
      <c r="H182" t="s">
        <v>1609</v>
      </c>
      <c r="I182" t="s">
        <v>1604</v>
      </c>
      <c r="J182" t="s">
        <v>1609</v>
      </c>
      <c r="K182" t="s">
        <v>15</v>
      </c>
      <c r="L182" t="s">
        <v>3813</v>
      </c>
    </row>
    <row r="183" spans="1:12" x14ac:dyDescent="0.2">
      <c r="A183" t="s">
        <v>863</v>
      </c>
      <c r="B183" t="s">
        <v>864</v>
      </c>
      <c r="C183" t="s">
        <v>48</v>
      </c>
      <c r="D183" t="s">
        <v>865</v>
      </c>
      <c r="E183" t="str">
        <f>HYPERLINK("/pdf/2026_10_3390_fi18010042_intrusion_detection_for_internet_of_vehicles_can_bus_communications_using_machine_learning.pdf","open")</f>
        <v>open</v>
      </c>
      <c r="F183" t="s">
        <v>1604</v>
      </c>
      <c r="G183" t="s">
        <v>1609</v>
      </c>
      <c r="H183" t="s">
        <v>1604</v>
      </c>
      <c r="I183" t="s">
        <v>1604</v>
      </c>
      <c r="J183" t="s">
        <v>1604</v>
      </c>
      <c r="K183" t="s">
        <v>15</v>
      </c>
      <c r="L183" t="s">
        <v>3814</v>
      </c>
    </row>
    <row r="184" spans="1:12" x14ac:dyDescent="0.2">
      <c r="A184" t="s">
        <v>867</v>
      </c>
      <c r="B184" t="s">
        <v>868</v>
      </c>
      <c r="C184" t="s">
        <v>54</v>
      </c>
      <c r="D184" t="s">
        <v>867</v>
      </c>
      <c r="E184" t="str">
        <f>HYPERLINK("/pdf/2020_10.34190_ews.20.004_Mitigating_insider_threats__A_case_study_of_data_leak_prevention.pdf","open")</f>
        <v>open</v>
      </c>
      <c r="F184" t="s">
        <v>1054</v>
      </c>
      <c r="G184" t="s">
        <v>1054</v>
      </c>
      <c r="H184" t="s">
        <v>1054</v>
      </c>
      <c r="I184" t="s">
        <v>1054</v>
      </c>
      <c r="J184" t="s">
        <v>1054</v>
      </c>
      <c r="K184" t="s">
        <v>1054</v>
      </c>
      <c r="L184" t="s">
        <v>3815</v>
      </c>
    </row>
    <row r="185" spans="1:12" x14ac:dyDescent="0.2">
      <c r="A185" t="s">
        <v>871</v>
      </c>
      <c r="B185" t="s">
        <v>872</v>
      </c>
      <c r="C185" t="s">
        <v>363</v>
      </c>
      <c r="D185" t="s">
        <v>873</v>
      </c>
      <c r="E185" t="str">
        <f>HYPERLINK("/pdf/2017_10.1109_asianhost.2016.7835566_RECORD__Temporarily_randomized_encoding_of_combinational_logic_for_resistance_to_data_leakage_from_hardware_Tr.pdf","open")</f>
        <v>open</v>
      </c>
      <c r="F185" t="s">
        <v>1054</v>
      </c>
      <c r="G185" t="s">
        <v>1054</v>
      </c>
      <c r="H185" t="s">
        <v>1054</v>
      </c>
      <c r="I185" t="s">
        <v>1054</v>
      </c>
      <c r="J185" t="s">
        <v>1054</v>
      </c>
      <c r="K185" t="s">
        <v>1054</v>
      </c>
      <c r="L185" t="s">
        <v>3816</v>
      </c>
    </row>
    <row r="186" spans="1:12" x14ac:dyDescent="0.2">
      <c r="A186" t="s">
        <v>875</v>
      </c>
      <c r="B186" t="s">
        <v>876</v>
      </c>
      <c r="C186" t="s">
        <v>48</v>
      </c>
      <c r="D186" t="s">
        <v>877</v>
      </c>
      <c r="E186" t="str">
        <f>HYPERLINK("/pdf/2026_10.3390_fi18010011_Adaptive_Privacy-Preserving_Insider_Threat_Detection_Using_Generative_Sequence_Models.pdf","open")</f>
        <v>open</v>
      </c>
      <c r="F186" t="s">
        <v>1604</v>
      </c>
      <c r="G186" t="s">
        <v>1604</v>
      </c>
      <c r="H186" t="s">
        <v>1054</v>
      </c>
      <c r="I186" t="s">
        <v>1604</v>
      </c>
      <c r="J186" t="s">
        <v>1604</v>
      </c>
      <c r="K186" t="s">
        <v>44</v>
      </c>
      <c r="L186" t="s">
        <v>3817</v>
      </c>
    </row>
    <row r="187" spans="1:12" x14ac:dyDescent="0.2">
      <c r="A187" t="s">
        <v>879</v>
      </c>
      <c r="B187" t="s">
        <v>880</v>
      </c>
      <c r="C187" t="s">
        <v>215</v>
      </c>
      <c r="D187" t="s">
        <v>882</v>
      </c>
      <c r="E187" t="str">
        <f>HYPERLINK("/pdf/2015_10.1109_cse.2014.136_Fvisor__Towards_thwarting_unauthorized_file_accesses_with_a_light-weght_hypervisor.pdf","open")</f>
        <v>open</v>
      </c>
      <c r="F187" t="s">
        <v>1054</v>
      </c>
      <c r="G187" t="s">
        <v>1054</v>
      </c>
      <c r="H187" t="s">
        <v>1054</v>
      </c>
      <c r="I187" t="s">
        <v>1054</v>
      </c>
      <c r="J187" t="s">
        <v>1054</v>
      </c>
      <c r="K187" t="s">
        <v>1054</v>
      </c>
      <c r="L187" t="s">
        <v>3818</v>
      </c>
    </row>
    <row r="188" spans="1:12" x14ac:dyDescent="0.2">
      <c r="A188" t="s">
        <v>884</v>
      </c>
      <c r="B188" t="s">
        <v>885</v>
      </c>
      <c r="C188" t="s">
        <v>25</v>
      </c>
      <c r="D188" t="s">
        <v>887</v>
      </c>
      <c r="E188" t="str">
        <f>HYPERLINK("/pdf/2023_10_1109_ijcnn54540_2023_10191926_online_automated_machine_learning_for_class_imbalanced_data_streams.pdf","open")</f>
        <v>open</v>
      </c>
      <c r="F188" t="s">
        <v>1604</v>
      </c>
      <c r="G188" t="s">
        <v>1604</v>
      </c>
      <c r="H188" t="s">
        <v>1054</v>
      </c>
      <c r="I188" t="s">
        <v>1604</v>
      </c>
      <c r="J188" t="s">
        <v>1604</v>
      </c>
      <c r="K188" t="s">
        <v>44</v>
      </c>
      <c r="L188" t="s">
        <v>3819</v>
      </c>
    </row>
    <row r="189" spans="1:12" x14ac:dyDescent="0.2">
      <c r="A189" t="s">
        <v>889</v>
      </c>
      <c r="B189" t="s">
        <v>890</v>
      </c>
      <c r="C189" t="s">
        <v>19</v>
      </c>
      <c r="D189" t="s">
        <v>891</v>
      </c>
      <c r="E189" t="str">
        <f>HYPERLINK("/pdf/2025_10.1007_s11042-024-18349-y_Ensemble_framework_for_concept_drift_detection_and_class_imbalance_in_data_streams.pdf","open")</f>
        <v>open</v>
      </c>
      <c r="F189" t="s">
        <v>1609</v>
      </c>
      <c r="G189" t="s">
        <v>1604</v>
      </c>
      <c r="H189" t="s">
        <v>1609</v>
      </c>
      <c r="I189" t="s">
        <v>1604</v>
      </c>
      <c r="J189" t="s">
        <v>1604</v>
      </c>
      <c r="K189" t="s">
        <v>15</v>
      </c>
      <c r="L189" t="s">
        <v>3820</v>
      </c>
    </row>
    <row r="190" spans="1:12" x14ac:dyDescent="0.2">
      <c r="A190" t="s">
        <v>893</v>
      </c>
      <c r="B190" t="s">
        <v>894</v>
      </c>
      <c r="C190" t="s">
        <v>60</v>
      </c>
      <c r="D190" t="s">
        <v>896</v>
      </c>
      <c r="E190" t="str">
        <f>HYPERLINK("/pdf/2024_10_3390_fi16110410_design_and_evaluation_of_steganographic_channels_in_fifth_generation_new_radio.pdf","open")</f>
        <v>open</v>
      </c>
      <c r="F190" t="s">
        <v>1054</v>
      </c>
      <c r="G190" t="s">
        <v>1054</v>
      </c>
      <c r="H190" t="s">
        <v>1054</v>
      </c>
      <c r="I190" t="s">
        <v>1054</v>
      </c>
      <c r="J190" t="s">
        <v>1054</v>
      </c>
      <c r="K190" t="s">
        <v>1054</v>
      </c>
      <c r="L190" t="s">
        <v>3821</v>
      </c>
    </row>
    <row r="191" spans="1:12" x14ac:dyDescent="0.2">
      <c r="A191" t="s">
        <v>898</v>
      </c>
      <c r="B191" t="s">
        <v>898</v>
      </c>
      <c r="C191" t="s">
        <v>215</v>
      </c>
      <c r="D191" t="s">
        <v>900</v>
      </c>
      <c r="E191" t="str">
        <f>HYPERLINK("/pdf/2014_10.1145_2671491.2671499_DAVAST__Data-centric_system_level_activity_visualization.pdf","open")</f>
        <v>open</v>
      </c>
      <c r="F191" t="s">
        <v>1609</v>
      </c>
      <c r="G191" t="s">
        <v>1609</v>
      </c>
      <c r="H191" t="s">
        <v>1609</v>
      </c>
      <c r="I191" t="s">
        <v>1609</v>
      </c>
      <c r="J191" t="s">
        <v>1609</v>
      </c>
      <c r="K191" t="s">
        <v>15</v>
      </c>
      <c r="L191" t="s">
        <v>3822</v>
      </c>
    </row>
    <row r="192" spans="1:12" x14ac:dyDescent="0.2">
      <c r="A192" t="s">
        <v>902</v>
      </c>
      <c r="B192" t="s">
        <v>903</v>
      </c>
      <c r="C192" t="s">
        <v>25</v>
      </c>
      <c r="D192" t="s">
        <v>905</v>
      </c>
      <c r="E192" t="str">
        <f>HYPERLINK("/pdf/2023_10.1109_cscloud-edgecom58631.2023.00043_Federated_Learning-Based_Intrusion_Detection_System_for_IoT_Environments_with_Locally_Adapted_Model.pdf","open")</f>
        <v>open</v>
      </c>
      <c r="F192" t="s">
        <v>1609</v>
      </c>
      <c r="G192" t="s">
        <v>1609</v>
      </c>
      <c r="H192" t="s">
        <v>1609</v>
      </c>
      <c r="I192" t="s">
        <v>1604</v>
      </c>
      <c r="J192" t="s">
        <v>1604</v>
      </c>
      <c r="K192" t="s">
        <v>15</v>
      </c>
      <c r="L192" t="s">
        <v>3823</v>
      </c>
    </row>
    <row r="193" spans="1:12" x14ac:dyDescent="0.2">
      <c r="A193" t="s">
        <v>907</v>
      </c>
      <c r="B193" t="s">
        <v>908</v>
      </c>
      <c r="C193" t="s">
        <v>60</v>
      </c>
      <c r="D193" t="s">
        <v>910</v>
      </c>
      <c r="E193" t="str">
        <f>HYPERLINK("/pdf/2024_10.1109_ict4da62874.2024.10777078_Long_Short-Term_Memory_and_Synthetic_Minority_Over_Sampling_Technique-Based_Network_Traffic_Classification.pdf","open")</f>
        <v>open</v>
      </c>
      <c r="F193" t="s">
        <v>1604</v>
      </c>
      <c r="G193" t="s">
        <v>1609</v>
      </c>
      <c r="H193" t="s">
        <v>1609</v>
      </c>
      <c r="I193" t="s">
        <v>1609</v>
      </c>
      <c r="J193" t="s">
        <v>1604</v>
      </c>
      <c r="K193" t="s">
        <v>15</v>
      </c>
      <c r="L193" t="s">
        <v>3824</v>
      </c>
    </row>
    <row r="194" spans="1:12" x14ac:dyDescent="0.2">
      <c r="A194" t="s">
        <v>912</v>
      </c>
      <c r="B194" t="s">
        <v>913</v>
      </c>
      <c r="C194" t="s">
        <v>25</v>
      </c>
      <c r="D194" t="s">
        <v>912</v>
      </c>
      <c r="E194" t="str">
        <f>HYPERLINK("/pdf/2023_10.1109_cosite60233.2023.10249650_Evaluation_of_CyPACH__A_Cyber_Privacy_Advisor_Chatbot.pdf","open")</f>
        <v>open</v>
      </c>
      <c r="F194" t="s">
        <v>1054</v>
      </c>
      <c r="G194" t="s">
        <v>1054</v>
      </c>
      <c r="H194" t="s">
        <v>1054</v>
      </c>
      <c r="I194" t="s">
        <v>1054</v>
      </c>
      <c r="J194" t="s">
        <v>1054</v>
      </c>
      <c r="K194" t="s">
        <v>1054</v>
      </c>
      <c r="L194" t="s">
        <v>3825</v>
      </c>
    </row>
    <row r="195" spans="1:12" x14ac:dyDescent="0.2">
      <c r="B195" t="s">
        <v>916</v>
      </c>
      <c r="C195" t="s">
        <v>100</v>
      </c>
      <c r="D195" t="s">
        <v>918</v>
      </c>
      <c r="E195" t="str">
        <f>HYPERLINK("/pdf/2022_10.1109_ipsn54338.2022.00055_Demo_Abstract__A_Distributed_Power_Side-channel_Auditing_System_for_Online_loT_Intrusion_Detection.pdf","open")</f>
        <v>open</v>
      </c>
      <c r="F195" t="s">
        <v>1054</v>
      </c>
      <c r="G195" t="s">
        <v>1054</v>
      </c>
      <c r="H195" t="s">
        <v>1054</v>
      </c>
      <c r="I195" t="s">
        <v>1054</v>
      </c>
      <c r="J195" t="s">
        <v>1054</v>
      </c>
      <c r="K195" t="s">
        <v>15</v>
      </c>
      <c r="L195" t="s">
        <v>3826</v>
      </c>
    </row>
    <row r="196" spans="1:12" x14ac:dyDescent="0.2">
      <c r="A196" t="s">
        <v>920</v>
      </c>
      <c r="B196" t="s">
        <v>921</v>
      </c>
      <c r="C196" t="s">
        <v>60</v>
      </c>
      <c r="D196" t="s">
        <v>923</v>
      </c>
      <c r="E196" t="str">
        <f>HYPERLINK("/pdf/2024_10.1016_j.prime.2024.100590_An_empirical_assessment_of_ML_models_for_5G_network_intrusion_detection__A_data_leakage-free_approach.pdf","open")</f>
        <v>open</v>
      </c>
      <c r="F196" t="s">
        <v>1604</v>
      </c>
      <c r="G196" t="s">
        <v>1609</v>
      </c>
      <c r="H196" t="s">
        <v>1054</v>
      </c>
      <c r="I196" t="s">
        <v>1604</v>
      </c>
      <c r="J196" t="s">
        <v>1609</v>
      </c>
      <c r="K196" t="s">
        <v>15</v>
      </c>
      <c r="L196" t="s">
        <v>3827</v>
      </c>
    </row>
    <row r="197" spans="1:12" x14ac:dyDescent="0.2">
      <c r="A197" t="s">
        <v>925</v>
      </c>
      <c r="B197" t="s">
        <v>926</v>
      </c>
      <c r="C197" t="s">
        <v>268</v>
      </c>
      <c r="D197" t="s">
        <v>148</v>
      </c>
      <c r="E197" t="str">
        <f>HYPERLINK("/pdf/2010_10_14778_1920841_1920849_building_disclosure_risk_aware_query_optimizers_for_relational_databases.pdf","open")</f>
        <v>open</v>
      </c>
      <c r="F197" t="s">
        <v>1054</v>
      </c>
      <c r="G197" t="s">
        <v>1054</v>
      </c>
      <c r="H197" t="s">
        <v>1054</v>
      </c>
      <c r="I197" t="s">
        <v>1054</v>
      </c>
      <c r="J197" t="s">
        <v>1054</v>
      </c>
      <c r="K197" t="s">
        <v>1054</v>
      </c>
      <c r="L197" t="s">
        <v>3828</v>
      </c>
    </row>
    <row r="198" spans="1:12" x14ac:dyDescent="0.2">
      <c r="A198" t="s">
        <v>929</v>
      </c>
      <c r="B198" t="s">
        <v>930</v>
      </c>
      <c r="C198" t="s">
        <v>48</v>
      </c>
      <c r="D198" t="s">
        <v>929</v>
      </c>
      <c r="E198" t="str">
        <f>HYPERLINK("/pdf/2026_10.1109_tcss.2025.3642006_A_Verifiable_Federated_Learning_Mechanism_for_Digital_Museum_Collection_Based_on_Homomorphic_Proxy_Re-Authenti.pdf","open")</f>
        <v>open</v>
      </c>
      <c r="F198" t="s">
        <v>1054</v>
      </c>
      <c r="G198" t="s">
        <v>1054</v>
      </c>
      <c r="H198" t="s">
        <v>1054</v>
      </c>
      <c r="I198" t="s">
        <v>1604</v>
      </c>
      <c r="J198" t="s">
        <v>1054</v>
      </c>
      <c r="K198" t="s">
        <v>15</v>
      </c>
      <c r="L198" t="s">
        <v>3829</v>
      </c>
    </row>
    <row r="199" spans="1:12" x14ac:dyDescent="0.2">
      <c r="A199" t="s">
        <v>933</v>
      </c>
      <c r="B199" t="s">
        <v>934</v>
      </c>
      <c r="C199" t="s">
        <v>19</v>
      </c>
      <c r="D199" t="s">
        <v>936</v>
      </c>
      <c r="E199" t="str">
        <f>HYPERLINK("/pdf/2025_10.1007_s11227-025-07116-x_GDT-IDS__graph-based_decision_tree_intrusion_detection_system_for_controller_area_network.pdf.pdf","open")</f>
        <v>open</v>
      </c>
      <c r="F199" t="s">
        <v>1609</v>
      </c>
      <c r="G199" t="s">
        <v>1609</v>
      </c>
      <c r="H199" t="s">
        <v>1609</v>
      </c>
      <c r="I199" t="s">
        <v>1604</v>
      </c>
      <c r="J199" t="s">
        <v>1604</v>
      </c>
      <c r="K199" t="s">
        <v>15</v>
      </c>
      <c r="L199" t="s">
        <v>3830</v>
      </c>
    </row>
    <row r="200" spans="1:12" x14ac:dyDescent="0.2">
      <c r="A200" t="s">
        <v>938</v>
      </c>
      <c r="B200" t="s">
        <v>939</v>
      </c>
      <c r="C200" t="s">
        <v>940</v>
      </c>
      <c r="D200" t="s">
        <v>148</v>
      </c>
      <c r="E200" t="str">
        <f>HYPERLINK("/pdf/2011_Towards_next-generation_intrusion_detection.pdf","open")</f>
        <v>open</v>
      </c>
      <c r="F200" t="s">
        <v>1054</v>
      </c>
      <c r="G200" t="s">
        <v>1054</v>
      </c>
      <c r="H200" t="s">
        <v>1054</v>
      </c>
      <c r="I200" t="s">
        <v>1054</v>
      </c>
      <c r="J200" t="s">
        <v>1054</v>
      </c>
      <c r="K200" t="s">
        <v>15</v>
      </c>
      <c r="L200" t="s">
        <v>3831</v>
      </c>
    </row>
    <row r="201" spans="1:12" x14ac:dyDescent="0.2">
      <c r="A201" t="s">
        <v>943</v>
      </c>
      <c r="B201" t="s">
        <v>944</v>
      </c>
      <c r="C201" t="s">
        <v>100</v>
      </c>
      <c r="D201" t="s">
        <v>946</v>
      </c>
      <c r="E201" t="str">
        <f>HYPERLINK("/pdf/2022_10.1109_tce.2021.3129155_Fortified-NoC__A_Robust_Approach_for_Trojan-Resilient_Network-on-Chips_to_Fortify_Multicore-Based_Consumer_Ele.pdf","open")</f>
        <v>open</v>
      </c>
      <c r="F201" t="s">
        <v>1054</v>
      </c>
      <c r="G201" t="s">
        <v>1054</v>
      </c>
      <c r="H201" t="s">
        <v>1054</v>
      </c>
      <c r="I201" t="s">
        <v>1054</v>
      </c>
      <c r="J201" t="s">
        <v>1054</v>
      </c>
      <c r="K201" t="s">
        <v>15</v>
      </c>
      <c r="L201" t="s">
        <v>3832</v>
      </c>
    </row>
    <row r="202" spans="1:12" x14ac:dyDescent="0.2">
      <c r="A202" t="s">
        <v>948</v>
      </c>
      <c r="B202" t="s">
        <v>949</v>
      </c>
      <c r="C202" t="s">
        <v>363</v>
      </c>
      <c r="D202" t="s">
        <v>951</v>
      </c>
      <c r="E202" t="str">
        <f>HYPERLINK("/pdf/2016_10.1145_2897073.2897077_Cognitive_mobile_security.pdf","open")</f>
        <v>open</v>
      </c>
      <c r="F202" t="s">
        <v>1054</v>
      </c>
      <c r="G202" t="s">
        <v>1054</v>
      </c>
      <c r="H202" t="s">
        <v>1054</v>
      </c>
      <c r="I202" t="s">
        <v>1054</v>
      </c>
      <c r="J202" t="s">
        <v>1054</v>
      </c>
      <c r="K202" t="s">
        <v>15</v>
      </c>
      <c r="L202" t="s">
        <v>3833</v>
      </c>
    </row>
    <row r="203" spans="1:12" x14ac:dyDescent="0.2">
      <c r="A203" t="s">
        <v>953</v>
      </c>
      <c r="B203" t="s">
        <v>954</v>
      </c>
      <c r="C203" t="s">
        <v>19</v>
      </c>
      <c r="D203" t="s">
        <v>956</v>
      </c>
      <c r="E203" t="str">
        <f>HYPERLINK("/pdf/2025_10.1109_icoa66896.2025.11236897_Federated_Learning_for_Privacy-Preserving_Intrusion_Detection_in_IoT_using_Edge_and_Cloud_Infrastructure.pdf","open")</f>
        <v>open</v>
      </c>
      <c r="F203" t="s">
        <v>1609</v>
      </c>
      <c r="G203" t="s">
        <v>1609</v>
      </c>
      <c r="H203" t="s">
        <v>1609</v>
      </c>
      <c r="I203" t="s">
        <v>1609</v>
      </c>
      <c r="J203" t="s">
        <v>1609</v>
      </c>
      <c r="K203" t="s">
        <v>15</v>
      </c>
      <c r="L203" t="s">
        <v>3834</v>
      </c>
    </row>
    <row r="204" spans="1:12" x14ac:dyDescent="0.2">
      <c r="A204" t="s">
        <v>959</v>
      </c>
      <c r="B204" t="s">
        <v>960</v>
      </c>
      <c r="C204" t="s">
        <v>12</v>
      </c>
      <c r="D204" t="s">
        <v>962</v>
      </c>
      <c r="E204" t="str">
        <f>HYPERLINK("/pdf/2018_10.1109_qrs.2018.00029_Hypervisor-based_sensitive_data_leakage_detector.pdf","open")</f>
        <v>open</v>
      </c>
      <c r="F204" t="s">
        <v>1054</v>
      </c>
      <c r="G204" t="s">
        <v>1054</v>
      </c>
      <c r="H204" t="s">
        <v>1054</v>
      </c>
      <c r="I204" t="s">
        <v>1054</v>
      </c>
      <c r="J204" t="s">
        <v>1054</v>
      </c>
      <c r="K204" t="s">
        <v>15</v>
      </c>
      <c r="L204" t="s">
        <v>3835</v>
      </c>
    </row>
    <row r="205" spans="1:12" x14ac:dyDescent="0.2">
      <c r="A205" t="s">
        <v>964</v>
      </c>
      <c r="B205" t="s">
        <v>965</v>
      </c>
      <c r="C205" t="s">
        <v>100</v>
      </c>
      <c r="D205" t="s">
        <v>148</v>
      </c>
      <c r="E205" t="str">
        <f>HYPERLINK("/pdf/2022_Data_Leakage_Detection_in_Cloud_Computing_Environment_Using_Classification_Based_on_Deep_Learning_Architecture.pdf","open")</f>
        <v>open</v>
      </c>
      <c r="F205" t="s">
        <v>1609</v>
      </c>
      <c r="G205" t="s">
        <v>1054</v>
      </c>
      <c r="H205" t="s">
        <v>1054</v>
      </c>
      <c r="I205" t="s">
        <v>1609</v>
      </c>
      <c r="J205" t="s">
        <v>1609</v>
      </c>
      <c r="K205" t="s">
        <v>15</v>
      </c>
      <c r="L205" t="s">
        <v>3836</v>
      </c>
    </row>
    <row r="206" spans="1:12" x14ac:dyDescent="0.2">
      <c r="A206" t="s">
        <v>968</v>
      </c>
      <c r="B206" t="s">
        <v>969</v>
      </c>
      <c r="C206" t="s">
        <v>25</v>
      </c>
      <c r="D206" t="s">
        <v>971</v>
      </c>
      <c r="E206" t="str">
        <f>HYPERLINK("/pdf/2023_10.1109_smc53992.2023.10393972_A_New_Federated_Learning_Model_for_Host_Intrusion_Detection_System_Under_Non-IID_Data.pdf","open")</f>
        <v>open</v>
      </c>
      <c r="F206" t="s">
        <v>1609</v>
      </c>
      <c r="G206" t="s">
        <v>1609</v>
      </c>
      <c r="H206" t="s">
        <v>1609</v>
      </c>
      <c r="I206" t="s">
        <v>1604</v>
      </c>
      <c r="J206" t="s">
        <v>1604</v>
      </c>
      <c r="K206" t="s">
        <v>15</v>
      </c>
      <c r="L206" t="s">
        <v>3837</v>
      </c>
    </row>
    <row r="207" spans="1:12" x14ac:dyDescent="0.2">
      <c r="A207" t="s">
        <v>973</v>
      </c>
      <c r="B207" t="s">
        <v>974</v>
      </c>
      <c r="C207" t="s">
        <v>598</v>
      </c>
      <c r="D207" t="s">
        <v>976</v>
      </c>
      <c r="E207" t="str">
        <f>HYPERLINK("/pdf/2012_10.1109_eidwt.2012.43_A_proposed_framework_for_the_active_detection_of_security_vulnerabilities_in_multi-tenancy_cloud_systems.pdf","open")</f>
        <v>open</v>
      </c>
      <c r="F207" t="s">
        <v>1054</v>
      </c>
      <c r="G207" t="s">
        <v>1054</v>
      </c>
      <c r="H207" t="s">
        <v>1054</v>
      </c>
      <c r="I207" t="s">
        <v>1054</v>
      </c>
      <c r="J207" t="s">
        <v>1054</v>
      </c>
      <c r="K207" t="s">
        <v>15</v>
      </c>
      <c r="L207" t="s">
        <v>3838</v>
      </c>
    </row>
    <row r="208" spans="1:12" x14ac:dyDescent="0.2">
      <c r="A208" t="s">
        <v>978</v>
      </c>
      <c r="B208" t="s">
        <v>979</v>
      </c>
      <c r="C208" t="s">
        <v>12</v>
      </c>
      <c r="D208" t="s">
        <v>148</v>
      </c>
      <c r="E208" t="str">
        <f>HYPERLINK("/pdf/2021_10_1109_tcc_2019_2905605_a_game_theoretic_framework_for_the_virtual_machines_migration_timing_problem.pdf","open")</f>
        <v>open</v>
      </c>
      <c r="F208" t="s">
        <v>1054</v>
      </c>
      <c r="G208" t="s">
        <v>1054</v>
      </c>
      <c r="H208" t="s">
        <v>1054</v>
      </c>
      <c r="I208" t="s">
        <v>1054</v>
      </c>
      <c r="J208" t="s">
        <v>1054</v>
      </c>
      <c r="K208" t="s">
        <v>15</v>
      </c>
      <c r="L208" t="s">
        <v>3839</v>
      </c>
    </row>
    <row r="209" spans="1:12" x14ac:dyDescent="0.2">
      <c r="A209" t="s">
        <v>981</v>
      </c>
      <c r="B209" t="s">
        <v>982</v>
      </c>
      <c r="C209" t="s">
        <v>19</v>
      </c>
      <c r="D209" t="s">
        <v>984</v>
      </c>
      <c r="E209" t="str">
        <f>HYPERLINK("/pdf/2025_10_3390_jcp5040092_hashing_in_the_fight_against_csam_technology_at_the_crossroads_of_law_and_ethics.pdf","open")</f>
        <v>open</v>
      </c>
      <c r="F209" t="s">
        <v>1054</v>
      </c>
      <c r="G209" t="s">
        <v>1054</v>
      </c>
      <c r="H209" t="s">
        <v>1054</v>
      </c>
      <c r="I209" t="s">
        <v>1054</v>
      </c>
      <c r="J209" t="s">
        <v>1054</v>
      </c>
      <c r="K209" t="s">
        <v>1054</v>
      </c>
      <c r="L209" t="s">
        <v>3840</v>
      </c>
    </row>
    <row r="210" spans="1:12" x14ac:dyDescent="0.2">
      <c r="A210" t="s">
        <v>986</v>
      </c>
      <c r="B210" t="s">
        <v>319</v>
      </c>
      <c r="C210" t="s">
        <v>25</v>
      </c>
      <c r="D210" t="s">
        <v>321</v>
      </c>
      <c r="E210" t="str">
        <f>HYPERLINK("/pdf/2023_10_1007_s40747_021_00456_0_deep_learning_framework_for_handling_concept_drift_and_class_imbalanced_complex.pdf","open")</f>
        <v>open</v>
      </c>
      <c r="F210" t="s">
        <v>1609</v>
      </c>
      <c r="G210" t="s">
        <v>1609</v>
      </c>
      <c r="H210" t="s">
        <v>1054</v>
      </c>
      <c r="I210" t="s">
        <v>1604</v>
      </c>
      <c r="J210" t="s">
        <v>1604</v>
      </c>
      <c r="K210" t="s">
        <v>15</v>
      </c>
      <c r="L210" t="s">
        <v>3841</v>
      </c>
    </row>
    <row r="211" spans="1:12" x14ac:dyDescent="0.2">
      <c r="A211" t="s">
        <v>988</v>
      </c>
      <c r="B211" t="s">
        <v>989</v>
      </c>
      <c r="C211" t="s">
        <v>60</v>
      </c>
      <c r="D211" t="s">
        <v>990</v>
      </c>
      <c r="E211" t="str">
        <f>HYPERLINK("/pdf/2024_10.1109_sces61914.2024.10652285_Detecting_Deceptive_URLs__Exploring_Logistic_Regression_and_Decision_Tree_Models.pdf","open")</f>
        <v>open</v>
      </c>
      <c r="F211" t="s">
        <v>1604</v>
      </c>
      <c r="G211" t="s">
        <v>1609</v>
      </c>
      <c r="H211" t="s">
        <v>1054</v>
      </c>
      <c r="I211" t="s">
        <v>1609</v>
      </c>
      <c r="J211" t="s">
        <v>1609</v>
      </c>
      <c r="K211" t="s">
        <v>15</v>
      </c>
      <c r="L211" t="s">
        <v>3842</v>
      </c>
    </row>
    <row r="212" spans="1:12" x14ac:dyDescent="0.2">
      <c r="A212" t="s">
        <v>992</v>
      </c>
      <c r="B212" t="s">
        <v>993</v>
      </c>
      <c r="C212" t="s">
        <v>60</v>
      </c>
      <c r="D212" t="s">
        <v>994</v>
      </c>
      <c r="E212" t="str">
        <f>HYPERLINK("/pdf/2025_10.1007_s11042-024-19916-z_Towards_robust_and_efficient_intrusion_detection_in_IoMT__a_deep_learning_approach_addressing_data_leakage_and.pdf","open")</f>
        <v>open</v>
      </c>
      <c r="F212" t="s">
        <v>1604</v>
      </c>
      <c r="G212" t="s">
        <v>1609</v>
      </c>
      <c r="H212" t="s">
        <v>1054</v>
      </c>
      <c r="I212" t="s">
        <v>1604</v>
      </c>
      <c r="J212" t="s">
        <v>1604</v>
      </c>
      <c r="K212" t="s">
        <v>15</v>
      </c>
      <c r="L212" t="s">
        <v>3843</v>
      </c>
    </row>
    <row r="213" spans="1:12" x14ac:dyDescent="0.2">
      <c r="A213" t="s">
        <v>996</v>
      </c>
      <c r="B213" t="s">
        <v>603</v>
      </c>
      <c r="C213" t="s">
        <v>19</v>
      </c>
      <c r="D213" t="s">
        <v>605</v>
      </c>
      <c r="E213" t="str">
        <f>HYPERLINK("/pdf/2025_10_1007_s43926_025_00185_7_a_feature_level_ensemble_machine_learning_approach_for_attack_detection_in_iot_n.pdf","open")</f>
        <v>open</v>
      </c>
      <c r="F213" t="s">
        <v>1054</v>
      </c>
      <c r="G213" t="s">
        <v>1054</v>
      </c>
      <c r="H213" t="s">
        <v>1054</v>
      </c>
      <c r="I213" t="s">
        <v>1604</v>
      </c>
      <c r="J213" t="s">
        <v>1054</v>
      </c>
      <c r="K213" t="s">
        <v>15</v>
      </c>
      <c r="L213" t="s">
        <v>3844</v>
      </c>
    </row>
    <row r="214" spans="1:12" x14ac:dyDescent="0.2">
      <c r="A214" t="s">
        <v>998</v>
      </c>
      <c r="B214" t="s">
        <v>999</v>
      </c>
      <c r="C214" t="s">
        <v>19</v>
      </c>
      <c r="D214" t="s">
        <v>1000</v>
      </c>
      <c r="E214" t="str">
        <f>HYPERLINK("/pdf/2025_10_1038_s41598_025_89794_4_revolutionary_hybrid_ensembled_deep_learning_model_for_accurate_and_robust_side.pdf","open")</f>
        <v>open</v>
      </c>
      <c r="F214" t="s">
        <v>1604</v>
      </c>
      <c r="G214" t="s">
        <v>1609</v>
      </c>
      <c r="H214" t="s">
        <v>1609</v>
      </c>
      <c r="I214" t="s">
        <v>1604</v>
      </c>
      <c r="J214" t="s">
        <v>1609</v>
      </c>
      <c r="K214" t="s">
        <v>15</v>
      </c>
      <c r="L214" t="s">
        <v>3845</v>
      </c>
    </row>
    <row r="215" spans="1:12" x14ac:dyDescent="0.2">
      <c r="A215" t="s">
        <v>1002</v>
      </c>
      <c r="B215" t="s">
        <v>1003</v>
      </c>
      <c r="C215" t="s">
        <v>25</v>
      </c>
      <c r="D215" t="s">
        <v>1005</v>
      </c>
      <c r="E215" t="str">
        <f>HYPERLINK("/pdf/2023_10.1109_taes.2023.3306336_ADS-Bchain__A_Blockchain-Based_Trusted_Service_Scheme_for_Automatic_Dependent_Surveillance_Broadcast.pdf","open")</f>
        <v>open</v>
      </c>
      <c r="F215" t="s">
        <v>1054</v>
      </c>
      <c r="G215" t="s">
        <v>1054</v>
      </c>
      <c r="H215" t="s">
        <v>1054</v>
      </c>
      <c r="I215" t="s">
        <v>1054</v>
      </c>
      <c r="J215" t="s">
        <v>1054</v>
      </c>
      <c r="K215" t="s">
        <v>15</v>
      </c>
      <c r="L215" t="s">
        <v>3846</v>
      </c>
    </row>
    <row r="216" spans="1:12" x14ac:dyDescent="0.2">
      <c r="A216" t="s">
        <v>1007</v>
      </c>
      <c r="B216" t="s">
        <v>1008</v>
      </c>
      <c r="C216" t="s">
        <v>19</v>
      </c>
      <c r="D216" t="s">
        <v>1007</v>
      </c>
      <c r="E216" t="str">
        <f>HYPERLINK("/pdf/2025_10.1109_iciccs65191.2025.10984995_SDN_based_Firewall_with_Real_Time_Policy_Updates.pdf","open")</f>
        <v>open</v>
      </c>
      <c r="F216" t="s">
        <v>1609</v>
      </c>
      <c r="G216" t="s">
        <v>1609</v>
      </c>
      <c r="H216" t="s">
        <v>1609</v>
      </c>
      <c r="I216" t="s">
        <v>1609</v>
      </c>
      <c r="J216" t="s">
        <v>1609</v>
      </c>
      <c r="K216" t="s">
        <v>15</v>
      </c>
      <c r="L216" t="s">
        <v>3847</v>
      </c>
    </row>
    <row r="217" spans="1:12" x14ac:dyDescent="0.2">
      <c r="A217" t="s">
        <v>1011</v>
      </c>
      <c r="B217" t="s">
        <v>1012</v>
      </c>
      <c r="C217" t="s">
        <v>25</v>
      </c>
      <c r="D217" t="s">
        <v>1014</v>
      </c>
      <c r="E217" t="str">
        <f>HYPERLINK("/pdf/2023_10_3390_app13031977_ai_assisted_security_alert_data_analysis_with_imbalanced_learning_methods.pdf","open")</f>
        <v>open</v>
      </c>
      <c r="F217" t="s">
        <v>1609</v>
      </c>
      <c r="G217" t="s">
        <v>1609</v>
      </c>
      <c r="H217" t="s">
        <v>1609</v>
      </c>
      <c r="I217" t="s">
        <v>1604</v>
      </c>
      <c r="J217" t="s">
        <v>1604</v>
      </c>
      <c r="K217" t="s">
        <v>15</v>
      </c>
      <c r="L217" t="s">
        <v>3848</v>
      </c>
    </row>
    <row r="218" spans="1:12" x14ac:dyDescent="0.2">
      <c r="A218" t="s">
        <v>1016</v>
      </c>
      <c r="B218" t="s">
        <v>1017</v>
      </c>
      <c r="C218" t="s">
        <v>215</v>
      </c>
      <c r="D218" t="s">
        <v>1019</v>
      </c>
      <c r="E218" t="str">
        <f>HYPERLINK("/pdf/2014_10.1145_2656434.2656448_Analysis_of_mobile_malware_based_on_user_awareness.pdf","open")</f>
        <v>open</v>
      </c>
      <c r="F218" t="s">
        <v>1054</v>
      </c>
      <c r="G218" t="s">
        <v>1054</v>
      </c>
      <c r="H218" t="s">
        <v>1054</v>
      </c>
      <c r="I218" t="s">
        <v>1054</v>
      </c>
      <c r="J218" t="s">
        <v>1054</v>
      </c>
      <c r="K218" t="s">
        <v>15</v>
      </c>
      <c r="L218" t="s">
        <v>3849</v>
      </c>
    </row>
    <row r="219" spans="1:12" x14ac:dyDescent="0.2">
      <c r="A219" t="s">
        <v>1021</v>
      </c>
      <c r="B219" t="s">
        <v>1022</v>
      </c>
      <c r="C219" t="s">
        <v>12</v>
      </c>
      <c r="D219" t="s">
        <v>1024</v>
      </c>
      <c r="E219" t="str">
        <f>HYPERLINK("/pdf/2018_10_1109_noms_2018_8406122_synaptic_a_formal_checker_for_sdn_based_security_policies.pdf","open")</f>
        <v>open</v>
      </c>
      <c r="F219" t="s">
        <v>1054</v>
      </c>
      <c r="G219" t="s">
        <v>1054</v>
      </c>
      <c r="H219" t="s">
        <v>1054</v>
      </c>
      <c r="I219" t="s">
        <v>1054</v>
      </c>
      <c r="J219" t="s">
        <v>1054</v>
      </c>
      <c r="K219" t="s">
        <v>15</v>
      </c>
      <c r="L219" t="s">
        <v>3850</v>
      </c>
    </row>
    <row r="220" spans="1:12" x14ac:dyDescent="0.2">
      <c r="A220" t="s">
        <v>1026</v>
      </c>
      <c r="B220" t="s">
        <v>1027</v>
      </c>
      <c r="C220" t="s">
        <v>136</v>
      </c>
      <c r="D220" t="s">
        <v>148</v>
      </c>
      <c r="E220" t="str">
        <f>HYPERLINK("/pdf/2019_Automated_factorization_of_security_chains_in_software-defined_networks.pdf","open")</f>
        <v>open</v>
      </c>
      <c r="F220" t="s">
        <v>1054</v>
      </c>
      <c r="G220" t="s">
        <v>1604</v>
      </c>
      <c r="H220" t="s">
        <v>1054</v>
      </c>
      <c r="I220" t="s">
        <v>1604</v>
      </c>
      <c r="J220" t="s">
        <v>1609</v>
      </c>
      <c r="K220" t="s">
        <v>15</v>
      </c>
      <c r="L220" t="s">
        <v>3851</v>
      </c>
    </row>
    <row r="221" spans="1:12" x14ac:dyDescent="0.2">
      <c r="A221" t="s">
        <v>1030</v>
      </c>
      <c r="B221" t="s">
        <v>1031</v>
      </c>
      <c r="C221" t="s">
        <v>100</v>
      </c>
      <c r="D221" t="s">
        <v>148</v>
      </c>
      <c r="E221" t="str">
        <f>HYPERLINK("/pdf/2023_10_1109_icc45041_2023_10278951_a_lightweight_moving_target_defense_framework_for_multi_purpose_malware_affecting_iot_devi.pdf","open")</f>
        <v>open</v>
      </c>
      <c r="F221" t="s">
        <v>1609</v>
      </c>
      <c r="G221" t="s">
        <v>1609</v>
      </c>
      <c r="H221" t="s">
        <v>1609</v>
      </c>
      <c r="I221" t="s">
        <v>1604</v>
      </c>
      <c r="J221" t="s">
        <v>1604</v>
      </c>
      <c r="K221" t="s">
        <v>15</v>
      </c>
      <c r="L221" t="s">
        <v>3852</v>
      </c>
    </row>
    <row r="222" spans="1:12" x14ac:dyDescent="0.2">
      <c r="A222" t="s">
        <v>1033</v>
      </c>
      <c r="B222" t="s">
        <v>1034</v>
      </c>
      <c r="C222" t="s">
        <v>100</v>
      </c>
      <c r="D222" t="s">
        <v>1036</v>
      </c>
      <c r="E222" t="str">
        <f>HYPERLINK("/pdf/2022_10.1016_j.knosys.2022.109557_A_FKPCA-GWO_WDBiLSTM_classifier_for_intrusion_detection_system_in_cloud_environments.pdf","open")</f>
        <v>open</v>
      </c>
      <c r="F222" t="s">
        <v>1609</v>
      </c>
      <c r="G222" t="s">
        <v>1609</v>
      </c>
      <c r="H222" t="s">
        <v>1609</v>
      </c>
      <c r="I222" t="s">
        <v>1604</v>
      </c>
      <c r="J222" t="s">
        <v>1609</v>
      </c>
      <c r="K222" t="s">
        <v>15</v>
      </c>
      <c r="L222" t="s">
        <v>3853</v>
      </c>
    </row>
    <row r="223" spans="1:12" x14ac:dyDescent="0.2">
      <c r="A223" t="s">
        <v>1038</v>
      </c>
      <c r="B223" t="s">
        <v>1039</v>
      </c>
      <c r="C223" t="s">
        <v>268</v>
      </c>
      <c r="D223" t="s">
        <v>148</v>
      </c>
      <c r="E223" t="str">
        <f>HYPERLINK("/pdf/2010_10.1109_glocom.2010.5683165_Skip_finite_automaton__A_content_scanning_engine_to_secure_enterprise_networks.pdf","open")</f>
        <v>open</v>
      </c>
      <c r="F223" t="s">
        <v>1054</v>
      </c>
      <c r="G223" t="s">
        <v>1054</v>
      </c>
      <c r="H223" t="s">
        <v>1054</v>
      </c>
      <c r="I223" t="s">
        <v>1054</v>
      </c>
      <c r="J223" t="s">
        <v>1054</v>
      </c>
      <c r="K223" t="s">
        <v>15</v>
      </c>
      <c r="L223" t="s">
        <v>3854</v>
      </c>
    </row>
    <row r="224" spans="1:12" x14ac:dyDescent="0.2">
      <c r="A224" t="s">
        <v>1042</v>
      </c>
      <c r="B224" t="s">
        <v>1043</v>
      </c>
      <c r="C224" t="s">
        <v>210</v>
      </c>
      <c r="D224" t="s">
        <v>148</v>
      </c>
      <c r="E224" t="str">
        <f>HYPERLINK("/pdf/2016_10.1007_978-981-10-0557-2_68_Android_security_analysis_based_on_inter-application_relationships.pdf","open")</f>
        <v>open</v>
      </c>
      <c r="F224" t="s">
        <v>1054</v>
      </c>
      <c r="G224" t="s">
        <v>1054</v>
      </c>
      <c r="H224" t="s">
        <v>1054</v>
      </c>
      <c r="I224" t="s">
        <v>1054</v>
      </c>
      <c r="J224" t="s">
        <v>1054</v>
      </c>
      <c r="K224" t="s">
        <v>15</v>
      </c>
      <c r="L224" t="s">
        <v>3855</v>
      </c>
    </row>
    <row r="225" spans="1:12" x14ac:dyDescent="0.2">
      <c r="A225" t="s">
        <v>1046</v>
      </c>
      <c r="B225" t="s">
        <v>1047</v>
      </c>
      <c r="C225" t="s">
        <v>25</v>
      </c>
      <c r="D225" t="s">
        <v>148</v>
      </c>
      <c r="E225" t="str">
        <f>HYPERLINK("/pdf/2023_10_1109_lanman58293_2023_10189424_federated_learning_based_vehicle_trajectory_prediction_against_cyberattacks.pdf","open")</f>
        <v>open</v>
      </c>
      <c r="F225" t="s">
        <v>1054</v>
      </c>
      <c r="G225" t="s">
        <v>1054</v>
      </c>
      <c r="H225" t="s">
        <v>1054</v>
      </c>
      <c r="I225" t="s">
        <v>1054</v>
      </c>
      <c r="J225" t="s">
        <v>1054</v>
      </c>
      <c r="K225" t="s">
        <v>15</v>
      </c>
      <c r="L225" t="s">
        <v>3856</v>
      </c>
    </row>
    <row r="226" spans="1:12" x14ac:dyDescent="0.2">
      <c r="B226" t="s">
        <v>1050</v>
      </c>
      <c r="C226" t="s">
        <v>100</v>
      </c>
      <c r="D226" t="s">
        <v>1052</v>
      </c>
      <c r="E226" t="str">
        <f>HYPERLINK("/pdf/2022_10.1109_iccci55554.2022.9850265_Analyzing_SocialArks_Data_Leak_-_A_Brute_Force_Web_Login_Attack.pdf","open")</f>
        <v>open</v>
      </c>
      <c r="F226" t="s">
        <v>1054</v>
      </c>
      <c r="G226" t="s">
        <v>1054</v>
      </c>
      <c r="H226" t="s">
        <v>1054</v>
      </c>
      <c r="I226" t="s">
        <v>1054</v>
      </c>
      <c r="J226" t="s">
        <v>1054</v>
      </c>
      <c r="K226" t="s">
        <v>1054</v>
      </c>
      <c r="L226" t="s">
        <v>3857</v>
      </c>
    </row>
    <row r="227" spans="1:12" x14ac:dyDescent="0.2">
      <c r="A227" t="s">
        <v>1054</v>
      </c>
      <c r="B227" t="s">
        <v>1055</v>
      </c>
      <c r="C227" t="s">
        <v>148</v>
      </c>
      <c r="D227" t="s">
        <v>148</v>
      </c>
      <c r="E227" t="str">
        <f>HYPERLINK("/pdf/2021_10.1049_icp.2021.2407_Management_Challenges_in_the_Implementation_of_an_Email_Boundary_Control_for_Data_Leakage_Prevention.pdf","open")</f>
        <v>open</v>
      </c>
      <c r="F227" t="s">
        <v>1054</v>
      </c>
      <c r="G227" t="s">
        <v>1054</v>
      </c>
      <c r="H227" t="s">
        <v>1054</v>
      </c>
      <c r="I227" t="s">
        <v>1054</v>
      </c>
      <c r="J227" t="s">
        <v>1054</v>
      </c>
      <c r="K227" t="s">
        <v>1054</v>
      </c>
      <c r="L227" t="s">
        <v>3858</v>
      </c>
    </row>
    <row r="228" spans="1:12" x14ac:dyDescent="0.2">
      <c r="A228" t="s">
        <v>1057</v>
      </c>
      <c r="B228" t="s">
        <v>1058</v>
      </c>
      <c r="C228" t="s">
        <v>19</v>
      </c>
      <c r="D228" t="s">
        <v>1060</v>
      </c>
      <c r="E228" t="str">
        <f>HYPERLINK("/pdf/2025_10.1016_j.eij.2025.100684_Towards_lightweight_model_using_non-local-based_graph_convolution_neural_network_for_SQL_injection_detection.pdf","open")</f>
        <v>open</v>
      </c>
      <c r="F228" t="s">
        <v>1054</v>
      </c>
      <c r="G228" t="s">
        <v>1054</v>
      </c>
      <c r="H228" t="s">
        <v>1054</v>
      </c>
      <c r="I228" t="s">
        <v>1604</v>
      </c>
      <c r="J228" t="s">
        <v>1054</v>
      </c>
      <c r="K228" t="s">
        <v>15</v>
      </c>
      <c r="L228" t="s">
        <v>3859</v>
      </c>
    </row>
    <row r="229" spans="1:12" x14ac:dyDescent="0.2">
      <c r="A229" t="s">
        <v>1062</v>
      </c>
      <c r="B229" t="s">
        <v>1063</v>
      </c>
      <c r="C229" t="s">
        <v>54</v>
      </c>
      <c r="D229" t="s">
        <v>1065</v>
      </c>
      <c r="E229" t="str">
        <f>HYPERLINK("/pdf/2020_10.1109_bigdia51454.2020.00035_Analyzing_network_traffic_for_protocol_identification__An_ensemble_online_active_learning_method.pdf","open")</f>
        <v>open</v>
      </c>
      <c r="F229" t="s">
        <v>1054</v>
      </c>
      <c r="G229" t="s">
        <v>1604</v>
      </c>
      <c r="H229" t="s">
        <v>1054</v>
      </c>
      <c r="I229" t="s">
        <v>1604</v>
      </c>
      <c r="J229" t="s">
        <v>1604</v>
      </c>
      <c r="K229" t="s">
        <v>44</v>
      </c>
      <c r="L229" t="s">
        <v>3860</v>
      </c>
    </row>
    <row r="230" spans="1:12" x14ac:dyDescent="0.2">
      <c r="A230" t="s">
        <v>1067</v>
      </c>
      <c r="B230" t="s">
        <v>1068</v>
      </c>
      <c r="C230" t="s">
        <v>363</v>
      </c>
      <c r="D230" t="s">
        <v>1070</v>
      </c>
      <c r="E230" t="str">
        <f>HYPERLINK("/pdf/2016_10.1145_2995959.2995967_Pragmatic_security__Modelling_it_security_management_responsibilities_for_SME_archetypes.pdf","open")</f>
        <v>open</v>
      </c>
      <c r="F230" t="s">
        <v>1054</v>
      </c>
      <c r="G230" t="s">
        <v>1054</v>
      </c>
      <c r="H230" t="s">
        <v>1054</v>
      </c>
      <c r="I230" t="s">
        <v>1054</v>
      </c>
      <c r="J230" t="s">
        <v>1054</v>
      </c>
      <c r="K230" t="s">
        <v>1054</v>
      </c>
      <c r="L230" t="s">
        <v>3861</v>
      </c>
    </row>
    <row r="231" spans="1:12" x14ac:dyDescent="0.2">
      <c r="A231" t="s">
        <v>538</v>
      </c>
      <c r="B231" t="s">
        <v>536</v>
      </c>
      <c r="C231" t="s">
        <v>25</v>
      </c>
      <c r="D231" t="s">
        <v>538</v>
      </c>
      <c r="E231" t="str">
        <f>HYPERLINK("/pdf/2023_10_32604_cmes_2023_044169_enhancing_healthcare_data_security_and_disease_detection_using_crossover_based_multilayer.pdf","open")</f>
        <v>open</v>
      </c>
      <c r="F231" t="s">
        <v>1054</v>
      </c>
      <c r="G231" t="s">
        <v>1054</v>
      </c>
      <c r="H231" t="s">
        <v>1054</v>
      </c>
      <c r="I231" t="s">
        <v>1604</v>
      </c>
      <c r="J231" t="s">
        <v>1054</v>
      </c>
      <c r="K231" t="s">
        <v>15</v>
      </c>
      <c r="L231" t="s">
        <v>3862</v>
      </c>
    </row>
    <row r="232" spans="1:12" x14ac:dyDescent="0.2">
      <c r="A232" t="s">
        <v>1073</v>
      </c>
      <c r="B232" t="s">
        <v>1074</v>
      </c>
      <c r="C232" t="s">
        <v>210</v>
      </c>
      <c r="D232" t="s">
        <v>148</v>
      </c>
      <c r="E232" t="str">
        <f>HYPERLINK("/pdf/2015_10.1109_icscn.2015.7219827_Complex_Event_Processing_based_Hybrid_Intrusion_Detection_System.pdf","open")</f>
        <v>open</v>
      </c>
      <c r="F232" t="s">
        <v>1609</v>
      </c>
      <c r="G232" t="s">
        <v>1609</v>
      </c>
      <c r="H232" t="s">
        <v>1609</v>
      </c>
      <c r="I232" t="s">
        <v>1609</v>
      </c>
      <c r="J232" t="s">
        <v>1609</v>
      </c>
      <c r="K232" t="s">
        <v>15</v>
      </c>
      <c r="L232" t="s">
        <v>3863</v>
      </c>
    </row>
    <row r="233" spans="1:12" x14ac:dyDescent="0.2">
      <c r="A233" t="s">
        <v>1077</v>
      </c>
      <c r="B233" t="s">
        <v>1078</v>
      </c>
      <c r="C233" t="s">
        <v>190</v>
      </c>
      <c r="D233" t="s">
        <v>1080</v>
      </c>
      <c r="E233" t="str">
        <f>HYPERLINK("/pdf/2017_10.1007_s11277-017-4229-9_The_Vulnerability_Exploitation_Conveying_Digital_Data_Over_Mobile_Voice_Call_Channels.pdf","open")</f>
        <v>open</v>
      </c>
      <c r="F233" t="s">
        <v>1054</v>
      </c>
      <c r="G233" t="s">
        <v>1054</v>
      </c>
      <c r="H233" t="s">
        <v>1054</v>
      </c>
      <c r="I233" t="s">
        <v>1054</v>
      </c>
      <c r="J233" t="s">
        <v>1054</v>
      </c>
      <c r="K233" t="s">
        <v>15</v>
      </c>
      <c r="L233" t="s">
        <v>3864</v>
      </c>
    </row>
    <row r="234" spans="1:12" x14ac:dyDescent="0.2">
      <c r="A234" t="s">
        <v>1082</v>
      </c>
      <c r="B234" t="s">
        <v>1083</v>
      </c>
      <c r="C234" t="s">
        <v>25</v>
      </c>
      <c r="D234" t="s">
        <v>1085</v>
      </c>
      <c r="E234" t="str">
        <f>HYPERLINK("/pdf/2023_10.1109_comsci59259.2023.10315901_Zero-Trust_in_Instant_Messaging.pdf","open")</f>
        <v>open</v>
      </c>
      <c r="F234" t="s">
        <v>1054</v>
      </c>
      <c r="G234" t="s">
        <v>1054</v>
      </c>
      <c r="H234" t="s">
        <v>1054</v>
      </c>
      <c r="I234" t="s">
        <v>1054</v>
      </c>
      <c r="J234" t="s">
        <v>1054</v>
      </c>
      <c r="K234" t="s">
        <v>1054</v>
      </c>
      <c r="L234" t="s">
        <v>3865</v>
      </c>
    </row>
    <row r="235" spans="1:12" x14ac:dyDescent="0.2">
      <c r="A235" t="s">
        <v>1087</v>
      </c>
      <c r="B235" t="s">
        <v>1088</v>
      </c>
      <c r="C235" t="s">
        <v>19</v>
      </c>
      <c r="D235" t="s">
        <v>1087</v>
      </c>
      <c r="E235" t="str">
        <f>HYPERLINK("/pdf/2025_10_11591_ijai_v14_i6_pp4913_4922_comparative_evaluation_of_machine_learning_models_for_intrusion_detection_in_wsns_using_th.pdf","open")</f>
        <v>open</v>
      </c>
      <c r="F235" t="s">
        <v>1604</v>
      </c>
      <c r="G235" t="s">
        <v>1609</v>
      </c>
      <c r="H235" t="s">
        <v>1054</v>
      </c>
      <c r="I235" t="s">
        <v>1604</v>
      </c>
      <c r="J235" t="s">
        <v>1604</v>
      </c>
      <c r="K235" t="s">
        <v>15</v>
      </c>
      <c r="L235" t="s">
        <v>3866</v>
      </c>
    </row>
    <row r="236" spans="1:12" x14ac:dyDescent="0.2">
      <c r="A236" t="s">
        <v>1091</v>
      </c>
      <c r="B236" t="s">
        <v>1092</v>
      </c>
      <c r="C236" t="s">
        <v>60</v>
      </c>
      <c r="D236" t="s">
        <v>1094</v>
      </c>
      <c r="E236" t="str">
        <f>HYPERLINK("/pdf/2025_10.1108_ics-03-2024-0059_Data_breach_announcements__evaluating_the_content_and_timing_of_breach_announcements_and_their_effect_on_firm_.pdf","open")</f>
        <v>open</v>
      </c>
      <c r="F236" t="s">
        <v>1054</v>
      </c>
      <c r="G236" t="s">
        <v>1054</v>
      </c>
      <c r="H236" t="s">
        <v>1054</v>
      </c>
      <c r="I236" t="s">
        <v>1054</v>
      </c>
      <c r="J236" t="s">
        <v>1054</v>
      </c>
      <c r="K236" t="s">
        <v>1054</v>
      </c>
      <c r="L236" t="s">
        <v>3867</v>
      </c>
    </row>
    <row r="237" spans="1:12" x14ac:dyDescent="0.2">
      <c r="A237" t="s">
        <v>1096</v>
      </c>
      <c r="B237" t="s">
        <v>1097</v>
      </c>
      <c r="C237" t="s">
        <v>48</v>
      </c>
      <c r="D237" t="s">
        <v>1099</v>
      </c>
      <c r="E237" t="str">
        <f>HYPERLINK("/pdf/2026_10.1007_s12243-026-01154-z_Intrusion_detection_in_CAN_protocol_using_novel_spatial-temporal_deep_learning_model_for_secure_autonomous_veh.pdf","open")</f>
        <v>open</v>
      </c>
      <c r="F237" t="s">
        <v>1604</v>
      </c>
      <c r="G237" t="s">
        <v>1604</v>
      </c>
      <c r="H237" t="s">
        <v>1604</v>
      </c>
      <c r="I237" t="s">
        <v>1604</v>
      </c>
      <c r="J237" t="s">
        <v>1604</v>
      </c>
      <c r="K237" t="s">
        <v>44</v>
      </c>
      <c r="L237" t="s">
        <v>3868</v>
      </c>
    </row>
    <row r="238" spans="1:12" x14ac:dyDescent="0.2">
      <c r="A238" t="s">
        <v>1101</v>
      </c>
      <c r="B238" t="s">
        <v>1102</v>
      </c>
      <c r="C238" t="s">
        <v>12</v>
      </c>
      <c r="D238" t="s">
        <v>148</v>
      </c>
      <c r="E238" t="str">
        <f>HYPERLINK("/pdf/2018_Propagation_misclassified_instances_to_handle_nonstationary_imbalanced_data_stream.pdf","open")</f>
        <v>open</v>
      </c>
      <c r="F238" t="s">
        <v>1609</v>
      </c>
      <c r="G238" t="s">
        <v>1604</v>
      </c>
      <c r="H238" t="s">
        <v>1054</v>
      </c>
      <c r="I238" t="s">
        <v>1604</v>
      </c>
      <c r="J238" t="s">
        <v>1604</v>
      </c>
      <c r="K238" t="s">
        <v>15</v>
      </c>
      <c r="L238" t="s">
        <v>3869</v>
      </c>
    </row>
    <row r="239" spans="1:12" x14ac:dyDescent="0.2">
      <c r="A239" t="s">
        <v>1105</v>
      </c>
      <c r="B239" t="s">
        <v>1106</v>
      </c>
      <c r="C239" t="s">
        <v>363</v>
      </c>
      <c r="D239" t="s">
        <v>148</v>
      </c>
      <c r="E239" t="str">
        <f>HYPERLINK("/pdf/2016_10.1109_uemcon.2016.7777821_A_hybrid_analysis_for_mobile_security_threat_detection.pdf","open")</f>
        <v>open</v>
      </c>
      <c r="F239" t="s">
        <v>1054</v>
      </c>
      <c r="G239" t="s">
        <v>1054</v>
      </c>
      <c r="H239" t="s">
        <v>1054</v>
      </c>
      <c r="I239" t="s">
        <v>1054</v>
      </c>
      <c r="J239" t="s">
        <v>1054</v>
      </c>
      <c r="K239" t="s">
        <v>15</v>
      </c>
      <c r="L239" t="s">
        <v>3870</v>
      </c>
    </row>
    <row r="240" spans="1:12" x14ac:dyDescent="0.2">
      <c r="A240" t="s">
        <v>1108</v>
      </c>
      <c r="B240" t="s">
        <v>1109</v>
      </c>
      <c r="C240" t="s">
        <v>190</v>
      </c>
      <c r="D240" t="s">
        <v>1108</v>
      </c>
      <c r="E240" t="str">
        <f>HYPERLINK("/pdf/2017_10.1155_2017_7397812_Selecting_Critical_Data_Flows_in_Android_Applications_for_Abnormal_Behavior_Detection.pdf","open")</f>
        <v>open</v>
      </c>
      <c r="F240" t="s">
        <v>1054</v>
      </c>
      <c r="G240" t="s">
        <v>1604</v>
      </c>
      <c r="H240" t="s">
        <v>1054</v>
      </c>
      <c r="I240" t="s">
        <v>1604</v>
      </c>
      <c r="J240" t="s">
        <v>1604</v>
      </c>
      <c r="K240" t="s">
        <v>15</v>
      </c>
      <c r="L240" t="s">
        <v>3871</v>
      </c>
    </row>
    <row r="241" spans="1:12" x14ac:dyDescent="0.2">
      <c r="A241" t="s">
        <v>1112</v>
      </c>
      <c r="B241" t="s">
        <v>1113</v>
      </c>
      <c r="C241" t="s">
        <v>100</v>
      </c>
      <c r="D241" t="s">
        <v>1115</v>
      </c>
      <c r="E241" t="str">
        <f>HYPERLINK("/pdf/2022_10.1109_iccwamtip56608.2022.10016605_A_Novel_and_Efficient_Sequential_Learning-Based_Malware_Classification_Model.pdf","open")</f>
        <v>open</v>
      </c>
      <c r="F241" t="s">
        <v>1609</v>
      </c>
      <c r="G241" t="s">
        <v>1609</v>
      </c>
      <c r="H241" t="s">
        <v>1604</v>
      </c>
      <c r="I241" t="s">
        <v>1604</v>
      </c>
      <c r="J241" t="s">
        <v>1609</v>
      </c>
      <c r="K241" t="s">
        <v>15</v>
      </c>
      <c r="L241" t="s">
        <v>3872</v>
      </c>
    </row>
    <row r="242" spans="1:12" x14ac:dyDescent="0.2">
      <c r="A242" t="s">
        <v>1117</v>
      </c>
      <c r="B242" t="s">
        <v>1118</v>
      </c>
      <c r="C242" t="s">
        <v>48</v>
      </c>
      <c r="D242" t="s">
        <v>1120</v>
      </c>
      <c r="E242" t="str">
        <f>HYPERLINK("/pdf/2026_10_30598_barekengvol20iss2pp1675_1692_a_comparative_study_of_pipeline_validated_machine_learning_classifiers_for_permission_base.pdf","open")</f>
        <v>open</v>
      </c>
      <c r="F242" t="s">
        <v>1604</v>
      </c>
      <c r="G242" t="s">
        <v>1609</v>
      </c>
      <c r="H242" t="s">
        <v>1604</v>
      </c>
      <c r="I242" t="s">
        <v>1604</v>
      </c>
      <c r="J242" t="s">
        <v>1604</v>
      </c>
      <c r="K242" t="s">
        <v>15</v>
      </c>
      <c r="L242" t="s">
        <v>3873</v>
      </c>
    </row>
    <row r="243" spans="1:12" x14ac:dyDescent="0.2">
      <c r="A243" t="s">
        <v>1122</v>
      </c>
      <c r="B243" t="s">
        <v>1123</v>
      </c>
      <c r="C243" t="s">
        <v>19</v>
      </c>
      <c r="D243" t="s">
        <v>148</v>
      </c>
      <c r="E243" t="str">
        <f>HYPERLINK("/pdf/2025_10_34190_eccws_24_1_3542_cybersecurity_challenges_and_mitigations_for_llms_in_dod_applications.pdf","open")</f>
        <v>open</v>
      </c>
      <c r="F243" t="s">
        <v>1054</v>
      </c>
      <c r="G243" t="s">
        <v>1054</v>
      </c>
      <c r="H243" t="s">
        <v>1054</v>
      </c>
      <c r="I243" t="s">
        <v>1054</v>
      </c>
      <c r="J243" t="s">
        <v>1054</v>
      </c>
      <c r="K243" t="s">
        <v>1054</v>
      </c>
      <c r="L243" t="s">
        <v>3874</v>
      </c>
    </row>
    <row r="244" spans="1:12" x14ac:dyDescent="0.2">
      <c r="A244" t="s">
        <v>1126</v>
      </c>
      <c r="B244" t="s">
        <v>1127</v>
      </c>
      <c r="C244" t="s">
        <v>25</v>
      </c>
      <c r="D244" t="s">
        <v>1128</v>
      </c>
      <c r="E244" t="str">
        <f>HYPERLINK("/pdf/2023_10_1007_978_3_031_33488_7_20_efficient_network_representation_for_gnn_based_intrusion_detection.pdf","open")</f>
        <v>open</v>
      </c>
      <c r="F244" t="s">
        <v>1604</v>
      </c>
      <c r="G244" t="s">
        <v>1609</v>
      </c>
      <c r="H244" t="s">
        <v>1604</v>
      </c>
      <c r="I244" t="s">
        <v>1604</v>
      </c>
      <c r="J244" t="s">
        <v>1604</v>
      </c>
      <c r="K244" t="s">
        <v>44</v>
      </c>
      <c r="L244" t="s">
        <v>3875</v>
      </c>
    </row>
    <row r="245" spans="1:12" x14ac:dyDescent="0.2">
      <c r="A245" t="s">
        <v>1130</v>
      </c>
      <c r="B245" t="s">
        <v>710</v>
      </c>
      <c r="C245" t="s">
        <v>19</v>
      </c>
      <c r="D245" t="s">
        <v>711</v>
      </c>
      <c r="E245" t="str">
        <f>HYPERLINK("/pdf/2025_10_1038_s41598_025_17799_0_multi_resolution_transfer_learning_for_tampered_image_classification_using_se_enhanced_fus.pdf","open")</f>
        <v>open</v>
      </c>
      <c r="F245" t="s">
        <v>1609</v>
      </c>
      <c r="G245" t="s">
        <v>1609</v>
      </c>
      <c r="H245" t="s">
        <v>1609</v>
      </c>
      <c r="I245" t="s">
        <v>1604</v>
      </c>
      <c r="J245" t="s">
        <v>1604</v>
      </c>
      <c r="K245" t="s">
        <v>15</v>
      </c>
      <c r="L245" t="s">
        <v>3876</v>
      </c>
    </row>
    <row r="246" spans="1:12" x14ac:dyDescent="0.2">
      <c r="A246" t="s">
        <v>1132</v>
      </c>
      <c r="B246" t="s">
        <v>1133</v>
      </c>
      <c r="C246" t="s">
        <v>363</v>
      </c>
      <c r="D246" t="s">
        <v>1135</v>
      </c>
      <c r="E246" t="str">
        <f>HYPERLINK("/pdf/2016_10.1016_j.infsof.2016.03.004_Effective_detection_of_android_malware_based_on_the_usage_of_data_flow_APIs_and_machine_learning.pdf","open")</f>
        <v>open</v>
      </c>
      <c r="F246" t="s">
        <v>1609</v>
      </c>
      <c r="G246" t="s">
        <v>1609</v>
      </c>
      <c r="H246" t="s">
        <v>1609</v>
      </c>
      <c r="I246" t="s">
        <v>1604</v>
      </c>
      <c r="J246" t="s">
        <v>1609</v>
      </c>
      <c r="K246" t="s">
        <v>15</v>
      </c>
      <c r="L246" t="s">
        <v>3877</v>
      </c>
    </row>
    <row r="247" spans="1:12" x14ac:dyDescent="0.2">
      <c r="A247" t="s">
        <v>1137</v>
      </c>
      <c r="B247" t="s">
        <v>1138</v>
      </c>
      <c r="C247" t="s">
        <v>25</v>
      </c>
      <c r="D247" t="s">
        <v>1140</v>
      </c>
      <c r="E247" t="str">
        <f>HYPERLINK("/pdf/2023_10.1109_iceei59426.2023.10346644_Managing_Security_Hazards_in_BYOD__A_Comparative_Analysis_of_Artificial_Intelligent_Techniques.pdf","open")</f>
        <v>open</v>
      </c>
      <c r="F247" t="s">
        <v>1054</v>
      </c>
      <c r="G247" t="s">
        <v>1054</v>
      </c>
      <c r="H247" t="s">
        <v>1054</v>
      </c>
      <c r="I247" t="s">
        <v>1054</v>
      </c>
      <c r="J247" t="s">
        <v>1054</v>
      </c>
      <c r="K247" t="s">
        <v>1054</v>
      </c>
      <c r="L247" t="s">
        <v>3878</v>
      </c>
    </row>
    <row r="248" spans="1:12" x14ac:dyDescent="0.2">
      <c r="A248" t="s">
        <v>1142</v>
      </c>
      <c r="B248" t="s">
        <v>1143</v>
      </c>
      <c r="C248" t="s">
        <v>25</v>
      </c>
      <c r="D248" t="s">
        <v>1142</v>
      </c>
      <c r="E248" t="str">
        <f>HYPERLINK("/pdf/2023_10.1145_3577923.3583650_Infotainment_System_Matters__Understanding_the_Impact_and_Implications_of_In-Vehicle_Infotainment_System_Hacki.pdf","open")</f>
        <v>open</v>
      </c>
      <c r="F248" t="s">
        <v>1054</v>
      </c>
      <c r="G248" t="s">
        <v>1054</v>
      </c>
      <c r="H248" t="s">
        <v>1054</v>
      </c>
      <c r="I248" t="s">
        <v>1054</v>
      </c>
      <c r="J248" t="s">
        <v>1054</v>
      </c>
      <c r="K248" t="s">
        <v>1054</v>
      </c>
      <c r="L248" t="s">
        <v>3879</v>
      </c>
    </row>
    <row r="249" spans="1:12" x14ac:dyDescent="0.2">
      <c r="A249" t="s">
        <v>1146</v>
      </c>
      <c r="B249" t="s">
        <v>1147</v>
      </c>
      <c r="C249" t="s">
        <v>60</v>
      </c>
      <c r="D249" t="s">
        <v>1149</v>
      </c>
      <c r="E249" t="str">
        <f>HYPERLINK("/pdf/2025_10_3390_virtualworlds4010001_cybersecurity_and_privacy_challenges_in_extended_reality_threats_solutions_and_risk_mit.pdf","open")</f>
        <v>open</v>
      </c>
      <c r="F249" t="s">
        <v>1054</v>
      </c>
      <c r="G249" t="s">
        <v>1054</v>
      </c>
      <c r="H249" t="s">
        <v>1054</v>
      </c>
      <c r="I249" t="s">
        <v>1054</v>
      </c>
      <c r="J249" t="s">
        <v>1054</v>
      </c>
      <c r="K249" t="s">
        <v>15</v>
      </c>
      <c r="L249" t="s">
        <v>3880</v>
      </c>
    </row>
    <row r="250" spans="1:12" x14ac:dyDescent="0.2">
      <c r="A250" t="s">
        <v>1151</v>
      </c>
      <c r="B250" t="s">
        <v>1152</v>
      </c>
      <c r="C250" t="s">
        <v>60</v>
      </c>
      <c r="D250" t="s">
        <v>1154</v>
      </c>
      <c r="E250" t="str">
        <f>HYPERLINK("/pdf/2024_10.1109_dicct61038.2024.10532908_Malware_Detection_Using_Control_Flow_Graphs.pdf","open")</f>
        <v>open</v>
      </c>
      <c r="F250" t="s">
        <v>1609</v>
      </c>
      <c r="G250" t="s">
        <v>1609</v>
      </c>
      <c r="H250" t="s">
        <v>1609</v>
      </c>
      <c r="I250" t="s">
        <v>1604</v>
      </c>
      <c r="J250" t="s">
        <v>1609</v>
      </c>
      <c r="K250" t="s">
        <v>15</v>
      </c>
      <c r="L250" t="s">
        <v>3881</v>
      </c>
    </row>
    <row r="251" spans="1:12" x14ac:dyDescent="0.2">
      <c r="A251" t="s">
        <v>1156</v>
      </c>
      <c r="B251" t="s">
        <v>1157</v>
      </c>
      <c r="C251" t="s">
        <v>54</v>
      </c>
      <c r="D251" t="s">
        <v>1159</v>
      </c>
      <c r="E251" t="str">
        <f>HYPERLINK("/pdf/2020_10.1109_icin48450.2020.9059472_Cache-Property-Aware_Features_for_DNS_Tunneling_Detection.pdf","open")</f>
        <v>open</v>
      </c>
      <c r="F251" t="s">
        <v>1054</v>
      </c>
      <c r="G251" t="s">
        <v>1054</v>
      </c>
      <c r="H251" t="s">
        <v>1054</v>
      </c>
      <c r="I251" t="s">
        <v>1054</v>
      </c>
      <c r="J251" t="s">
        <v>1604</v>
      </c>
      <c r="K251" t="s">
        <v>15</v>
      </c>
      <c r="L251" t="s">
        <v>3882</v>
      </c>
    </row>
    <row r="252" spans="1:12" x14ac:dyDescent="0.2">
      <c r="A252" t="s">
        <v>1161</v>
      </c>
      <c r="B252" t="s">
        <v>1162</v>
      </c>
      <c r="C252" t="s">
        <v>60</v>
      </c>
      <c r="D252" t="s">
        <v>1164</v>
      </c>
      <c r="E252" t="str">
        <f>HYPERLINK("/pdf/2024_10.1145_3649403.3656483_A_Privacy_Preserving_Context_Sensitive_Kernel.pdf","open")</f>
        <v>open</v>
      </c>
      <c r="F252" t="s">
        <v>1609</v>
      </c>
      <c r="G252" t="s">
        <v>1609</v>
      </c>
      <c r="H252" t="s">
        <v>1609</v>
      </c>
      <c r="I252" t="s">
        <v>1609</v>
      </c>
      <c r="J252" t="s">
        <v>1609</v>
      </c>
      <c r="K252" t="s">
        <v>15</v>
      </c>
      <c r="L252" t="s">
        <v>3883</v>
      </c>
    </row>
    <row r="253" spans="1:12" x14ac:dyDescent="0.2">
      <c r="A253" t="s">
        <v>1166</v>
      </c>
      <c r="B253" t="s">
        <v>1167</v>
      </c>
      <c r="C253" t="s">
        <v>25</v>
      </c>
      <c r="D253" t="s">
        <v>1169</v>
      </c>
      <c r="E253" t="str">
        <f>HYPERLINK("/pdf/2023_10.1016_j.procs.2023.03.102_Broadening_the_Solution_Space_of_Feature_Selection_in_Time-interval-based_Malware_Detection.pdf","open")</f>
        <v>open</v>
      </c>
      <c r="F253" t="s">
        <v>1609</v>
      </c>
      <c r="G253" t="s">
        <v>1609</v>
      </c>
      <c r="H253" t="s">
        <v>1609</v>
      </c>
      <c r="I253" t="s">
        <v>1609</v>
      </c>
      <c r="J253" t="s">
        <v>1604</v>
      </c>
      <c r="K253" t="s">
        <v>15</v>
      </c>
      <c r="L253" t="s">
        <v>3884</v>
      </c>
    </row>
    <row r="254" spans="1:12" x14ac:dyDescent="0.2">
      <c r="A254" t="s">
        <v>1171</v>
      </c>
      <c r="B254" t="s">
        <v>1172</v>
      </c>
      <c r="C254" t="s">
        <v>25</v>
      </c>
      <c r="D254" t="s">
        <v>1174</v>
      </c>
      <c r="E254" t="str">
        <f>HYPERLINK("/pdf/2023_10.1109_i-smac58438.2023.10290155_Efficient_Secured_Cloud_Storage_System_using_Dynamic_Multiple_Clouds_Cryptographic_Algorithm.pdf","open")</f>
        <v>open</v>
      </c>
      <c r="F254" t="s">
        <v>1054</v>
      </c>
      <c r="G254" t="s">
        <v>1054</v>
      </c>
      <c r="H254" t="s">
        <v>1054</v>
      </c>
      <c r="I254" t="s">
        <v>1054</v>
      </c>
      <c r="J254" t="s">
        <v>1054</v>
      </c>
      <c r="K254" t="s">
        <v>15</v>
      </c>
      <c r="L254" t="s">
        <v>3885</v>
      </c>
    </row>
    <row r="255" spans="1:12" x14ac:dyDescent="0.2">
      <c r="A255" t="s">
        <v>1176</v>
      </c>
      <c r="B255" t="s">
        <v>1177</v>
      </c>
      <c r="C255" t="s">
        <v>136</v>
      </c>
      <c r="D255" t="s">
        <v>1178</v>
      </c>
      <c r="E255" t="str">
        <f>HYPERLINK("/pdf/2019_10_3390_electronics8090968_dynamic_deep_forest_an_ensemble_classification_method_for_network_intrusion_detection.pdf","open")</f>
        <v>open</v>
      </c>
      <c r="F255" t="s">
        <v>1609</v>
      </c>
      <c r="G255" t="s">
        <v>1609</v>
      </c>
      <c r="H255" t="s">
        <v>1609</v>
      </c>
      <c r="I255" t="s">
        <v>1604</v>
      </c>
      <c r="J255" t="s">
        <v>1609</v>
      </c>
      <c r="K255" t="s">
        <v>15</v>
      </c>
      <c r="L255" t="s">
        <v>3886</v>
      </c>
    </row>
    <row r="256" spans="1:12" x14ac:dyDescent="0.2">
      <c r="A256" t="s">
        <v>1180</v>
      </c>
      <c r="B256" t="s">
        <v>1181</v>
      </c>
      <c r="C256" t="s">
        <v>60</v>
      </c>
      <c r="D256" t="s">
        <v>148</v>
      </c>
      <c r="E256" t="str">
        <f>HYPERLINK("/pdf/2024_10.7492_qcqm1g12_AI-Powered_Cyber_Threat_Detection__Leveraging_Machine_Learning_for_RealTime_Anomaly_Identification_and_Threat_.pdf","open")</f>
        <v>open</v>
      </c>
      <c r="F256" t="s">
        <v>1054</v>
      </c>
      <c r="G256" t="s">
        <v>1054</v>
      </c>
      <c r="H256" t="s">
        <v>1054</v>
      </c>
      <c r="I256" t="s">
        <v>1054</v>
      </c>
      <c r="J256" t="s">
        <v>1054</v>
      </c>
      <c r="K256" t="s">
        <v>15</v>
      </c>
      <c r="L256" t="s">
        <v>3887</v>
      </c>
    </row>
    <row r="257" spans="1:12" x14ac:dyDescent="0.2">
      <c r="A257" t="s">
        <v>1184</v>
      </c>
      <c r="B257" t="s">
        <v>1185</v>
      </c>
      <c r="C257" t="s">
        <v>54</v>
      </c>
      <c r="D257" t="s">
        <v>1187</v>
      </c>
      <c r="E257" t="str">
        <f>HYPERLINK("/pdf/2020_10.1145_3365578_Hardware_Trojan_mitigation_in_pipelined_MPSoCs.pdf","open")</f>
        <v>open</v>
      </c>
      <c r="F257" t="s">
        <v>1054</v>
      </c>
      <c r="G257" t="s">
        <v>1054</v>
      </c>
      <c r="H257" t="s">
        <v>1054</v>
      </c>
      <c r="I257" t="s">
        <v>1054</v>
      </c>
      <c r="J257" t="s">
        <v>1054</v>
      </c>
      <c r="K257" t="s">
        <v>1054</v>
      </c>
      <c r="L257" t="s">
        <v>3888</v>
      </c>
    </row>
    <row r="258" spans="1:12" x14ac:dyDescent="0.2">
      <c r="A258" t="s">
        <v>1189</v>
      </c>
      <c r="B258" t="s">
        <v>1190</v>
      </c>
      <c r="C258" t="s">
        <v>19</v>
      </c>
      <c r="D258" t="s">
        <v>1192</v>
      </c>
      <c r="E258" t="str">
        <f>HYPERLINK("/pdf/2025_10.1109_icoin63865.2025.10993160_Privacy-Preserving_Generative_Adversarial_Network-Based_Data_Synthesis_for_Intelligent_Intrusion_Detection_Sys.pdf","open")</f>
        <v>open</v>
      </c>
      <c r="F258" t="s">
        <v>1609</v>
      </c>
      <c r="G258" t="s">
        <v>1609</v>
      </c>
      <c r="H258" t="s">
        <v>1609</v>
      </c>
      <c r="I258" t="s">
        <v>1609</v>
      </c>
      <c r="J258" t="s">
        <v>1604</v>
      </c>
      <c r="K258" t="s">
        <v>15</v>
      </c>
      <c r="L258" t="s">
        <v>3889</v>
      </c>
    </row>
    <row r="259" spans="1:12" x14ac:dyDescent="0.2">
      <c r="A259" t="s">
        <v>1194</v>
      </c>
      <c r="B259" t="s">
        <v>1195</v>
      </c>
      <c r="C259" t="s">
        <v>25</v>
      </c>
      <c r="D259" t="s">
        <v>1197</v>
      </c>
      <c r="E259" t="str">
        <f>HYPERLINK("/pdf/2023_10.1145_3603781.3603906_Detection_of_Network_Time_Covert_Channels_Based_on_Image_Processing.pdf","open")</f>
        <v>open</v>
      </c>
      <c r="F259" t="s">
        <v>1609</v>
      </c>
      <c r="G259" t="s">
        <v>1609</v>
      </c>
      <c r="H259" t="s">
        <v>1609</v>
      </c>
      <c r="I259" t="s">
        <v>1604</v>
      </c>
      <c r="J259" t="s">
        <v>1604</v>
      </c>
      <c r="K259" t="s">
        <v>15</v>
      </c>
      <c r="L259" t="s">
        <v>3890</v>
      </c>
    </row>
    <row r="260" spans="1:12" x14ac:dyDescent="0.2">
      <c r="A260" t="s">
        <v>1199</v>
      </c>
      <c r="B260" t="s">
        <v>1200</v>
      </c>
      <c r="C260" t="s">
        <v>36</v>
      </c>
      <c r="D260" t="s">
        <v>148</v>
      </c>
      <c r="E260" t="str">
        <f>HYPERLINK("/pdf/2022_SECURE_ASPECTS_OF_DIGITALIZATION_IN_MANAGEMENT_ACCOUNTING_AND_FINANCES_OF_THE_SUBJECT_OF_THE_NATIONAL_ECONOMY_.pdf","open")</f>
        <v>open</v>
      </c>
      <c r="F260" t="s">
        <v>1054</v>
      </c>
      <c r="G260" t="s">
        <v>1054</v>
      </c>
      <c r="H260" t="s">
        <v>1054</v>
      </c>
      <c r="I260" t="s">
        <v>1054</v>
      </c>
      <c r="J260" t="s">
        <v>1054</v>
      </c>
      <c r="K260" t="s">
        <v>15</v>
      </c>
      <c r="L260" t="s">
        <v>3891</v>
      </c>
    </row>
    <row r="261" spans="1:12" x14ac:dyDescent="0.2">
      <c r="B261" t="s">
        <v>1203</v>
      </c>
      <c r="C261" t="s">
        <v>148</v>
      </c>
      <c r="D261" t="s">
        <v>148</v>
      </c>
      <c r="E261" t="str">
        <f>HYPERLINK("/pdf/2014_10.1049_cp.2014.1340_Android's_sensitive_data_leakage_detection_based_on_API_monitoring.pdf","open")</f>
        <v>open</v>
      </c>
      <c r="F261" t="s">
        <v>1054</v>
      </c>
      <c r="G261" t="s">
        <v>1054</v>
      </c>
      <c r="H261" t="s">
        <v>1054</v>
      </c>
      <c r="I261" t="s">
        <v>1054</v>
      </c>
      <c r="J261" t="s">
        <v>1054</v>
      </c>
      <c r="K261" t="s">
        <v>15</v>
      </c>
      <c r="L261" t="s">
        <v>3892</v>
      </c>
    </row>
    <row r="262" spans="1:12" x14ac:dyDescent="0.2">
      <c r="A262" t="s">
        <v>1205</v>
      </c>
      <c r="B262" t="s">
        <v>1206</v>
      </c>
      <c r="C262" t="s">
        <v>36</v>
      </c>
      <c r="D262" t="s">
        <v>1208</v>
      </c>
      <c r="E262" t="str">
        <f>HYPERLINK("/pdf/2021_10_1109_tnsm_2021_3078428_dns_tunneling_detection_by_cache_property_aware_features.pdf","open")</f>
        <v>open</v>
      </c>
      <c r="F262" t="s">
        <v>1054</v>
      </c>
      <c r="G262" t="s">
        <v>1604</v>
      </c>
      <c r="H262" t="s">
        <v>1054</v>
      </c>
      <c r="I262" t="s">
        <v>1604</v>
      </c>
      <c r="J262" t="s">
        <v>1609</v>
      </c>
      <c r="K262" t="s">
        <v>957</v>
      </c>
      <c r="L262" t="s">
        <v>3893</v>
      </c>
    </row>
    <row r="263" spans="1:12" x14ac:dyDescent="0.2">
      <c r="A263" t="s">
        <v>1210</v>
      </c>
      <c r="B263" t="s">
        <v>760</v>
      </c>
      <c r="C263" t="s">
        <v>48</v>
      </c>
      <c r="D263" t="s">
        <v>761</v>
      </c>
      <c r="E263" t="str">
        <f>HYPERLINK("/pdf/2026_10.1038_s41598-026-36731-8_ASTRID-Net__SE-enhanced_triple_attention_deep_learning_framework_for_IoT_and_IIoT_security.pdf","open")</f>
        <v>open</v>
      </c>
      <c r="F263" t="s">
        <v>1609</v>
      </c>
      <c r="G263" t="s">
        <v>1609</v>
      </c>
      <c r="H263" t="s">
        <v>1609</v>
      </c>
      <c r="I263" t="s">
        <v>1604</v>
      </c>
      <c r="J263" t="s">
        <v>1609</v>
      </c>
      <c r="K263" t="s">
        <v>15</v>
      </c>
      <c r="L263" t="s">
        <v>3894</v>
      </c>
    </row>
    <row r="264" spans="1:12" x14ac:dyDescent="0.2">
      <c r="A264" t="s">
        <v>1212</v>
      </c>
      <c r="B264" t="s">
        <v>1213</v>
      </c>
      <c r="C264" t="s">
        <v>19</v>
      </c>
      <c r="D264" t="s">
        <v>1215</v>
      </c>
      <c r="E264" t="str">
        <f>HYPERLINK("/pdf/2025_10.70389_pjs.100115_Psyche_Components_in_the_Organization_of_Safety_Systems__The_Role_of_a_Person_in_the_Protection_of_Facilities_.pdf","open")</f>
        <v>open</v>
      </c>
      <c r="F264" t="s">
        <v>1054</v>
      </c>
      <c r="G264" t="s">
        <v>1054</v>
      </c>
      <c r="H264" t="s">
        <v>1054</v>
      </c>
      <c r="I264" t="s">
        <v>1054</v>
      </c>
      <c r="J264" t="s">
        <v>1054</v>
      </c>
      <c r="K264" t="s">
        <v>1054</v>
      </c>
      <c r="L264" t="s">
        <v>3895</v>
      </c>
    </row>
    <row r="265" spans="1:12" x14ac:dyDescent="0.2">
      <c r="A265" t="s">
        <v>148</v>
      </c>
      <c r="B265" t="s">
        <v>1217</v>
      </c>
      <c r="C265" t="s">
        <v>25</v>
      </c>
      <c r="D265" t="s">
        <v>1219</v>
      </c>
      <c r="E265" t="str">
        <f>HYPERLINK("/pdf/2023_10.1109_iccasit58768.2023.10351717_Research_and_Application_of_Cybersecurity_Situation_Awareness_for_Smart_Grid_Power_Control_System.pdf","open")</f>
        <v>open</v>
      </c>
      <c r="F265" t="s">
        <v>1054</v>
      </c>
      <c r="G265" t="s">
        <v>1054</v>
      </c>
      <c r="H265" t="s">
        <v>1054</v>
      </c>
      <c r="I265" t="s">
        <v>1054</v>
      </c>
      <c r="J265" t="s">
        <v>1054</v>
      </c>
      <c r="K265" t="s">
        <v>15</v>
      </c>
      <c r="L265" t="s">
        <v>3896</v>
      </c>
    </row>
    <row r="266" spans="1:12" x14ac:dyDescent="0.2">
      <c r="A266" t="s">
        <v>1221</v>
      </c>
      <c r="B266" t="s">
        <v>1222</v>
      </c>
      <c r="C266" t="s">
        <v>25</v>
      </c>
      <c r="D266" t="s">
        <v>1224</v>
      </c>
      <c r="E266" t="str">
        <f>HYPERLINK("/pdf/2023_10_1109_fmec59375_2023_10305886_an_overview_of_using_of_artificial_intelligence_in_enhancing_security_and_privac.pdf","open")</f>
        <v>open</v>
      </c>
      <c r="F266" t="s">
        <v>1054</v>
      </c>
      <c r="G266" t="s">
        <v>1054</v>
      </c>
      <c r="H266" t="s">
        <v>1054</v>
      </c>
      <c r="I266" t="s">
        <v>1054</v>
      </c>
      <c r="J266" t="s">
        <v>1054</v>
      </c>
      <c r="K266" t="s">
        <v>15</v>
      </c>
      <c r="L266" t="s">
        <v>3897</v>
      </c>
    </row>
    <row r="267" spans="1:12" x14ac:dyDescent="0.2">
      <c r="A267" t="s">
        <v>1226</v>
      </c>
      <c r="B267" t="s">
        <v>1227</v>
      </c>
      <c r="C267" t="s">
        <v>363</v>
      </c>
      <c r="D267" t="s">
        <v>1229</v>
      </c>
      <c r="E267" t="str">
        <f>HYPERLINK("/pdf/2016_10_13052_jcsm2245_1439_521_lazarus_data_leakage_with_pgp_and_resurrection_of_the_revoked_user.pdf","open")</f>
        <v>open</v>
      </c>
      <c r="F267" t="s">
        <v>1054</v>
      </c>
      <c r="G267" t="s">
        <v>1054</v>
      </c>
      <c r="H267" t="s">
        <v>1054</v>
      </c>
      <c r="I267" t="s">
        <v>1054</v>
      </c>
      <c r="J267" t="s">
        <v>1054</v>
      </c>
      <c r="K267" t="s">
        <v>1054</v>
      </c>
      <c r="L267" t="s">
        <v>3898</v>
      </c>
    </row>
    <row r="268" spans="1:12" x14ac:dyDescent="0.2">
      <c r="A268" t="s">
        <v>1231</v>
      </c>
      <c r="B268" t="s">
        <v>1232</v>
      </c>
      <c r="C268" t="s">
        <v>190</v>
      </c>
      <c r="D268" t="s">
        <v>1234</v>
      </c>
      <c r="E268" t="str">
        <f>HYPERLINK("/pdf/2017_10.1145_3171592.3171597_Network_behavioral_features_for_detecting_remote_access_trojans_in_the_early_stage.pdf","open")</f>
        <v>open</v>
      </c>
      <c r="F268" t="s">
        <v>1609</v>
      </c>
      <c r="G268" t="s">
        <v>1609</v>
      </c>
      <c r="H268" t="s">
        <v>1609</v>
      </c>
      <c r="I268" t="s">
        <v>1604</v>
      </c>
      <c r="J268" t="s">
        <v>1604</v>
      </c>
      <c r="K268" t="s">
        <v>15</v>
      </c>
      <c r="L268" t="s">
        <v>3899</v>
      </c>
    </row>
    <row r="269" spans="1:12" x14ac:dyDescent="0.2">
      <c r="A269" t="s">
        <v>1236</v>
      </c>
      <c r="B269" t="s">
        <v>1237</v>
      </c>
      <c r="C269" t="s">
        <v>36</v>
      </c>
      <c r="D269" t="s">
        <v>1239</v>
      </c>
      <c r="E269" t="str">
        <f>HYPERLINK("/pdf/2021_10.1109_ent50460.2021.9681727_Specifics_of_Communication_Organization_and_Attacks_on_Medical_Cyber-physical_Devices.pdf","open")</f>
        <v>open</v>
      </c>
      <c r="F269" t="s">
        <v>1054</v>
      </c>
      <c r="G269" t="s">
        <v>1054</v>
      </c>
      <c r="H269" t="s">
        <v>1054</v>
      </c>
      <c r="I269" t="s">
        <v>1054</v>
      </c>
      <c r="J269" t="s">
        <v>1054</v>
      </c>
      <c r="K269" t="s">
        <v>1054</v>
      </c>
      <c r="L269" t="s">
        <v>3900</v>
      </c>
    </row>
    <row r="270" spans="1:12" x14ac:dyDescent="0.2">
      <c r="A270" t="s">
        <v>1241</v>
      </c>
      <c r="B270" t="s">
        <v>1043</v>
      </c>
      <c r="C270" t="s">
        <v>210</v>
      </c>
      <c r="D270" t="s">
        <v>148</v>
      </c>
      <c r="E270" t="str">
        <f>HYPERLINK("/pdf/2016_10.1109_ccst.2015.7389685_A_Digital_Triage_Forensics_framework_of_Window_malware_forensic_toolkit__Based_on_ISO_IEC_27037_2012.pdf","open")</f>
        <v>open</v>
      </c>
      <c r="F270" t="s">
        <v>1054</v>
      </c>
      <c r="G270" t="s">
        <v>1054</v>
      </c>
      <c r="H270" t="s">
        <v>1054</v>
      </c>
      <c r="I270" t="s">
        <v>1054</v>
      </c>
      <c r="J270" t="s">
        <v>1054</v>
      </c>
      <c r="K270" t="s">
        <v>15</v>
      </c>
      <c r="L270" t="s">
        <v>3901</v>
      </c>
    </row>
    <row r="271" spans="1:12" x14ac:dyDescent="0.2">
      <c r="A271" t="s">
        <v>1243</v>
      </c>
      <c r="B271" t="s">
        <v>1244</v>
      </c>
      <c r="C271" t="s">
        <v>100</v>
      </c>
      <c r="D271" t="s">
        <v>148</v>
      </c>
      <c r="E271" t="str">
        <f>HYPERLINK("/pdf/2022_10.23919_apsipaasc55919.2022.9979923_A_Comparison_of_Feature_Selection_and_Feature_Extraction_in_Network_Intrusion_Detection_Systems.pdf","open")</f>
        <v>open</v>
      </c>
      <c r="F271" t="s">
        <v>1609</v>
      </c>
      <c r="G271" t="s">
        <v>1609</v>
      </c>
      <c r="H271" t="s">
        <v>1609</v>
      </c>
      <c r="I271" t="s">
        <v>1604</v>
      </c>
      <c r="J271" t="s">
        <v>1609</v>
      </c>
      <c r="K271" t="s">
        <v>15</v>
      </c>
      <c r="L271" t="s">
        <v>3902</v>
      </c>
    </row>
    <row r="272" spans="1:12" x14ac:dyDescent="0.2">
      <c r="A272" t="s">
        <v>1247</v>
      </c>
      <c r="B272" t="s">
        <v>1248</v>
      </c>
      <c r="C272" t="s">
        <v>54</v>
      </c>
      <c r="D272" t="s">
        <v>1249</v>
      </c>
      <c r="E272" t="str">
        <f>HYPERLINK("/pdf/2020_10_1109_access_2020_2996214_a_machine_learning_security_framework_for_iot_systems.pdf","open")</f>
        <v>open</v>
      </c>
      <c r="F272" t="s">
        <v>1609</v>
      </c>
      <c r="G272" t="s">
        <v>1609</v>
      </c>
      <c r="H272" t="s">
        <v>1054</v>
      </c>
      <c r="I272" t="s">
        <v>1604</v>
      </c>
      <c r="J272" t="s">
        <v>1054</v>
      </c>
      <c r="K272" t="s">
        <v>15</v>
      </c>
      <c r="L272" t="s">
        <v>3903</v>
      </c>
    </row>
    <row r="273" spans="1:12" x14ac:dyDescent="0.2">
      <c r="A273" t="s">
        <v>1251</v>
      </c>
      <c r="B273" t="s">
        <v>1252</v>
      </c>
      <c r="C273" t="s">
        <v>54</v>
      </c>
      <c r="D273" t="s">
        <v>1254</v>
      </c>
      <c r="E273" t="str">
        <f>HYPERLINK("/pdf/2020_10.1109_msn50589.2020.00060_Optimal_defense_strategy_against_evasion_attacks.pdf","open")</f>
        <v>open</v>
      </c>
      <c r="F273" t="s">
        <v>1054</v>
      </c>
      <c r="G273" t="s">
        <v>1054</v>
      </c>
      <c r="H273" t="s">
        <v>1054</v>
      </c>
      <c r="I273" t="s">
        <v>1054</v>
      </c>
      <c r="J273" t="s">
        <v>1054</v>
      </c>
      <c r="K273" t="s">
        <v>1054</v>
      </c>
      <c r="L273" t="s">
        <v>3904</v>
      </c>
    </row>
    <row r="274" spans="1:12" x14ac:dyDescent="0.2">
      <c r="A274" t="s">
        <v>1256</v>
      </c>
      <c r="B274" t="s">
        <v>1257</v>
      </c>
      <c r="C274" t="s">
        <v>48</v>
      </c>
      <c r="D274" t="s">
        <v>1258</v>
      </c>
      <c r="E274" t="str">
        <f>HYPERLINK("/pdf/2026_10.1109_tcad.2025.3580649_Dynamic_Interposer_Obfuscation_Through_Distributed_Scramblers_in_Heterogeneously_Integrated_2.5D_ICs.pdf","open")</f>
        <v>open</v>
      </c>
      <c r="F274" t="s">
        <v>1054</v>
      </c>
      <c r="G274" t="s">
        <v>1054</v>
      </c>
      <c r="H274" t="s">
        <v>1054</v>
      </c>
      <c r="I274" t="s">
        <v>1054</v>
      </c>
      <c r="J274" t="s">
        <v>1054</v>
      </c>
      <c r="K274" t="s">
        <v>1054</v>
      </c>
      <c r="L274" t="s">
        <v>3905</v>
      </c>
    </row>
    <row r="275" spans="1:12" x14ac:dyDescent="0.2">
      <c r="A275" t="s">
        <v>1260</v>
      </c>
      <c r="B275" t="s">
        <v>1261</v>
      </c>
      <c r="C275" t="s">
        <v>25</v>
      </c>
      <c r="D275" t="s">
        <v>1263</v>
      </c>
      <c r="E275" t="str">
        <f>HYPERLINK("/pdf/2023_10.1109_rmkmate59243.2023.10369056_A_Survey_on_Cyber_Attack_Detection__Techniques,_Datasets,_and_Challenge.pdf","open")</f>
        <v>open</v>
      </c>
      <c r="F275" t="s">
        <v>1054</v>
      </c>
      <c r="G275" t="s">
        <v>1054</v>
      </c>
      <c r="H275" t="s">
        <v>1054</v>
      </c>
      <c r="I275" t="s">
        <v>1054</v>
      </c>
      <c r="J275" t="s">
        <v>1054</v>
      </c>
      <c r="K275" t="s">
        <v>15</v>
      </c>
      <c r="L275" t="s">
        <v>3906</v>
      </c>
    </row>
    <row r="276" spans="1:12" x14ac:dyDescent="0.2">
      <c r="A276" t="s">
        <v>1265</v>
      </c>
      <c r="B276" t="s">
        <v>1266</v>
      </c>
      <c r="C276" t="s">
        <v>60</v>
      </c>
      <c r="D276" t="s">
        <v>1268</v>
      </c>
      <c r="E276" t="str">
        <f>HYPERLINK("/pdf/2024_10.1109_dcoss-iot61029.2024.00041_SAfER__Simplified_Auto-encoder_for_(Anomalous)_Event_Recognition.pdf","open")</f>
        <v>open</v>
      </c>
      <c r="F276" t="s">
        <v>1609</v>
      </c>
      <c r="G276" t="s">
        <v>1604</v>
      </c>
      <c r="H276" t="s">
        <v>1609</v>
      </c>
      <c r="I276" t="s">
        <v>1604</v>
      </c>
      <c r="J276" t="s">
        <v>1604</v>
      </c>
      <c r="K276" t="s">
        <v>15</v>
      </c>
      <c r="L276" t="s">
        <v>3907</v>
      </c>
    </row>
    <row r="277" spans="1:12" x14ac:dyDescent="0.2">
      <c r="A277" t="s">
        <v>1270</v>
      </c>
      <c r="B277" t="s">
        <v>1271</v>
      </c>
      <c r="C277" t="s">
        <v>156</v>
      </c>
      <c r="D277" t="s">
        <v>1273</v>
      </c>
      <c r="E277" t="str">
        <f>HYPERLINK("/pdf/2013_10.1145_2484313.2484378_Horizon_extender__Long-term_preservation_of_data_leakage_evidence_in_web_traffic.pdf","open")</f>
        <v>open</v>
      </c>
      <c r="F277" t="s">
        <v>1054</v>
      </c>
      <c r="G277" t="s">
        <v>1054</v>
      </c>
      <c r="H277" t="s">
        <v>1054</v>
      </c>
      <c r="I277" t="s">
        <v>1054</v>
      </c>
      <c r="J277" t="s">
        <v>1054</v>
      </c>
      <c r="K277" t="s">
        <v>15</v>
      </c>
      <c r="L277" t="s">
        <v>3908</v>
      </c>
    </row>
    <row r="278" spans="1:12" x14ac:dyDescent="0.2">
      <c r="A278" t="s">
        <v>1275</v>
      </c>
      <c r="B278" t="s">
        <v>314</v>
      </c>
      <c r="C278" t="s">
        <v>36</v>
      </c>
      <c r="D278" t="s">
        <v>316</v>
      </c>
      <c r="E278" t="str">
        <f>HYPERLINK("/pdf/2022_10_1080_0144929x_2021_1953597_the_relationship_between_online_political_participation_and_privacy_protection.pdf","open")</f>
        <v>open</v>
      </c>
      <c r="F278" t="s">
        <v>1054</v>
      </c>
      <c r="G278" t="s">
        <v>1054</v>
      </c>
      <c r="H278" t="s">
        <v>1054</v>
      </c>
      <c r="I278" t="s">
        <v>1054</v>
      </c>
      <c r="J278" t="s">
        <v>1054</v>
      </c>
      <c r="K278" t="s">
        <v>1054</v>
      </c>
      <c r="L278" t="s">
        <v>3909</v>
      </c>
    </row>
    <row r="279" spans="1:12" x14ac:dyDescent="0.2">
      <c r="A279" t="s">
        <v>1278</v>
      </c>
      <c r="B279" t="s">
        <v>1279</v>
      </c>
      <c r="C279" t="s">
        <v>60</v>
      </c>
      <c r="D279" t="s">
        <v>1280</v>
      </c>
      <c r="E279" t="str">
        <f>HYPERLINK("/pdf/2024_10_3390_jcp4020009_on_data_leakage_prevention_maturity_adapting_the_c2m2_framework.pdf","open")</f>
        <v>open</v>
      </c>
      <c r="F279" t="s">
        <v>1054</v>
      </c>
      <c r="G279" t="s">
        <v>1054</v>
      </c>
      <c r="H279" t="s">
        <v>1054</v>
      </c>
      <c r="I279" t="s">
        <v>1054</v>
      </c>
      <c r="J279" t="s">
        <v>1054</v>
      </c>
      <c r="K279" t="s">
        <v>1054</v>
      </c>
      <c r="L279" t="s">
        <v>3910</v>
      </c>
    </row>
    <row r="280" spans="1:12" x14ac:dyDescent="0.2">
      <c r="A280" t="s">
        <v>1282</v>
      </c>
      <c r="B280" t="s">
        <v>1283</v>
      </c>
      <c r="C280" t="s">
        <v>100</v>
      </c>
      <c r="D280" t="s">
        <v>1285</v>
      </c>
      <c r="E280" t="str">
        <f>HYPERLINK("/pdf/2022_10_17341_gazimmfd_641580_a_new_document_classification_algorithm_against_malicious_data_leakage_attacks_zararli_ya.pdf","open")</f>
        <v>open</v>
      </c>
      <c r="F280" t="s">
        <v>1609</v>
      </c>
      <c r="G280" t="s">
        <v>1609</v>
      </c>
      <c r="H280" t="s">
        <v>1609</v>
      </c>
      <c r="I280" t="s">
        <v>1604</v>
      </c>
      <c r="J280" t="s">
        <v>1609</v>
      </c>
      <c r="K280" t="s">
        <v>15</v>
      </c>
      <c r="L280" t="s">
        <v>3911</v>
      </c>
    </row>
    <row r="281" spans="1:12" x14ac:dyDescent="0.2">
      <c r="A281" t="s">
        <v>1287</v>
      </c>
      <c r="B281" t="s">
        <v>1288</v>
      </c>
      <c r="C281" t="s">
        <v>48</v>
      </c>
      <c r="D281" t="s">
        <v>1290</v>
      </c>
      <c r="E281" t="str">
        <f>HYPERLINK("/pdf/2026_10.1109_tce.2026.3652563_QFedPhish__A_Quantum-Inspired_Federated_Learning_Approach_for_Detecting_AI-Generated_Phishing_Attacks.pdf","open")</f>
        <v>open</v>
      </c>
      <c r="F281" t="s">
        <v>1054</v>
      </c>
      <c r="G281" t="s">
        <v>1054</v>
      </c>
      <c r="H281" t="s">
        <v>1054</v>
      </c>
      <c r="I281" t="s">
        <v>1604</v>
      </c>
      <c r="J281" t="s">
        <v>1604</v>
      </c>
      <c r="K281" t="s">
        <v>15</v>
      </c>
      <c r="L281" t="s">
        <v>3912</v>
      </c>
    </row>
    <row r="282" spans="1:12" x14ac:dyDescent="0.2">
      <c r="A282" t="s">
        <v>1292</v>
      </c>
      <c r="B282" t="s">
        <v>120</v>
      </c>
      <c r="C282" t="s">
        <v>19</v>
      </c>
      <c r="D282" t="s">
        <v>122</v>
      </c>
      <c r="E282" t="str">
        <f>HYPERLINK("/pdf/2025_10_14445_23488549_ijece_v12i10p115_qryptashield_quantum_inspired_feature_selection_and_rl_calibrated_federated_learning_for.pdf","open")</f>
        <v>open</v>
      </c>
      <c r="F282" t="s">
        <v>1609</v>
      </c>
      <c r="G282" t="s">
        <v>1054</v>
      </c>
      <c r="H282" t="s">
        <v>1609</v>
      </c>
      <c r="I282" t="s">
        <v>1604</v>
      </c>
      <c r="J282" t="s">
        <v>1609</v>
      </c>
      <c r="K282" t="s">
        <v>15</v>
      </c>
      <c r="L282" t="s">
        <v>3913</v>
      </c>
    </row>
    <row r="283" spans="1:12" x14ac:dyDescent="0.2">
      <c r="A283" t="s">
        <v>1294</v>
      </c>
      <c r="B283" t="s">
        <v>1295</v>
      </c>
      <c r="C283" t="s">
        <v>25</v>
      </c>
      <c r="D283" t="s">
        <v>148</v>
      </c>
      <c r="E283" t="str">
        <f>HYPERLINK("/pdf/2024_10_1007_s10586_023_04089_5_machine_learning_based_intrusion_detection_feature_selection_versus_feature_extraction.pdf","open")</f>
        <v>open</v>
      </c>
      <c r="F283" t="s">
        <v>1609</v>
      </c>
      <c r="G283" t="s">
        <v>1609</v>
      </c>
      <c r="H283" t="s">
        <v>1609</v>
      </c>
      <c r="I283" t="s">
        <v>1604</v>
      </c>
      <c r="J283" t="s">
        <v>1609</v>
      </c>
      <c r="K283" t="s">
        <v>15</v>
      </c>
      <c r="L283" t="s">
        <v>3914</v>
      </c>
    </row>
    <row r="284" spans="1:12" x14ac:dyDescent="0.2">
      <c r="A284" t="s">
        <v>1297</v>
      </c>
      <c r="B284" t="s">
        <v>680</v>
      </c>
      <c r="C284" t="s">
        <v>19</v>
      </c>
      <c r="D284" t="s">
        <v>682</v>
      </c>
      <c r="E284" t="str">
        <f>HYPERLINK("/pdf/2025_10_37934_araset_51_2_153176_detecting_wormhole_attack_in_environmental_monitoring_system_for_agriculture_using_deep_le.pdf","open")</f>
        <v>open</v>
      </c>
      <c r="F284" t="s">
        <v>1609</v>
      </c>
      <c r="G284" t="s">
        <v>1609</v>
      </c>
      <c r="H284" t="s">
        <v>1609</v>
      </c>
      <c r="I284" t="s">
        <v>1604</v>
      </c>
      <c r="J284" t="s">
        <v>1609</v>
      </c>
      <c r="K284" t="s">
        <v>15</v>
      </c>
      <c r="L284" t="s">
        <v>3915</v>
      </c>
    </row>
    <row r="285" spans="1:12" x14ac:dyDescent="0.2">
      <c r="A285" t="s">
        <v>1299</v>
      </c>
      <c r="B285" t="s">
        <v>1118</v>
      </c>
      <c r="C285" t="s">
        <v>48</v>
      </c>
      <c r="D285" t="s">
        <v>1300</v>
      </c>
      <c r="E285" t="str">
        <f>HYPERLINK("/pdf/2026_10_30598_barekengvol20iss2pp1675_1692_a_comparative_study_of_pipeline_validated_machine_learning_classifiers_for_permi.pdf","open")</f>
        <v>open</v>
      </c>
      <c r="F285" t="s">
        <v>1604</v>
      </c>
      <c r="G285" t="s">
        <v>1609</v>
      </c>
      <c r="H285" t="s">
        <v>1604</v>
      </c>
      <c r="I285" t="s">
        <v>1604</v>
      </c>
      <c r="J285" t="s">
        <v>1609</v>
      </c>
      <c r="K285" t="s">
        <v>15</v>
      </c>
      <c r="L285" t="s">
        <v>3916</v>
      </c>
    </row>
    <row r="286" spans="1:12" x14ac:dyDescent="0.2">
      <c r="A286" t="s">
        <v>1302</v>
      </c>
      <c r="B286" t="s">
        <v>1303</v>
      </c>
      <c r="C286" t="s">
        <v>60</v>
      </c>
      <c r="D286" t="s">
        <v>1302</v>
      </c>
      <c r="E286" t="str">
        <f>HYPERLINK("/pdf/2024_10.1145_3639821_TROP__TRust-aware_OPportunistic_Routing_in_NoC_with_Hardware_Trojans.pdf","open")</f>
        <v>open</v>
      </c>
      <c r="F286" t="s">
        <v>1054</v>
      </c>
      <c r="G286" t="s">
        <v>1054</v>
      </c>
      <c r="H286" t="s">
        <v>1054</v>
      </c>
      <c r="I286" t="s">
        <v>1054</v>
      </c>
      <c r="J286" t="s">
        <v>1054</v>
      </c>
      <c r="K286" t="s">
        <v>1054</v>
      </c>
      <c r="L286" t="s">
        <v>3917</v>
      </c>
    </row>
    <row r="287" spans="1:12" x14ac:dyDescent="0.2">
      <c r="A287" t="s">
        <v>1305</v>
      </c>
      <c r="B287" t="s">
        <v>1306</v>
      </c>
      <c r="C287" t="s">
        <v>19</v>
      </c>
      <c r="D287" t="s">
        <v>1307</v>
      </c>
      <c r="E287" t="str">
        <f>HYPERLINK("/pdf/2025_10.1109_iciccs65191.2025.10984918_Enhancing_Digital_Forensics_Security_Involves_the_Implementation_of_a_Robust_Storage_Framework_that_Employs_AE.pdf","open")</f>
        <v>open</v>
      </c>
      <c r="F287" t="s">
        <v>1054</v>
      </c>
      <c r="G287" t="s">
        <v>1054</v>
      </c>
      <c r="H287" t="s">
        <v>1054</v>
      </c>
      <c r="I287" t="s">
        <v>1054</v>
      </c>
      <c r="J287" t="s">
        <v>1054</v>
      </c>
      <c r="K287" t="s">
        <v>15</v>
      </c>
      <c r="L287" t="s">
        <v>3918</v>
      </c>
    </row>
    <row r="288" spans="1:12" x14ac:dyDescent="0.2">
      <c r="A288" t="s">
        <v>1309</v>
      </c>
      <c r="B288" t="s">
        <v>719</v>
      </c>
      <c r="C288" t="s">
        <v>25</v>
      </c>
      <c r="D288" t="s">
        <v>721</v>
      </c>
      <c r="E288" t="str">
        <f>HYPERLINK("/pdf/2023_10.1109_ispa-bdcloud-socialcom-sustaincom59178.2023.00094_PE-FedAvg__A_Privacy-Enhanced_Federated_Learning_for_Distributed_Android_Malware_Detection.pdf","open")</f>
        <v>open</v>
      </c>
      <c r="F288" t="s">
        <v>1609</v>
      </c>
      <c r="G288" t="s">
        <v>1609</v>
      </c>
      <c r="H288" t="s">
        <v>1054</v>
      </c>
      <c r="I288" t="s">
        <v>1604</v>
      </c>
      <c r="J288" t="s">
        <v>1609</v>
      </c>
      <c r="K288" t="s">
        <v>15</v>
      </c>
      <c r="L288" t="s">
        <v>3919</v>
      </c>
    </row>
    <row r="289" spans="1:12" x14ac:dyDescent="0.2">
      <c r="A289" t="s">
        <v>1312</v>
      </c>
      <c r="B289" t="s">
        <v>1313</v>
      </c>
      <c r="C289" t="s">
        <v>19</v>
      </c>
      <c r="D289" t="s">
        <v>1315</v>
      </c>
      <c r="E289" t="str">
        <f>HYPERLINK("/pdf/2025_10.1109_qpain66474.2025.11171834_Analyzing_Threats_in_Public_Wi-Fi__A_Study_of_Attack_Vectors,_Vulnerability_and_User_Awareness.pdf","open")</f>
        <v>open</v>
      </c>
      <c r="F289" t="s">
        <v>1054</v>
      </c>
      <c r="G289" t="s">
        <v>1054</v>
      </c>
      <c r="H289" t="s">
        <v>1054</v>
      </c>
      <c r="I289" t="s">
        <v>1054</v>
      </c>
      <c r="J289" t="s">
        <v>1054</v>
      </c>
      <c r="K289" t="s">
        <v>15</v>
      </c>
      <c r="L289" t="s">
        <v>3920</v>
      </c>
    </row>
    <row r="290" spans="1:12" x14ac:dyDescent="0.2">
      <c r="B290" t="s">
        <v>1317</v>
      </c>
      <c r="C290" t="s">
        <v>36</v>
      </c>
      <c r="D290" t="s">
        <v>148</v>
      </c>
      <c r="E290" t="str">
        <f>HYPERLINK("/pdf/2021_10_1109_csr51186_2021_9527960_understanding_and_mitigating_banking_trojans_from_zeus_to_emotet.pdf","open")</f>
        <v>open</v>
      </c>
      <c r="F290" t="s">
        <v>1609</v>
      </c>
      <c r="G290" t="s">
        <v>1609</v>
      </c>
      <c r="H290" t="s">
        <v>1609</v>
      </c>
      <c r="I290" t="s">
        <v>1609</v>
      </c>
      <c r="J290" t="s">
        <v>1609</v>
      </c>
      <c r="K290" t="s">
        <v>15</v>
      </c>
      <c r="L290" t="s">
        <v>3921</v>
      </c>
    </row>
    <row r="291" spans="1:12" x14ac:dyDescent="0.2">
      <c r="A291" t="s">
        <v>1320</v>
      </c>
      <c r="B291" t="s">
        <v>1321</v>
      </c>
      <c r="C291" t="s">
        <v>19</v>
      </c>
      <c r="D291" t="s">
        <v>1323</v>
      </c>
      <c r="E291" t="str">
        <f>HYPERLINK("/pdf/2025_10.1109_icoeca66273.2025.00049_Simulation,_Prevention_and_Mitigation_of_Ransomware,_DDOS_and_Advanced_Persistent_Threats.pdf","open")</f>
        <v>open</v>
      </c>
      <c r="F291" t="s">
        <v>1054</v>
      </c>
      <c r="G291" t="s">
        <v>1054</v>
      </c>
      <c r="H291" t="s">
        <v>1054</v>
      </c>
      <c r="I291" t="s">
        <v>1054</v>
      </c>
      <c r="J291" t="s">
        <v>1054</v>
      </c>
      <c r="K291" t="s">
        <v>15</v>
      </c>
      <c r="L291" t="s">
        <v>3922</v>
      </c>
    </row>
    <row r="292" spans="1:12" x14ac:dyDescent="0.2">
      <c r="A292" t="s">
        <v>1325</v>
      </c>
      <c r="B292" t="s">
        <v>1326</v>
      </c>
      <c r="C292" t="s">
        <v>19</v>
      </c>
      <c r="D292" t="s">
        <v>1328</v>
      </c>
      <c r="E292" t="str">
        <f>HYPERLINK("/pdf/2025_10_3390_jcp5040095_ai_augmented_soc_a_survey_of_llms_and_agents_for_security_automation.pdf","open")</f>
        <v>open</v>
      </c>
      <c r="F292" t="s">
        <v>1054</v>
      </c>
      <c r="G292" t="s">
        <v>1054</v>
      </c>
      <c r="H292" t="s">
        <v>1054</v>
      </c>
      <c r="I292" t="s">
        <v>1054</v>
      </c>
      <c r="J292" t="s">
        <v>1054</v>
      </c>
      <c r="K292" t="s">
        <v>15</v>
      </c>
      <c r="L292" t="s">
        <v>3923</v>
      </c>
    </row>
    <row r="293" spans="1:12" x14ac:dyDescent="0.2">
      <c r="A293" t="s">
        <v>1330</v>
      </c>
      <c r="B293" t="s">
        <v>1331</v>
      </c>
      <c r="C293" t="s">
        <v>25</v>
      </c>
      <c r="D293" t="s">
        <v>1333</v>
      </c>
      <c r="E293" t="str">
        <f>HYPERLINK("/pdf/2023_10.1109_icpics58376.2023.10235404_Detection_of_Data_Leakage_Based_on_DNS_Traffic.pdf","open")</f>
        <v>open</v>
      </c>
      <c r="F293" t="s">
        <v>1054</v>
      </c>
      <c r="G293" t="s">
        <v>1604</v>
      </c>
      <c r="H293" t="s">
        <v>1054</v>
      </c>
      <c r="I293" t="s">
        <v>1604</v>
      </c>
      <c r="J293" t="s">
        <v>1054</v>
      </c>
      <c r="K293" t="s">
        <v>44</v>
      </c>
      <c r="L293" t="s">
        <v>3924</v>
      </c>
    </row>
    <row r="294" spans="1:12" x14ac:dyDescent="0.2">
      <c r="A294" t="s">
        <v>1335</v>
      </c>
      <c r="B294" t="s">
        <v>1336</v>
      </c>
      <c r="C294" t="s">
        <v>190</v>
      </c>
      <c r="D294" t="s">
        <v>1338</v>
      </c>
      <c r="E294" t="str">
        <f>HYPERLINK("/pdf/2017_10.5220_0006195803800388_Enhancing_accuracy_of_android_malware_detection_using_intent_instrumentation.pdf","open")</f>
        <v>open</v>
      </c>
      <c r="F294" t="s">
        <v>1054</v>
      </c>
      <c r="G294" t="s">
        <v>1054</v>
      </c>
      <c r="H294" t="s">
        <v>1054</v>
      </c>
      <c r="I294" t="s">
        <v>1054</v>
      </c>
      <c r="J294" t="s">
        <v>1054</v>
      </c>
      <c r="K294" t="s">
        <v>15</v>
      </c>
      <c r="L294" t="s">
        <v>3925</v>
      </c>
    </row>
    <row r="295" spans="1:12" x14ac:dyDescent="0.2">
      <c r="A295" t="s">
        <v>1340</v>
      </c>
      <c r="B295" t="s">
        <v>1341</v>
      </c>
      <c r="C295" t="s">
        <v>19</v>
      </c>
      <c r="D295" t="s">
        <v>1343</v>
      </c>
      <c r="E295" t="str">
        <f>HYPERLINK("/pdf/2025_10.1007_978-981-96-2468-3_63_An_Approach_for_Malware_Classification_via_API_Call_Extraction_from_Disassembly_Code.pdf","open")</f>
        <v>open</v>
      </c>
      <c r="F295" t="s">
        <v>1054</v>
      </c>
      <c r="G295" t="s">
        <v>1054</v>
      </c>
      <c r="H295" t="s">
        <v>1054</v>
      </c>
      <c r="I295" t="s">
        <v>1054</v>
      </c>
      <c r="J295" t="s">
        <v>1054</v>
      </c>
      <c r="K295" t="s">
        <v>15</v>
      </c>
      <c r="L295" t="s">
        <v>3926</v>
      </c>
    </row>
    <row r="296" spans="1:12" x14ac:dyDescent="0.2">
      <c r="A296" t="s">
        <v>1345</v>
      </c>
      <c r="B296" t="s">
        <v>1346</v>
      </c>
      <c r="C296" t="s">
        <v>12</v>
      </c>
      <c r="D296" t="s">
        <v>1347</v>
      </c>
      <c r="E296" t="str">
        <f>HYPERLINK("/pdf/2018_10_11591_ijece_v8i4_pp2247_2253_a_survey_data_leakage_detection_techniques.pdf","open")</f>
        <v>open</v>
      </c>
      <c r="F296" t="s">
        <v>1054</v>
      </c>
      <c r="G296" t="s">
        <v>1054</v>
      </c>
      <c r="H296" t="s">
        <v>1054</v>
      </c>
      <c r="I296" t="s">
        <v>1054</v>
      </c>
      <c r="J296" t="s">
        <v>1054</v>
      </c>
      <c r="K296" t="s">
        <v>15</v>
      </c>
      <c r="L296" t="s">
        <v>3927</v>
      </c>
    </row>
    <row r="297" spans="1:12" x14ac:dyDescent="0.2">
      <c r="A297" t="s">
        <v>1349</v>
      </c>
      <c r="B297" t="s">
        <v>1350</v>
      </c>
      <c r="C297" t="s">
        <v>100</v>
      </c>
      <c r="D297" t="s">
        <v>148</v>
      </c>
      <c r="E297" t="str">
        <f>HYPERLINK("/pdf/2023_10_1109_tdsc_2022_3179698_blockchain_based_transparency_framework_for_privacy_preserving_third_party_services.pdf","open")</f>
        <v>open</v>
      </c>
      <c r="F297" t="s">
        <v>1054</v>
      </c>
      <c r="G297" t="s">
        <v>1054</v>
      </c>
      <c r="H297" t="s">
        <v>1054</v>
      </c>
      <c r="I297" t="s">
        <v>1054</v>
      </c>
      <c r="J297" t="s">
        <v>1054</v>
      </c>
      <c r="K297" t="s">
        <v>1054</v>
      </c>
      <c r="L297" t="s">
        <v>3928</v>
      </c>
    </row>
    <row r="298" spans="1:12" x14ac:dyDescent="0.2">
      <c r="A298" t="s">
        <v>1352</v>
      </c>
      <c r="B298" t="s">
        <v>79</v>
      </c>
      <c r="C298" t="s">
        <v>19</v>
      </c>
      <c r="D298" t="s">
        <v>81</v>
      </c>
      <c r="E298" t="str">
        <f>HYPERLINK("/pdf/2025_10_26583_sv_17_5_11_performance_comparison_of_various_software_tools_in_photogrammetry_based_digitization_and.pdf","open")</f>
        <v>open</v>
      </c>
      <c r="F298" t="s">
        <v>1054</v>
      </c>
      <c r="G298" t="s">
        <v>1054</v>
      </c>
      <c r="H298" t="s">
        <v>1054</v>
      </c>
      <c r="I298" t="s">
        <v>1054</v>
      </c>
      <c r="J298" t="s">
        <v>1054</v>
      </c>
      <c r="K298" t="s">
        <v>1054</v>
      </c>
      <c r="L298" t="s">
        <v>3929</v>
      </c>
    </row>
    <row r="299" spans="1:12" x14ac:dyDescent="0.2">
      <c r="A299" t="s">
        <v>1354</v>
      </c>
      <c r="B299" t="s">
        <v>1341</v>
      </c>
      <c r="C299" t="s">
        <v>19</v>
      </c>
      <c r="D299" t="s">
        <v>1343</v>
      </c>
      <c r="E299" t="str">
        <f>HYPERLINK("/pdf/2025_10.1109_idciot64235.2025.10914826_Artificial_Intelligence_to_Enhance_the_Security_of_Internet_of_Things__A_Comprehensive_Review.pdf","open")</f>
        <v>open</v>
      </c>
      <c r="F299" t="s">
        <v>1054</v>
      </c>
      <c r="G299" t="s">
        <v>1054</v>
      </c>
      <c r="H299" t="s">
        <v>1054</v>
      </c>
      <c r="I299" t="s">
        <v>1054</v>
      </c>
      <c r="J299" t="s">
        <v>1054</v>
      </c>
      <c r="K299" t="s">
        <v>1054</v>
      </c>
      <c r="L299" t="s">
        <v>3930</v>
      </c>
    </row>
    <row r="300" spans="1:12" x14ac:dyDescent="0.2">
      <c r="A300" t="s">
        <v>1357</v>
      </c>
      <c r="B300" t="s">
        <v>1358</v>
      </c>
      <c r="C300" t="s">
        <v>19</v>
      </c>
      <c r="D300" t="s">
        <v>1359</v>
      </c>
      <c r="E300" t="str">
        <f>HYPERLINK("/pdf/2025_10_14445_23488549_ijece_v12i8p111_real_time_intrusion_detection_using_adaptive_sliding_windows_for_concept_drift.pdf","open")</f>
        <v>open</v>
      </c>
      <c r="F300" t="s">
        <v>1609</v>
      </c>
      <c r="G300" t="s">
        <v>1604</v>
      </c>
      <c r="H300" t="s">
        <v>1054</v>
      </c>
      <c r="I300" t="s">
        <v>1604</v>
      </c>
      <c r="J300" t="s">
        <v>1604</v>
      </c>
      <c r="K300" t="s">
        <v>15</v>
      </c>
      <c r="L300" t="s">
        <v>3931</v>
      </c>
    </row>
    <row r="301" spans="1:12" x14ac:dyDescent="0.2">
      <c r="A301" t="s">
        <v>1361</v>
      </c>
      <c r="B301" t="s">
        <v>1362</v>
      </c>
      <c r="C301" t="s">
        <v>54</v>
      </c>
      <c r="D301" t="s">
        <v>148</v>
      </c>
      <c r="E301" t="str">
        <f>HYPERLINK("/pdf/2020_10_14569_ijacsa_2020_0111183_plusapps_towards_a_privacy_risk_analysis_for_android_plus_applications.pdf","open")</f>
        <v>open</v>
      </c>
      <c r="F301" t="s">
        <v>1604</v>
      </c>
      <c r="G301" t="s">
        <v>1609</v>
      </c>
      <c r="H301" t="s">
        <v>1609</v>
      </c>
      <c r="I301" t="s">
        <v>1604</v>
      </c>
      <c r="J301" t="s">
        <v>1609</v>
      </c>
      <c r="K301" t="s">
        <v>15</v>
      </c>
      <c r="L301" t="s">
        <v>3932</v>
      </c>
    </row>
    <row r="302" spans="1:12" x14ac:dyDescent="0.2">
      <c r="A302" t="s">
        <v>1365</v>
      </c>
      <c r="B302" t="s">
        <v>1366</v>
      </c>
      <c r="C302" t="s">
        <v>60</v>
      </c>
      <c r="D302" t="s">
        <v>1367</v>
      </c>
      <c r="E302" t="str">
        <f>HYPERLINK("/pdf/2024_10.1016_j.neucom.2024.128010_A_review_of_deep_learning_based_malware_detection_techniques.pdf","open")</f>
        <v>open</v>
      </c>
      <c r="F302" t="s">
        <v>1054</v>
      </c>
      <c r="G302" t="s">
        <v>1054</v>
      </c>
      <c r="H302" t="s">
        <v>1054</v>
      </c>
      <c r="I302" t="s">
        <v>1054</v>
      </c>
      <c r="J302" t="s">
        <v>1054</v>
      </c>
      <c r="K302" t="s">
        <v>15</v>
      </c>
      <c r="L302" t="s">
        <v>3933</v>
      </c>
    </row>
    <row r="303" spans="1:12" x14ac:dyDescent="0.2">
      <c r="A303" t="s">
        <v>1369</v>
      </c>
      <c r="B303" t="s">
        <v>1370</v>
      </c>
      <c r="C303" t="s">
        <v>19</v>
      </c>
      <c r="D303" t="s">
        <v>1371</v>
      </c>
      <c r="E303" t="str">
        <f>HYPERLINK("/pdf/2025_10.1007_s13198-025-03002-0_Artificial_intelligence_big_data_optimization_and_network_security_promote_rural_infrastructure_investment_dec.pdf","open")</f>
        <v>open</v>
      </c>
      <c r="F303" t="s">
        <v>1054</v>
      </c>
      <c r="G303" t="s">
        <v>1054</v>
      </c>
      <c r="H303" t="s">
        <v>1054</v>
      </c>
      <c r="I303" t="s">
        <v>1054</v>
      </c>
      <c r="J303" t="s">
        <v>1054</v>
      </c>
      <c r="K303" t="s">
        <v>15</v>
      </c>
      <c r="L303" t="s">
        <v>3934</v>
      </c>
    </row>
    <row r="304" spans="1:12" x14ac:dyDescent="0.2">
      <c r="A304" t="s">
        <v>1373</v>
      </c>
      <c r="B304" t="s">
        <v>1374</v>
      </c>
      <c r="C304" t="s">
        <v>19</v>
      </c>
      <c r="D304" t="s">
        <v>1376</v>
      </c>
      <c r="E304" t="str">
        <f>HYPERLINK("/pdf/2025_10.1109_dapic66097.2025.00172_Design_of_Artificial_Intelligence_Aided_Network_Intrusion_Detection_System_for_Critical_Infrastructure.pdf.pdf","open")</f>
        <v>open</v>
      </c>
      <c r="F304" t="s">
        <v>1609</v>
      </c>
      <c r="G304" t="s">
        <v>1609</v>
      </c>
      <c r="H304" t="s">
        <v>1609</v>
      </c>
      <c r="I304" t="s">
        <v>1604</v>
      </c>
      <c r="J304" t="s">
        <v>1609</v>
      </c>
      <c r="K304" t="s">
        <v>15</v>
      </c>
      <c r="L304" t="s">
        <v>3935</v>
      </c>
    </row>
    <row r="305" spans="1:12" x14ac:dyDescent="0.2">
      <c r="A305" t="s">
        <v>1378</v>
      </c>
      <c r="B305" t="s">
        <v>1379</v>
      </c>
      <c r="C305" t="s">
        <v>60</v>
      </c>
      <c r="D305" t="s">
        <v>148</v>
      </c>
      <c r="E305" t="str">
        <f>HYPERLINK("/pdf/2024_10_14569_ijacsa_2024_0150281_prominent_security_vulnerabilities_in_cloud_computing.pdf","open")</f>
        <v>open</v>
      </c>
      <c r="F305" t="s">
        <v>1054</v>
      </c>
      <c r="G305" t="s">
        <v>1054</v>
      </c>
      <c r="H305" t="s">
        <v>1054</v>
      </c>
      <c r="I305" t="s">
        <v>1054</v>
      </c>
      <c r="J305" t="s">
        <v>1054</v>
      </c>
      <c r="K305" t="s">
        <v>1054</v>
      </c>
      <c r="L305" t="s">
        <v>3936</v>
      </c>
    </row>
    <row r="306" spans="1:12" x14ac:dyDescent="0.2">
      <c r="A306" t="s">
        <v>1381</v>
      </c>
      <c r="B306" t="s">
        <v>1382</v>
      </c>
      <c r="C306" t="s">
        <v>36</v>
      </c>
      <c r="D306" t="s">
        <v>1384</v>
      </c>
      <c r="E306" t="str">
        <f>HYPERLINK("/pdf/2021_10.1109_icsc53193.2021.9673380_Detection_of_Tunneling_in_DNS_over_HTTPS.pdf","open")</f>
        <v>open</v>
      </c>
      <c r="F306" t="s">
        <v>1609</v>
      </c>
      <c r="G306" t="s">
        <v>1609</v>
      </c>
      <c r="H306" t="s">
        <v>1609</v>
      </c>
      <c r="I306" t="s">
        <v>1609</v>
      </c>
      <c r="J306" t="s">
        <v>1609</v>
      </c>
      <c r="K306" t="s">
        <v>15</v>
      </c>
      <c r="L306" t="s">
        <v>3937</v>
      </c>
    </row>
    <row r="307" spans="1:12" x14ac:dyDescent="0.2">
      <c r="A307" t="s">
        <v>1386</v>
      </c>
      <c r="B307" t="s">
        <v>1387</v>
      </c>
      <c r="C307" t="s">
        <v>100</v>
      </c>
      <c r="D307" t="s">
        <v>1389</v>
      </c>
      <c r="E307" t="str">
        <f>HYPERLINK("/pdf/2022_10.1109_icecet55527.2022.9872999_Data_Privacy_on_using_Four_Models-_A_Review.pdf","open")</f>
        <v>open</v>
      </c>
      <c r="F307" t="s">
        <v>1054</v>
      </c>
      <c r="G307" t="s">
        <v>1054</v>
      </c>
      <c r="H307" t="s">
        <v>1054</v>
      </c>
      <c r="I307" t="s">
        <v>1054</v>
      </c>
      <c r="J307" t="s">
        <v>1054</v>
      </c>
      <c r="K307" t="s">
        <v>1054</v>
      </c>
      <c r="L307" t="s">
        <v>3938</v>
      </c>
    </row>
    <row r="308" spans="1:12" x14ac:dyDescent="0.2">
      <c r="A308" t="s">
        <v>1391</v>
      </c>
      <c r="B308" t="s">
        <v>1392</v>
      </c>
      <c r="C308" t="s">
        <v>156</v>
      </c>
      <c r="D308" t="s">
        <v>148</v>
      </c>
      <c r="E308" t="str">
        <f>HYPERLINK("/pdf/2013_10.1109_ijcnn.2013.6706768_Concept_drift_detection_for_online_class_imbalance_learning.pdf","open")</f>
        <v>open</v>
      </c>
      <c r="F308" t="s">
        <v>1604</v>
      </c>
      <c r="G308" t="s">
        <v>1604</v>
      </c>
      <c r="H308" t="s">
        <v>1054</v>
      </c>
      <c r="I308" t="s">
        <v>1604</v>
      </c>
      <c r="J308" t="s">
        <v>1054</v>
      </c>
      <c r="K308" t="s">
        <v>44</v>
      </c>
      <c r="L308" t="s">
        <v>3939</v>
      </c>
    </row>
    <row r="309" spans="1:12" x14ac:dyDescent="0.2">
      <c r="A309" t="s">
        <v>1394</v>
      </c>
      <c r="B309" t="s">
        <v>1395</v>
      </c>
      <c r="C309" t="s">
        <v>19</v>
      </c>
      <c r="D309" t="s">
        <v>1397</v>
      </c>
      <c r="E309" t="str">
        <f>HYPERLINK("/pdf/2025_10.1016_j.csa.2025.100098_Leveraging_federated_learning_for_DoS_attack_detection_in_IoT_networks_based_on_ensemble_feature_selection_and.pdf","open")</f>
        <v>open</v>
      </c>
      <c r="F309" t="s">
        <v>1609</v>
      </c>
      <c r="G309" t="s">
        <v>1609</v>
      </c>
      <c r="H309" t="s">
        <v>1609</v>
      </c>
      <c r="I309" t="s">
        <v>1604</v>
      </c>
      <c r="J309" t="s">
        <v>1604</v>
      </c>
      <c r="K309" t="s">
        <v>15</v>
      </c>
      <c r="L309" t="s">
        <v>3940</v>
      </c>
    </row>
    <row r="310" spans="1:12" x14ac:dyDescent="0.2">
      <c r="A310" t="s">
        <v>1399</v>
      </c>
      <c r="B310" t="s">
        <v>1400</v>
      </c>
      <c r="C310" t="s">
        <v>48</v>
      </c>
      <c r="D310" t="s">
        <v>1401</v>
      </c>
      <c r="E310" t="str">
        <f>HYPERLINK("/pdf/2026_10.32604_cmc.2025.069102_LightweightMulti-Agent_edge_framework_for_cybersecurity_and_resource_optimization_inmobile_sensor_networks.pdf","open")</f>
        <v>open</v>
      </c>
      <c r="F310" t="s">
        <v>1609</v>
      </c>
      <c r="G310" t="s">
        <v>1054</v>
      </c>
      <c r="H310" t="s">
        <v>1609</v>
      </c>
      <c r="I310" t="s">
        <v>1609</v>
      </c>
      <c r="J310" t="s">
        <v>1609</v>
      </c>
      <c r="K310" t="s">
        <v>15</v>
      </c>
      <c r="L310" t="s">
        <v>3941</v>
      </c>
    </row>
    <row r="311" spans="1:12" x14ac:dyDescent="0.2">
      <c r="A311" t="s">
        <v>1403</v>
      </c>
      <c r="B311" t="s">
        <v>1350</v>
      </c>
      <c r="C311" t="s">
        <v>100</v>
      </c>
      <c r="D311" t="s">
        <v>148</v>
      </c>
      <c r="E311" t="str">
        <f>HYPERLINK("/pdf/2023_10_1109_tdsc_2022_3179698_blockchain_based_transparency_framework_for_privacy_preserving_third_party_servi.pdf","open")</f>
        <v>open</v>
      </c>
      <c r="F311" t="s">
        <v>1054</v>
      </c>
      <c r="G311" t="s">
        <v>1054</v>
      </c>
      <c r="H311" t="s">
        <v>1054</v>
      </c>
      <c r="I311" t="s">
        <v>1054</v>
      </c>
      <c r="J311" t="s">
        <v>1054</v>
      </c>
      <c r="K311" t="s">
        <v>15</v>
      </c>
      <c r="L311" t="s">
        <v>3942</v>
      </c>
    </row>
    <row r="312" spans="1:12" x14ac:dyDescent="0.2">
      <c r="A312" t="s">
        <v>1405</v>
      </c>
      <c r="B312" t="s">
        <v>1406</v>
      </c>
      <c r="C312" t="s">
        <v>19</v>
      </c>
      <c r="D312" t="s">
        <v>1408</v>
      </c>
      <c r="E312" t="str">
        <f>HYPERLINK("/pdf/2025_10.18196_jrc.v6i1.24529_A_Customized_Temporal_Federated_Learning_Through_Adversarial_Networks_for_Cyber_Attack_Detection_in_IoT.pdf","open")</f>
        <v>open</v>
      </c>
      <c r="F312" t="s">
        <v>1604</v>
      </c>
      <c r="G312" t="s">
        <v>1054</v>
      </c>
      <c r="H312" t="s">
        <v>1054</v>
      </c>
      <c r="I312" t="s">
        <v>1609</v>
      </c>
      <c r="J312" t="s">
        <v>1604</v>
      </c>
      <c r="K312" t="s">
        <v>15</v>
      </c>
      <c r="L312" t="s">
        <v>3943</v>
      </c>
    </row>
    <row r="313" spans="1:12" x14ac:dyDescent="0.2">
      <c r="A313" t="s">
        <v>1410</v>
      </c>
      <c r="B313" t="s">
        <v>1411</v>
      </c>
      <c r="C313" t="s">
        <v>12</v>
      </c>
      <c r="D313" t="s">
        <v>1412</v>
      </c>
      <c r="E313" t="str">
        <f>HYPERLINK("/pdf/2018_10_1109_noms_2018_8406153_generation_of_sdn_policies_for_protecting_android_environments_based_on_automata_learning.pdf","open")</f>
        <v>open</v>
      </c>
      <c r="F313" t="s">
        <v>1609</v>
      </c>
      <c r="G313" t="s">
        <v>1609</v>
      </c>
      <c r="H313" t="s">
        <v>1609</v>
      </c>
      <c r="I313" t="s">
        <v>1609</v>
      </c>
      <c r="J313" t="s">
        <v>1609</v>
      </c>
      <c r="K313" t="s">
        <v>15</v>
      </c>
      <c r="L313" t="s">
        <v>3944</v>
      </c>
    </row>
    <row r="314" spans="1:12" x14ac:dyDescent="0.2">
      <c r="A314" t="s">
        <v>1414</v>
      </c>
      <c r="B314" t="s">
        <v>1415</v>
      </c>
      <c r="C314" t="s">
        <v>60</v>
      </c>
      <c r="D314" t="s">
        <v>1417</v>
      </c>
      <c r="E314" t="str">
        <f>HYPERLINK("/pdf/2024_10.17770_etr2024vol2.8045_Data_Leakage_Prevention_and_Detection_in_Digital_Configurations__А_Survey.pdf","open")</f>
        <v>open</v>
      </c>
      <c r="F314" t="s">
        <v>1054</v>
      </c>
      <c r="G314" t="s">
        <v>1054</v>
      </c>
      <c r="H314" t="s">
        <v>1054</v>
      </c>
      <c r="I314" t="s">
        <v>1054</v>
      </c>
      <c r="J314" t="s">
        <v>1054</v>
      </c>
      <c r="K314" t="s">
        <v>1054</v>
      </c>
      <c r="L314" t="s">
        <v>3945</v>
      </c>
    </row>
    <row r="315" spans="1:12" x14ac:dyDescent="0.2">
      <c r="A315" t="s">
        <v>1419</v>
      </c>
      <c r="B315" t="s">
        <v>1420</v>
      </c>
      <c r="C315" t="s">
        <v>48</v>
      </c>
      <c r="D315" t="s">
        <v>1422</v>
      </c>
      <c r="E315" t="str">
        <f>HYPERLINK("/pdf/2026_10.1109_emr.2026.3661608_Cognitive_Security_Risks_and_Countermeasures_of_Generative_Artificial_Intelligence_in_Education_Management.pdf","open")</f>
        <v>open</v>
      </c>
      <c r="F315" t="s">
        <v>1054</v>
      </c>
      <c r="G315" t="s">
        <v>1054</v>
      </c>
      <c r="H315" t="s">
        <v>1054</v>
      </c>
      <c r="I315" t="s">
        <v>1054</v>
      </c>
      <c r="J315" t="s">
        <v>1054</v>
      </c>
      <c r="K315" t="s">
        <v>15</v>
      </c>
      <c r="L315" t="s">
        <v>3946</v>
      </c>
    </row>
    <row r="316" spans="1:12" x14ac:dyDescent="0.2">
      <c r="A316" t="s">
        <v>998</v>
      </c>
      <c r="B316" t="s">
        <v>999</v>
      </c>
      <c r="C316" t="s">
        <v>19</v>
      </c>
      <c r="D316" t="s">
        <v>1424</v>
      </c>
      <c r="E316" t="str">
        <f>HYPERLINK("/pdf/2025_10_1038_s41598_025_89794_4_revolutionary_hybrid_ensembled_deep_learning_model_for_accurate_and_robust_side_channel_at.pdf","open")</f>
        <v>open</v>
      </c>
      <c r="F316" t="s">
        <v>1604</v>
      </c>
      <c r="G316" t="s">
        <v>1609</v>
      </c>
      <c r="H316" t="s">
        <v>1054</v>
      </c>
      <c r="I316" t="s">
        <v>1604</v>
      </c>
      <c r="J316" t="s">
        <v>1604</v>
      </c>
      <c r="K316" t="s">
        <v>15</v>
      </c>
      <c r="L316" t="s">
        <v>3947</v>
      </c>
    </row>
    <row r="317" spans="1:12" x14ac:dyDescent="0.2">
      <c r="A317" t="s">
        <v>1426</v>
      </c>
      <c r="B317" t="s">
        <v>1427</v>
      </c>
      <c r="C317" t="s">
        <v>25</v>
      </c>
      <c r="D317" t="s">
        <v>1429</v>
      </c>
      <c r="E317" t="str">
        <f>HYPERLINK("/pdf/2023_10.1109_powercon58120.2023.10331301_Risk_Model_and_Defense_Strategy_for_Operation_and_Maintenance_of_Remote_Terminal_Units_in_Distribution_System.pdf","open")</f>
        <v>open</v>
      </c>
      <c r="F317" t="s">
        <v>1054</v>
      </c>
      <c r="G317" t="s">
        <v>1054</v>
      </c>
      <c r="H317" t="s">
        <v>1054</v>
      </c>
      <c r="I317" t="s">
        <v>1054</v>
      </c>
      <c r="J317" t="s">
        <v>1054</v>
      </c>
      <c r="K317" t="s">
        <v>15</v>
      </c>
      <c r="L317" t="s">
        <v>3948</v>
      </c>
    </row>
    <row r="318" spans="1:12" x14ac:dyDescent="0.2">
      <c r="A318" t="s">
        <v>1431</v>
      </c>
      <c r="B318" t="s">
        <v>1432</v>
      </c>
      <c r="C318" t="s">
        <v>19</v>
      </c>
      <c r="D318" t="s">
        <v>1434</v>
      </c>
      <c r="E318" t="str">
        <f>HYPERLINK("/pdf/2025_10.1109_aiotc66747.2025.11198781_Controller_Area_Network_Bus_Intrusion_Detection_Classification_Model_Based_on_Multimodal_Fusion_Mechanism.pdf","open")</f>
        <v>open</v>
      </c>
      <c r="F318" t="s">
        <v>1609</v>
      </c>
      <c r="G318" t="s">
        <v>1609</v>
      </c>
      <c r="H318" t="s">
        <v>1609</v>
      </c>
      <c r="I318" t="s">
        <v>1604</v>
      </c>
      <c r="J318" t="s">
        <v>1604</v>
      </c>
      <c r="K318" t="s">
        <v>15</v>
      </c>
      <c r="L318" t="s">
        <v>3949</v>
      </c>
    </row>
    <row r="319" spans="1:12" x14ac:dyDescent="0.2">
      <c r="A319" t="s">
        <v>1436</v>
      </c>
      <c r="B319" t="s">
        <v>1437</v>
      </c>
      <c r="C319" t="s">
        <v>19</v>
      </c>
      <c r="D319" t="s">
        <v>1436</v>
      </c>
      <c r="E319" t="str">
        <f>HYPERLINK("/pdf/2025_10.1109_iceic64972.2025.10879716_A_Study_on_the_Evaluation_of_Cyber_Security_Vulnerabilities_in_Medical_Software.pdf","open")</f>
        <v>open</v>
      </c>
      <c r="F319" t="s">
        <v>1054</v>
      </c>
      <c r="G319" t="s">
        <v>1054</v>
      </c>
      <c r="H319" t="s">
        <v>1054</v>
      </c>
      <c r="I319" t="s">
        <v>1054</v>
      </c>
      <c r="J319" t="s">
        <v>1054</v>
      </c>
      <c r="K319" t="s">
        <v>1054</v>
      </c>
      <c r="L319" t="s">
        <v>3950</v>
      </c>
    </row>
    <row r="320" spans="1:12" x14ac:dyDescent="0.2">
      <c r="A320" t="s">
        <v>1440</v>
      </c>
      <c r="B320" t="s">
        <v>1441</v>
      </c>
      <c r="C320" t="s">
        <v>19</v>
      </c>
      <c r="D320" t="s">
        <v>1443</v>
      </c>
      <c r="E320" t="str">
        <f>HYPERLINK("/pdf/2025_10.1007_s10489-025-06417-1_A_reinforcement_learning_malware_detection_model_based_on_heterogeneous_information_network_path_representatio.pdf","open")</f>
        <v>open</v>
      </c>
      <c r="F320" t="s">
        <v>1609</v>
      </c>
      <c r="G320" t="s">
        <v>1604</v>
      </c>
      <c r="H320" t="s">
        <v>1609</v>
      </c>
      <c r="I320" t="s">
        <v>1604</v>
      </c>
      <c r="J320" t="s">
        <v>1604</v>
      </c>
      <c r="K320" t="s">
        <v>590</v>
      </c>
      <c r="L320" t="s">
        <v>3951</v>
      </c>
    </row>
    <row r="321" spans="1:12" x14ac:dyDescent="0.2">
      <c r="A321" t="s">
        <v>1445</v>
      </c>
      <c r="B321" t="s">
        <v>1446</v>
      </c>
      <c r="C321" t="s">
        <v>25</v>
      </c>
      <c r="D321" t="s">
        <v>1448</v>
      </c>
      <c r="E321" t="str">
        <f>HYPERLINK("/pdf/2023_10.1109_icecs58634.2023.10382763_FPGA_Based_Intelligent_Hardware_Trojan_Design_and_its_SoC_Implementation.pdf","open")</f>
        <v>open</v>
      </c>
      <c r="F321" t="s">
        <v>1054</v>
      </c>
      <c r="G321" t="s">
        <v>1054</v>
      </c>
      <c r="H321" t="s">
        <v>1054</v>
      </c>
      <c r="I321" t="s">
        <v>1054</v>
      </c>
      <c r="J321" t="s">
        <v>1054</v>
      </c>
      <c r="K321" t="s">
        <v>15</v>
      </c>
      <c r="L321" t="s">
        <v>3952</v>
      </c>
    </row>
    <row r="322" spans="1:12" x14ac:dyDescent="0.2">
      <c r="A322" t="s">
        <v>1450</v>
      </c>
      <c r="B322" t="s">
        <v>1451</v>
      </c>
      <c r="C322" t="s">
        <v>60</v>
      </c>
      <c r="D322" t="s">
        <v>1453</v>
      </c>
      <c r="E322" t="str">
        <f>HYPERLINK("/pdf/2024_10.1109_peeec63877.2024.00092_Research_and_Implementation_of_Intelligent_Security_Protection_Algorithm_for_5G_Communication.pdf","open")</f>
        <v>open</v>
      </c>
      <c r="F322" t="s">
        <v>1609</v>
      </c>
      <c r="G322" t="s">
        <v>1609</v>
      </c>
      <c r="H322" t="s">
        <v>1609</v>
      </c>
      <c r="I322" t="s">
        <v>1609</v>
      </c>
      <c r="J322" t="s">
        <v>1609</v>
      </c>
      <c r="K322" t="s">
        <v>15</v>
      </c>
      <c r="L322" t="s">
        <v>3953</v>
      </c>
    </row>
    <row r="323" spans="1:12" x14ac:dyDescent="0.2">
      <c r="A323" t="s">
        <v>1455</v>
      </c>
      <c r="B323" t="s">
        <v>743</v>
      </c>
      <c r="C323" t="s">
        <v>60</v>
      </c>
      <c r="D323" t="s">
        <v>148</v>
      </c>
      <c r="E323" t="str">
        <f>HYPERLINK("/pdf/2024_10.19363_j.cnki.cn10-1380_tn.2024.01.06_Web_Attack_Detection_Method_Based_on_Stacking_Fusion_Model;_基于_Stacking_融合模型的_Web_攻击检测方法.pdf","open")</f>
        <v>open</v>
      </c>
      <c r="F323" t="s">
        <v>1054</v>
      </c>
      <c r="G323" t="s">
        <v>1054</v>
      </c>
      <c r="H323" t="s">
        <v>1054</v>
      </c>
      <c r="I323" t="s">
        <v>1054</v>
      </c>
      <c r="J323" t="s">
        <v>1054</v>
      </c>
      <c r="K323" t="s">
        <v>15</v>
      </c>
      <c r="L323" t="s">
        <v>3954</v>
      </c>
    </row>
    <row r="324" spans="1:12" x14ac:dyDescent="0.2">
      <c r="A324" t="s">
        <v>1457</v>
      </c>
      <c r="B324" t="s">
        <v>1458</v>
      </c>
      <c r="C324" t="s">
        <v>19</v>
      </c>
      <c r="D324" t="s">
        <v>1460</v>
      </c>
      <c r="E324" t="str">
        <f>HYPERLINK("/pdf/2025_10.1109_ijcnn64981.2025.11228082_An_Integrated_Approach_to_Mitigate_Poisoning_Attacks_in_Federated_Learning_Frameworks.pdf","open")</f>
        <v>open</v>
      </c>
      <c r="F324" t="s">
        <v>1609</v>
      </c>
      <c r="G324" t="s">
        <v>1609</v>
      </c>
      <c r="H324" t="s">
        <v>1609</v>
      </c>
      <c r="I324" t="s">
        <v>1604</v>
      </c>
      <c r="J324" t="s">
        <v>1609</v>
      </c>
      <c r="K324" t="s">
        <v>15</v>
      </c>
      <c r="L324" t="s">
        <v>3955</v>
      </c>
    </row>
    <row r="325" spans="1:12" x14ac:dyDescent="0.2">
      <c r="A325" t="s">
        <v>1462</v>
      </c>
      <c r="B325" t="s">
        <v>1463</v>
      </c>
      <c r="C325" t="s">
        <v>136</v>
      </c>
      <c r="D325" t="s">
        <v>148</v>
      </c>
      <c r="E325" t="str">
        <f>HYPERLINK("/pdf/2020_10.1007_978-3-030-15160-7_68_Information_Security_of_Mobile_Systems.pdf","open")</f>
        <v>open</v>
      </c>
      <c r="F325" t="s">
        <v>1054</v>
      </c>
      <c r="G325" t="s">
        <v>1054</v>
      </c>
      <c r="H325" t="s">
        <v>1054</v>
      </c>
      <c r="I325" t="s">
        <v>1054</v>
      </c>
      <c r="J325" t="s">
        <v>1054</v>
      </c>
      <c r="K325" t="s">
        <v>15</v>
      </c>
      <c r="L325" t="s">
        <v>3956</v>
      </c>
    </row>
    <row r="326" spans="1:12" x14ac:dyDescent="0.2">
      <c r="A326" t="s">
        <v>1465</v>
      </c>
      <c r="B326" t="s">
        <v>1466</v>
      </c>
      <c r="C326" t="s">
        <v>25</v>
      </c>
      <c r="D326" t="s">
        <v>1468</v>
      </c>
      <c r="E326" t="str">
        <f>HYPERLINK("/pdf/2023_10.1109_icodsa58501.2023.10276974_Public_Awareness_of_Phishing_in_Indonesia__System_Literature_Review.pdf","open")</f>
        <v>open</v>
      </c>
      <c r="F326" t="s">
        <v>1054</v>
      </c>
      <c r="G326" t="s">
        <v>1054</v>
      </c>
      <c r="H326" t="s">
        <v>1054</v>
      </c>
      <c r="I326" t="s">
        <v>1054</v>
      </c>
      <c r="J326" t="s">
        <v>1054</v>
      </c>
      <c r="K326" t="s">
        <v>15</v>
      </c>
      <c r="L326" t="s">
        <v>3957</v>
      </c>
    </row>
    <row r="327" spans="1:12" x14ac:dyDescent="0.2">
      <c r="A327" t="s">
        <v>1470</v>
      </c>
      <c r="B327" t="s">
        <v>779</v>
      </c>
      <c r="C327" t="s">
        <v>60</v>
      </c>
      <c r="D327" t="s">
        <v>778</v>
      </c>
      <c r="E327" t="str">
        <f>HYPERLINK("/pdf/2024_10_20473_mi_v7i3_55931_data_leakage_of_the_indonesian_elections_commission_in_legal_aspects_of_personal_data_prot.pdf","open")</f>
        <v>open</v>
      </c>
      <c r="F327" t="s">
        <v>1054</v>
      </c>
      <c r="G327" t="s">
        <v>1054</v>
      </c>
      <c r="H327" t="s">
        <v>1054</v>
      </c>
      <c r="I327" t="s">
        <v>1054</v>
      </c>
      <c r="J327" t="s">
        <v>1054</v>
      </c>
      <c r="K327" t="s">
        <v>1054</v>
      </c>
      <c r="L327" t="s">
        <v>3958</v>
      </c>
    </row>
    <row r="328" spans="1:12" x14ac:dyDescent="0.2">
      <c r="A328" t="s">
        <v>1472</v>
      </c>
      <c r="B328" t="s">
        <v>1222</v>
      </c>
      <c r="C328" t="s">
        <v>25</v>
      </c>
      <c r="D328" t="s">
        <v>1224</v>
      </c>
      <c r="E328" t="str">
        <f>HYPERLINK("/pdf/2023_10_1109_fmec59375_2023_10305886_an_overview_of_using_of_artificial_intelligence_in_enhancing_security_and_privacy_in_mobil.pdf","open")</f>
        <v>open</v>
      </c>
      <c r="F328" t="s">
        <v>1054</v>
      </c>
      <c r="G328" t="s">
        <v>1054</v>
      </c>
      <c r="H328" t="s">
        <v>1054</v>
      </c>
      <c r="I328" t="s">
        <v>1054</v>
      </c>
      <c r="J328" t="s">
        <v>1054</v>
      </c>
      <c r="K328" t="s">
        <v>1054</v>
      </c>
      <c r="L328" t="s">
        <v>3959</v>
      </c>
    </row>
    <row r="329" spans="1:12" x14ac:dyDescent="0.2">
      <c r="A329" t="s">
        <v>1475</v>
      </c>
      <c r="B329" t="s">
        <v>1476</v>
      </c>
      <c r="C329" t="s">
        <v>19</v>
      </c>
      <c r="D329" t="s">
        <v>1477</v>
      </c>
      <c r="E329" t="str">
        <f>HYPERLINK("/pdf/2025_10_1007_s10207_025_01044_w_a_survey_on_malware_attacks_in_industrial_air_gap_systems.pdf","open")</f>
        <v>open</v>
      </c>
      <c r="F329" t="s">
        <v>1054</v>
      </c>
      <c r="G329" t="s">
        <v>1054</v>
      </c>
      <c r="H329" t="s">
        <v>1054</v>
      </c>
      <c r="I329" t="s">
        <v>1054</v>
      </c>
      <c r="J329" t="s">
        <v>1054</v>
      </c>
      <c r="K329" t="s">
        <v>1054</v>
      </c>
      <c r="L329" t="s">
        <v>3960</v>
      </c>
    </row>
    <row r="330" spans="1:12" x14ac:dyDescent="0.2">
      <c r="A330" t="s">
        <v>1479</v>
      </c>
      <c r="B330" t="s">
        <v>1480</v>
      </c>
      <c r="C330" t="s">
        <v>60</v>
      </c>
      <c r="D330" t="s">
        <v>1481</v>
      </c>
      <c r="E330" t="str">
        <f>HYPERLINK("/pdf/2024_10_3390_jcp4040039_enhancing_cybersecurity_through_comprehensive_investigation_of_data_flow_based_attack_scen.pdf","open")</f>
        <v>open</v>
      </c>
      <c r="F330" t="s">
        <v>1054</v>
      </c>
      <c r="G330" t="s">
        <v>1054</v>
      </c>
      <c r="H330" t="s">
        <v>1054</v>
      </c>
      <c r="I330" t="s">
        <v>1054</v>
      </c>
      <c r="J330" t="s">
        <v>1054</v>
      </c>
      <c r="K330" t="s">
        <v>15</v>
      </c>
      <c r="L330" t="s">
        <v>3961</v>
      </c>
    </row>
    <row r="331" spans="1:12" x14ac:dyDescent="0.2">
      <c r="A331" t="s">
        <v>1483</v>
      </c>
      <c r="B331" t="s">
        <v>1484</v>
      </c>
      <c r="C331" t="s">
        <v>25</v>
      </c>
      <c r="D331" t="s">
        <v>1486</v>
      </c>
      <c r="E331" t="str">
        <f>HYPERLINK("/pdf/2023_10.1109_icicsp59554.2023.10390572_Network_Traffic_Forensics_and_Traceability_Technology_Based_on_Blockchain.pdf","open")</f>
        <v>open</v>
      </c>
      <c r="F331" t="s">
        <v>1054</v>
      </c>
      <c r="G331" t="s">
        <v>1054</v>
      </c>
      <c r="H331" t="s">
        <v>1054</v>
      </c>
      <c r="I331" t="s">
        <v>1054</v>
      </c>
      <c r="J331" t="s">
        <v>1054</v>
      </c>
      <c r="K331" t="s">
        <v>15</v>
      </c>
      <c r="L331" t="s">
        <v>3962</v>
      </c>
    </row>
    <row r="332" spans="1:12" x14ac:dyDescent="0.2">
      <c r="A332" t="s">
        <v>1488</v>
      </c>
      <c r="B332" t="s">
        <v>1441</v>
      </c>
      <c r="C332" t="s">
        <v>19</v>
      </c>
      <c r="D332" t="s">
        <v>1443</v>
      </c>
      <c r="E332" t="str">
        <f>HYPERLINK("/pdf/2025_10.1007_s11227-025-07116-x_GDT-IDS__graph-based_decision_tree_intrusion_detection_system_for_controller_area_network.pdf","open")</f>
        <v>open</v>
      </c>
      <c r="F332" t="s">
        <v>1609</v>
      </c>
      <c r="G332" t="s">
        <v>1609</v>
      </c>
      <c r="H332" t="s">
        <v>1609</v>
      </c>
      <c r="I332" t="s">
        <v>1604</v>
      </c>
      <c r="J332" t="s">
        <v>1604</v>
      </c>
      <c r="K332" t="s">
        <v>15</v>
      </c>
      <c r="L332" t="s">
        <v>3963</v>
      </c>
    </row>
    <row r="333" spans="1:12" x14ac:dyDescent="0.2">
      <c r="A333" t="s">
        <v>1490</v>
      </c>
      <c r="B333" t="s">
        <v>1491</v>
      </c>
      <c r="C333" t="s">
        <v>54</v>
      </c>
      <c r="D333" t="s">
        <v>1493</v>
      </c>
      <c r="E333" t="str">
        <f>HYPERLINK("/pdf/2020_10.1109_discover50404.2020.9278053_The_Mechanism_to_Combat_Data_Leakage_Trojans_in_Circuits_using_Ranomized_Encoding.pdf","open")</f>
        <v>open</v>
      </c>
      <c r="F333" t="s">
        <v>1609</v>
      </c>
      <c r="G333" t="s">
        <v>1609</v>
      </c>
      <c r="H333" t="s">
        <v>1609</v>
      </c>
      <c r="I333" t="s">
        <v>1609</v>
      </c>
      <c r="J333" t="s">
        <v>1609</v>
      </c>
      <c r="K333" t="s">
        <v>1054</v>
      </c>
      <c r="L333" t="s">
        <v>3964</v>
      </c>
    </row>
    <row r="334" spans="1:12" x14ac:dyDescent="0.2">
      <c r="A334" t="s">
        <v>1495</v>
      </c>
      <c r="B334" t="s">
        <v>1496</v>
      </c>
      <c r="C334" t="s">
        <v>36</v>
      </c>
      <c r="D334" t="s">
        <v>1495</v>
      </c>
      <c r="E334" t="str">
        <f>HYPERLINK("/pdf/2021_10.1145_3453800.3453824_Detect_Android_malware_by_using_deep_learning__Experiment_and_Evaluation.pdf","open")</f>
        <v>open</v>
      </c>
      <c r="F334" t="s">
        <v>1609</v>
      </c>
      <c r="G334" t="s">
        <v>1609</v>
      </c>
      <c r="H334" t="s">
        <v>1609</v>
      </c>
      <c r="I334" t="s">
        <v>1609</v>
      </c>
      <c r="J334" t="s">
        <v>1604</v>
      </c>
      <c r="K334" t="s">
        <v>15</v>
      </c>
      <c r="L334" t="s">
        <v>3965</v>
      </c>
    </row>
    <row r="335" spans="1:12" x14ac:dyDescent="0.2">
      <c r="A335" t="s">
        <v>1499</v>
      </c>
      <c r="B335" t="s">
        <v>1500</v>
      </c>
      <c r="C335" t="s">
        <v>60</v>
      </c>
      <c r="D335" t="s">
        <v>1502</v>
      </c>
      <c r="E335" t="str">
        <f>HYPERLINK("/pdf/2024_10.1109_itcem65710.2024.00030_Research_on_Network_Security_Threat_Detection_and_Defense_Mechanism_Based_on_Artificial_Intelligence.pdf","open")</f>
        <v>open</v>
      </c>
      <c r="F335" t="s">
        <v>1609</v>
      </c>
      <c r="G335" t="s">
        <v>1604</v>
      </c>
      <c r="H335" t="s">
        <v>1609</v>
      </c>
      <c r="I335" t="s">
        <v>1609</v>
      </c>
      <c r="J335" t="s">
        <v>1609</v>
      </c>
      <c r="K335" t="s">
        <v>15</v>
      </c>
      <c r="L335" t="s">
        <v>3966</v>
      </c>
    </row>
    <row r="336" spans="1:12" x14ac:dyDescent="0.2">
      <c r="A336" t="s">
        <v>1504</v>
      </c>
      <c r="B336" t="s">
        <v>1505</v>
      </c>
      <c r="C336" t="s">
        <v>19</v>
      </c>
      <c r="D336" t="s">
        <v>1507</v>
      </c>
      <c r="E336" t="str">
        <f>HYPERLINK("/pdf/2025_10.1109_sami63904.2025.10883123_Improving_Cybersecurity_in_Hospital_Information_Systems_through_Anonymization_Techniques.pdf","open")</f>
        <v>open</v>
      </c>
      <c r="F336" t="s">
        <v>1054</v>
      </c>
      <c r="G336" t="s">
        <v>1609</v>
      </c>
      <c r="H336" t="s">
        <v>1054</v>
      </c>
      <c r="I336" t="s">
        <v>1054</v>
      </c>
      <c r="J336" t="s">
        <v>1054</v>
      </c>
      <c r="K336" t="s">
        <v>1054</v>
      </c>
      <c r="L336" t="s">
        <v>3967</v>
      </c>
    </row>
    <row r="337" spans="1:12" x14ac:dyDescent="0.2">
      <c r="A337" t="s">
        <v>1509</v>
      </c>
      <c r="B337" t="s">
        <v>1088</v>
      </c>
      <c r="C337" t="s">
        <v>19</v>
      </c>
      <c r="D337" t="s">
        <v>1087</v>
      </c>
      <c r="E337" t="str">
        <f>HYPERLINK("/pdf/2025_10_11591_ijai_v14_i6_pp4913_4922_comparative_evaluation_of_machine_learning_models_for_intrusion_detection_in_wsn.pdf","open")</f>
        <v>open</v>
      </c>
      <c r="F337" t="s">
        <v>1604</v>
      </c>
      <c r="G337" t="s">
        <v>1609</v>
      </c>
      <c r="H337" t="s">
        <v>1609</v>
      </c>
      <c r="I337" t="s">
        <v>1604</v>
      </c>
      <c r="J337" t="s">
        <v>1604</v>
      </c>
      <c r="K337" t="s">
        <v>15</v>
      </c>
      <c r="L337" t="s">
        <v>3968</v>
      </c>
    </row>
    <row r="338" spans="1:12" x14ac:dyDescent="0.2">
      <c r="A338" t="s">
        <v>1511</v>
      </c>
      <c r="B338" t="s">
        <v>1512</v>
      </c>
      <c r="C338" t="s">
        <v>60</v>
      </c>
      <c r="D338" t="s">
        <v>1514</v>
      </c>
      <c r="E338" t="str">
        <f>HYPERLINK("/pdf/2024_10.1109_icctit64404.2024.10928389_Research_and_Construction_of_Multi-model_Fusionbased_Malicious_URL_Detection_Method.pdf","open")</f>
        <v>open</v>
      </c>
      <c r="F338" t="s">
        <v>1609</v>
      </c>
      <c r="G338" t="s">
        <v>1609</v>
      </c>
      <c r="H338" t="s">
        <v>1609</v>
      </c>
      <c r="I338" t="s">
        <v>1604</v>
      </c>
      <c r="J338" t="s">
        <v>1609</v>
      </c>
      <c r="K338" t="s">
        <v>15</v>
      </c>
      <c r="L338" t="s">
        <v>3969</v>
      </c>
    </row>
    <row r="339" spans="1:12" x14ac:dyDescent="0.2">
      <c r="A339" t="s">
        <v>1516</v>
      </c>
      <c r="B339" t="s">
        <v>1517</v>
      </c>
      <c r="C339" t="s">
        <v>19</v>
      </c>
      <c r="D339" t="s">
        <v>1518</v>
      </c>
      <c r="E339" t="str">
        <f>HYPERLINK("/pdf/2025_10.1109_access.2025.3588808_A_Federated_Learning_Model_for_Detecting_Cyberattacks_in_Internet_of_Medical_Things_Networks.pdf","open")</f>
        <v>open</v>
      </c>
      <c r="F339" t="s">
        <v>1609</v>
      </c>
      <c r="G339" t="s">
        <v>1609</v>
      </c>
      <c r="H339" t="s">
        <v>1609</v>
      </c>
      <c r="I339" t="s">
        <v>1604</v>
      </c>
      <c r="J339" t="s">
        <v>1609</v>
      </c>
      <c r="K339" t="s">
        <v>15</v>
      </c>
      <c r="L339" t="s">
        <v>3970</v>
      </c>
    </row>
    <row r="340" spans="1:12" x14ac:dyDescent="0.2">
      <c r="A340" t="s">
        <v>1520</v>
      </c>
      <c r="B340" t="s">
        <v>1521</v>
      </c>
      <c r="C340" t="s">
        <v>25</v>
      </c>
      <c r="D340" t="s">
        <v>1523</v>
      </c>
      <c r="E340" t="str">
        <f>HYPERLINK("/pdf/2023_10.1109_ictc58733.2023.10392902_Federated_Learning_with_Differential_Privacy_for_Intrusion_Detection_in_Internet_of_Flying_Things__A_Robust_Ap.pdf","open")</f>
        <v>open</v>
      </c>
      <c r="F340" t="s">
        <v>1609</v>
      </c>
      <c r="G340" t="s">
        <v>1609</v>
      </c>
      <c r="H340" t="s">
        <v>1609</v>
      </c>
      <c r="I340" t="s">
        <v>1604</v>
      </c>
      <c r="J340" t="s">
        <v>1609</v>
      </c>
      <c r="K340" t="s">
        <v>15</v>
      </c>
      <c r="L340" t="s">
        <v>3971</v>
      </c>
    </row>
    <row r="341" spans="1:12" x14ac:dyDescent="0.2">
      <c r="A341" t="s">
        <v>1525</v>
      </c>
      <c r="B341" t="s">
        <v>1526</v>
      </c>
      <c r="C341" t="s">
        <v>36</v>
      </c>
      <c r="D341" t="s">
        <v>1528</v>
      </c>
      <c r="E341" t="str">
        <f>HYPERLINK("/pdf/2021_10.1109_infocom42981.2021.9488914_Finding_critical_files_from_a_packet.pdf","open")</f>
        <v>open</v>
      </c>
      <c r="F341" t="s">
        <v>1604</v>
      </c>
      <c r="G341" t="s">
        <v>1609</v>
      </c>
      <c r="H341" t="s">
        <v>1604</v>
      </c>
      <c r="I341" t="s">
        <v>1604</v>
      </c>
      <c r="J341" t="s">
        <v>1604</v>
      </c>
      <c r="K341" t="s">
        <v>957</v>
      </c>
      <c r="L341" t="s">
        <v>3972</v>
      </c>
    </row>
    <row r="342" spans="1:12" x14ac:dyDescent="0.2">
      <c r="A342" t="s">
        <v>1530</v>
      </c>
      <c r="B342" t="s">
        <v>541</v>
      </c>
      <c r="C342" t="s">
        <v>25</v>
      </c>
      <c r="D342" t="s">
        <v>540</v>
      </c>
      <c r="E342" t="str">
        <f>HYPERLINK("/pdf/2024_10_1109_tdsc_2023_3323713_leakage_of_authorization_data_in_iot_device_sharing_new_attacks_and_countermeasure.pdf","open")</f>
        <v>open</v>
      </c>
      <c r="F342" t="s">
        <v>1657</v>
      </c>
      <c r="G342" t="s">
        <v>1657</v>
      </c>
      <c r="H342" t="s">
        <v>1657</v>
      </c>
      <c r="I342" t="s">
        <v>1657</v>
      </c>
      <c r="J342" t="s">
        <v>1657</v>
      </c>
      <c r="K342" t="s">
        <v>1054</v>
      </c>
      <c r="L342" t="s">
        <v>3973</v>
      </c>
    </row>
    <row r="343" spans="1:12" x14ac:dyDescent="0.2">
      <c r="A343" t="s">
        <v>1532</v>
      </c>
      <c r="B343" t="s">
        <v>1533</v>
      </c>
      <c r="C343" t="s">
        <v>36</v>
      </c>
      <c r="D343" t="s">
        <v>1535</v>
      </c>
      <c r="E343" t="str">
        <f>HYPERLINK("/pdf/2021_10.1109_mi-sta52233.2021.9464458_Deploying_Risk_Access_Models_in_a_Cloud_Environment__Possibilities_and_Challenges.pdf","open")</f>
        <v>open</v>
      </c>
      <c r="F343" t="s">
        <v>1054</v>
      </c>
      <c r="G343" t="s">
        <v>1054</v>
      </c>
      <c r="H343" t="s">
        <v>1054</v>
      </c>
      <c r="I343" t="s">
        <v>1054</v>
      </c>
      <c r="J343" t="s">
        <v>1054</v>
      </c>
      <c r="K343" t="s">
        <v>1054</v>
      </c>
      <c r="L343" t="s">
        <v>3974</v>
      </c>
    </row>
    <row r="344" spans="1:12" x14ac:dyDescent="0.2">
      <c r="A344" t="s">
        <v>1537</v>
      </c>
      <c r="B344" t="s">
        <v>1283</v>
      </c>
      <c r="C344" t="s">
        <v>100</v>
      </c>
      <c r="D344" t="s">
        <v>1285</v>
      </c>
      <c r="E344" t="str">
        <f>HYPERLINK("/pdf/2022_10_17341_gazimmfd_641580_a_new_document_classification_algorithm_against_malicious_data_leakage_attacks.pdf","open")</f>
        <v>open</v>
      </c>
      <c r="F344" t="s">
        <v>1609</v>
      </c>
      <c r="G344" t="s">
        <v>1609</v>
      </c>
      <c r="H344" t="s">
        <v>1054</v>
      </c>
      <c r="I344" t="s">
        <v>1604</v>
      </c>
      <c r="J344" t="s">
        <v>1604</v>
      </c>
      <c r="K344" t="s">
        <v>15</v>
      </c>
      <c r="L344" t="s">
        <v>3975</v>
      </c>
    </row>
    <row r="345" spans="1:12" x14ac:dyDescent="0.2">
      <c r="A345" t="s">
        <v>1540</v>
      </c>
      <c r="B345" t="s">
        <v>1541</v>
      </c>
      <c r="C345" t="s">
        <v>100</v>
      </c>
      <c r="D345" t="s">
        <v>1543</v>
      </c>
      <c r="E345" t="str">
        <f>HYPERLINK("/pdf/2022_10_1109_ipsn54338_2022_00040_deepauditor_distributed_online_intrusion_detection_system_for_iot_devices_via_power_side.pdf","open")</f>
        <v>open</v>
      </c>
      <c r="F345" t="s">
        <v>1604</v>
      </c>
      <c r="G345" t="s">
        <v>1609</v>
      </c>
      <c r="H345" t="s">
        <v>1604</v>
      </c>
      <c r="I345" t="s">
        <v>1604</v>
      </c>
      <c r="J345" t="s">
        <v>1604</v>
      </c>
      <c r="K345" t="s">
        <v>44</v>
      </c>
      <c r="L345" t="s">
        <v>3976</v>
      </c>
    </row>
    <row r="346" spans="1:12" x14ac:dyDescent="0.2">
      <c r="A346" t="s">
        <v>1545</v>
      </c>
      <c r="B346" t="s">
        <v>1546</v>
      </c>
      <c r="C346" t="s">
        <v>36</v>
      </c>
      <c r="D346" t="s">
        <v>1548</v>
      </c>
      <c r="E346" t="str">
        <f>HYPERLINK("/pdf/2021_10.1109_icsip52628.2021.9689011_A_Covert_Communication_Method_Based_on_Gradient_Model.pdf","open")</f>
        <v>open</v>
      </c>
      <c r="F346" t="s">
        <v>1609</v>
      </c>
      <c r="G346" t="s">
        <v>1609</v>
      </c>
      <c r="H346" t="s">
        <v>1609</v>
      </c>
      <c r="I346" t="s">
        <v>1604</v>
      </c>
      <c r="J346" t="s">
        <v>1609</v>
      </c>
      <c r="K346" t="s">
        <v>15</v>
      </c>
      <c r="L346" t="s">
        <v>3977</v>
      </c>
    </row>
    <row r="347" spans="1:12" x14ac:dyDescent="0.2">
      <c r="A347" t="s">
        <v>1550</v>
      </c>
      <c r="B347" t="s">
        <v>1551</v>
      </c>
      <c r="C347" t="s">
        <v>25</v>
      </c>
      <c r="D347" t="s">
        <v>148</v>
      </c>
      <c r="E347" t="str">
        <f>HYPERLINK("/pdf/2024_10_1109_tase_2023_3267034_transactive_energy_system_deployment_over_insecure_communication_links.pdf","open")</f>
        <v>open</v>
      </c>
      <c r="F347" t="s">
        <v>1054</v>
      </c>
      <c r="G347" t="s">
        <v>1054</v>
      </c>
      <c r="H347" t="s">
        <v>1054</v>
      </c>
      <c r="I347" t="s">
        <v>1054</v>
      </c>
      <c r="J347" t="s">
        <v>1054</v>
      </c>
      <c r="K347" t="s">
        <v>1054</v>
      </c>
      <c r="L347" t="s">
        <v>3978</v>
      </c>
    </row>
    <row r="348" spans="1:12" x14ac:dyDescent="0.2">
      <c r="A348" t="s">
        <v>1554</v>
      </c>
      <c r="B348" t="s">
        <v>1555</v>
      </c>
      <c r="C348" t="s">
        <v>36</v>
      </c>
      <c r="D348" t="s">
        <v>1557</v>
      </c>
      <c r="E348" t="str">
        <f>HYPERLINK("/pdf/2021_10.1145_3503823.3503886_Uncuffed__A_Blockchain-based_Secure_Messaging_System.pdf","open")</f>
        <v>open</v>
      </c>
      <c r="F348" t="s">
        <v>1054</v>
      </c>
      <c r="G348" t="s">
        <v>1054</v>
      </c>
      <c r="H348" t="s">
        <v>1054</v>
      </c>
      <c r="I348" t="s">
        <v>1054</v>
      </c>
      <c r="J348" t="s">
        <v>1054</v>
      </c>
      <c r="K348" t="s">
        <v>1054</v>
      </c>
      <c r="L348" t="s">
        <v>3979</v>
      </c>
    </row>
    <row r="349" spans="1:12" x14ac:dyDescent="0.2">
      <c r="A349" t="s">
        <v>1559</v>
      </c>
      <c r="B349" t="s">
        <v>337</v>
      </c>
      <c r="C349" t="s">
        <v>19</v>
      </c>
      <c r="D349" t="s">
        <v>1560</v>
      </c>
      <c r="E349" t="str">
        <f>HYPERLINK("/pdf/2025_10_1007_s13198_025_03013_x_mobile_network_intelligent_recommendation_based_on_data_mining_and_network_secur.pdf","open")</f>
        <v>open</v>
      </c>
      <c r="F349" t="s">
        <v>1609</v>
      </c>
      <c r="G349" t="s">
        <v>1609</v>
      </c>
      <c r="H349" t="s">
        <v>1609</v>
      </c>
      <c r="I349" t="s">
        <v>1609</v>
      </c>
      <c r="J349" t="s">
        <v>1604</v>
      </c>
      <c r="K349" t="s">
        <v>15</v>
      </c>
      <c r="L349" t="s">
        <v>3980</v>
      </c>
    </row>
    <row r="350" spans="1:12" x14ac:dyDescent="0.2">
      <c r="A350" t="s">
        <v>1562</v>
      </c>
      <c r="B350" t="s">
        <v>59</v>
      </c>
      <c r="C350" t="s">
        <v>60</v>
      </c>
      <c r="D350" t="s">
        <v>62</v>
      </c>
      <c r="E350" t="str">
        <f>HYPERLINK("/pdf/2024_10_17770_etr2024vol2_8062_management_approaches_and_application_areas_of_information_security_in_organizat.pdf","open")</f>
        <v>open</v>
      </c>
      <c r="F350" t="s">
        <v>1054</v>
      </c>
      <c r="G350" t="s">
        <v>1054</v>
      </c>
      <c r="H350" t="s">
        <v>1054</v>
      </c>
      <c r="I350" t="s">
        <v>1054</v>
      </c>
      <c r="J350" t="s">
        <v>1054</v>
      </c>
      <c r="K350" t="s">
        <v>1054</v>
      </c>
      <c r="L350" t="s">
        <v>3981</v>
      </c>
    </row>
    <row r="351" spans="1:12" x14ac:dyDescent="0.2">
      <c r="A351" t="s">
        <v>1565</v>
      </c>
      <c r="B351" t="s">
        <v>1566</v>
      </c>
      <c r="C351" t="s">
        <v>60</v>
      </c>
      <c r="D351" t="s">
        <v>1417</v>
      </c>
      <c r="E351" t="str">
        <f>HYPERLINK("/pdf/2024_10_17770_etr2024vol2_8045_data_leakage_prevention_and_detection_in_digital_configurations_a_survey.pdf","open")</f>
        <v>open</v>
      </c>
      <c r="F351" t="s">
        <v>1054</v>
      </c>
      <c r="G351" t="s">
        <v>1054</v>
      </c>
      <c r="H351" t="s">
        <v>1054</v>
      </c>
      <c r="I351" t="s">
        <v>1054</v>
      </c>
      <c r="J351" t="s">
        <v>1054</v>
      </c>
      <c r="K351" t="s">
        <v>1054</v>
      </c>
      <c r="L351" t="s">
        <v>3982</v>
      </c>
    </row>
    <row r="352" spans="1:12" x14ac:dyDescent="0.2">
      <c r="A352" t="s">
        <v>34</v>
      </c>
      <c r="B352" t="s">
        <v>35</v>
      </c>
      <c r="C352" t="s">
        <v>36</v>
      </c>
      <c r="D352" t="s">
        <v>38</v>
      </c>
      <c r="E352" t="str">
        <f>HYPERLINK("/pdf/2021_10_32604_cmc_2021_016626_an_optimal_big_data_analytics_with_concept_drift_detection_on_high_dimensional_s.pdf","open")</f>
        <v>open</v>
      </c>
      <c r="F352" t="s">
        <v>1609</v>
      </c>
      <c r="G352" t="s">
        <v>1604</v>
      </c>
      <c r="H352" t="s">
        <v>1609</v>
      </c>
      <c r="I352" t="s">
        <v>1609</v>
      </c>
      <c r="J352" t="s">
        <v>1604</v>
      </c>
      <c r="K352" t="s">
        <v>15</v>
      </c>
      <c r="L352" t="s">
        <v>3983</v>
      </c>
    </row>
    <row r="353" spans="1:12" x14ac:dyDescent="0.2">
      <c r="A353" t="s">
        <v>69</v>
      </c>
      <c r="B353" t="s">
        <v>70</v>
      </c>
      <c r="C353" t="s">
        <v>25</v>
      </c>
      <c r="D353" t="s">
        <v>72</v>
      </c>
      <c r="E353" t="str">
        <f>HYPERLINK("/pdf/2023_10_7717_peerj_cs_1543_scheduling_algorithms_for_data_protection_based_on_security_classification_const.pdf","open")</f>
        <v>open</v>
      </c>
      <c r="F353" t="s">
        <v>1609</v>
      </c>
      <c r="G353" t="s">
        <v>1609</v>
      </c>
      <c r="H353" t="s">
        <v>1609</v>
      </c>
      <c r="I353" t="s">
        <v>1609</v>
      </c>
      <c r="J353" t="s">
        <v>1604</v>
      </c>
      <c r="K353" t="s">
        <v>15</v>
      </c>
      <c r="L353" t="s">
        <v>3984</v>
      </c>
    </row>
    <row r="354" spans="1:12" x14ac:dyDescent="0.2">
      <c r="A354" t="s">
        <v>1554</v>
      </c>
      <c r="B354" t="s">
        <v>1555</v>
      </c>
      <c r="C354" t="s">
        <v>36</v>
      </c>
      <c r="D354" t="s">
        <v>1557</v>
      </c>
      <c r="E354" t="str">
        <f>HYPERLINK("/pdf/2021_10_1145_3503823_3503886_uncuffed_a_blockchain_based_secure_messaging_system.pdf","open")</f>
        <v>open</v>
      </c>
      <c r="F354" t="s">
        <v>1609</v>
      </c>
      <c r="G354" t="s">
        <v>1609</v>
      </c>
      <c r="H354" t="s">
        <v>1609</v>
      </c>
      <c r="I354" t="s">
        <v>1609</v>
      </c>
      <c r="J354" t="s">
        <v>1609</v>
      </c>
      <c r="K354" t="s">
        <v>1054</v>
      </c>
      <c r="L354" t="s">
        <v>3985</v>
      </c>
    </row>
  </sheetData>
  <pageMargins left="0.75" right="0.75" top="1" bottom="1" header="0.5" footer="0.5"/>
  <pageSetup paperSize="9" orientation="portrait" horizontalDpi="0" verticalDpi="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354"/>
  <sheetViews>
    <sheetView workbookViewId="0">
      <pane ySplit="1" topLeftCell="A3" activePane="bottomLeft" state="frozen"/>
      <selection pane="bottomLeft" activeCell="I1" sqref="I1"/>
    </sheetView>
  </sheetViews>
  <sheetFormatPr baseColWidth="10" defaultColWidth="8.83203125" defaultRowHeight="15" x14ac:dyDescent="0.2"/>
  <cols>
    <col min="1" max="5" width="12" customWidth="1"/>
    <col min="6" max="8" width="16" customWidth="1"/>
    <col min="9" max="9" width="29" customWidth="1"/>
    <col min="10" max="10" width="32" customWidth="1"/>
  </cols>
  <sheetData>
    <row r="1" spans="1:10" ht="16" x14ac:dyDescent="0.2">
      <c r="A1" s="1" t="s">
        <v>0</v>
      </c>
      <c r="B1" s="1" t="s">
        <v>1</v>
      </c>
      <c r="C1" s="1" t="s">
        <v>2</v>
      </c>
      <c r="D1" s="1" t="s">
        <v>4</v>
      </c>
      <c r="E1" s="1" t="s">
        <v>6</v>
      </c>
      <c r="F1" s="1" t="s">
        <v>3986</v>
      </c>
      <c r="G1" s="1" t="s">
        <v>3987</v>
      </c>
      <c r="H1" s="1" t="s">
        <v>3988</v>
      </c>
      <c r="I1" s="1" t="s">
        <v>3989</v>
      </c>
      <c r="J1" s="1" t="s">
        <v>3990</v>
      </c>
    </row>
    <row r="2" spans="1:10" x14ac:dyDescent="0.2">
      <c r="A2" t="s">
        <v>10</v>
      </c>
      <c r="B2" t="s">
        <v>11</v>
      </c>
      <c r="C2" t="s">
        <v>12</v>
      </c>
      <c r="D2" t="s">
        <v>14</v>
      </c>
      <c r="E2" t="str">
        <f>HYPERLINK("/pdf/2018_10_1007_978_1_4842_3700_7_defending_iot_infrastructures_with_the_raspberry_pi_monitoring_and_detecting_ne.pdf","open")</f>
        <v>open</v>
      </c>
      <c r="F2" t="s">
        <v>3991</v>
      </c>
      <c r="G2" t="s">
        <v>3992</v>
      </c>
      <c r="H2" t="s">
        <v>3993</v>
      </c>
      <c r="I2" t="s">
        <v>3994</v>
      </c>
      <c r="J2" t="s">
        <v>3995</v>
      </c>
    </row>
    <row r="3" spans="1:10" x14ac:dyDescent="0.2">
      <c r="A3" t="s">
        <v>17</v>
      </c>
      <c r="B3" t="s">
        <v>18</v>
      </c>
      <c r="C3" t="s">
        <v>19</v>
      </c>
      <c r="D3" t="s">
        <v>21</v>
      </c>
      <c r="E3" t="str">
        <f>HYPERLINK("/pdf/2025_10.1109_ecce64574.2025.11013816_Intrusion_Detection_System_on_IoT_Devices_via_Federated_Learning.pdf","open")</f>
        <v>open</v>
      </c>
      <c r="F3" t="s">
        <v>3996</v>
      </c>
      <c r="G3" t="s">
        <v>3997</v>
      </c>
      <c r="H3" t="s">
        <v>3998</v>
      </c>
      <c r="I3" t="s">
        <v>3999</v>
      </c>
      <c r="J3" t="s">
        <v>4000</v>
      </c>
    </row>
    <row r="4" spans="1:10" x14ac:dyDescent="0.2">
      <c r="A4" t="s">
        <v>23</v>
      </c>
      <c r="B4" t="s">
        <v>24</v>
      </c>
      <c r="C4" t="s">
        <v>25</v>
      </c>
      <c r="D4" t="s">
        <v>27</v>
      </c>
      <c r="E4" t="str">
        <f>HYPERLINK("/pdf/2023_10.1109_icict57646.2023.10133997_Enhancing_Home_Security__user_Authentication_Techniques_for_Home_Automation.pdf","open")</f>
        <v>open</v>
      </c>
      <c r="F4" t="s">
        <v>4001</v>
      </c>
      <c r="G4" t="s">
        <v>4002</v>
      </c>
      <c r="H4" t="s">
        <v>4003</v>
      </c>
      <c r="I4" t="s">
        <v>148</v>
      </c>
      <c r="J4" t="s">
        <v>4004</v>
      </c>
    </row>
    <row r="5" spans="1:10" x14ac:dyDescent="0.2">
      <c r="A5" t="s">
        <v>29</v>
      </c>
      <c r="B5" t="s">
        <v>30</v>
      </c>
      <c r="C5" t="s">
        <v>25</v>
      </c>
      <c r="D5" t="s">
        <v>32</v>
      </c>
      <c r="E5" t="str">
        <f>HYPERLINK("/pdf/2023_10_3390_s23208407_a_lightweight_unsupervised_intrusion_detection_model_based_on_variational_auto_encoder.pdf","open")</f>
        <v>open</v>
      </c>
      <c r="F5" t="s">
        <v>4005</v>
      </c>
      <c r="G5" t="s">
        <v>4006</v>
      </c>
      <c r="H5" t="s">
        <v>4007</v>
      </c>
      <c r="I5" t="s">
        <v>4008</v>
      </c>
      <c r="J5" t="s">
        <v>4009</v>
      </c>
    </row>
    <row r="6" spans="1:10" x14ac:dyDescent="0.2">
      <c r="A6" t="s">
        <v>34</v>
      </c>
      <c r="B6" t="s">
        <v>35</v>
      </c>
      <c r="C6" t="s">
        <v>36</v>
      </c>
      <c r="D6" t="s">
        <v>38</v>
      </c>
      <c r="E6" t="str">
        <f>HYPERLINK("/pdf/2021_10.32604_cmc.2021.016626_An_optimal_big_data_analytics_with_concept_drift_detection_on_high-dimensional_streaming_data.pdf","open")</f>
        <v>open</v>
      </c>
      <c r="F6" t="s">
        <v>4010</v>
      </c>
      <c r="G6" t="s">
        <v>4011</v>
      </c>
      <c r="H6" t="s">
        <v>4012</v>
      </c>
      <c r="I6" t="s">
        <v>4013</v>
      </c>
      <c r="J6" t="s">
        <v>4014</v>
      </c>
    </row>
    <row r="7" spans="1:10" x14ac:dyDescent="0.2">
      <c r="A7" t="s">
        <v>40</v>
      </c>
      <c r="B7" t="s">
        <v>41</v>
      </c>
      <c r="C7" t="s">
        <v>19</v>
      </c>
      <c r="D7" t="s">
        <v>43</v>
      </c>
      <c r="E7" t="str">
        <f>HYPERLINK("/pdf/2025_10.1002_9781394250141.ch11_Security_and_privacy_issues_in_RIS-based_wireless_communication_systems.pdf","open")</f>
        <v>open</v>
      </c>
      <c r="F7" t="s">
        <v>4015</v>
      </c>
      <c r="G7" t="s">
        <v>4016</v>
      </c>
      <c r="H7" t="s">
        <v>4017</v>
      </c>
      <c r="I7" t="s">
        <v>148</v>
      </c>
      <c r="J7" t="s">
        <v>4018</v>
      </c>
    </row>
    <row r="8" spans="1:10" x14ac:dyDescent="0.2">
      <c r="A8" t="s">
        <v>46</v>
      </c>
      <c r="B8" t="s">
        <v>47</v>
      </c>
      <c r="C8" t="s">
        <v>48</v>
      </c>
      <c r="D8" t="s">
        <v>50</v>
      </c>
      <c r="E8" t="str">
        <f>HYPERLINK("/pdf/2026_10.1109_mcomstd.2026.3653959_Robust_and_Privacy-Aware_Network_Flow_Watermarking_for_Digital_Twin_Communications_in_5G_6G_Edge_Environments.pdf","open")</f>
        <v>open</v>
      </c>
      <c r="F8" t="s">
        <v>4019</v>
      </c>
      <c r="G8" t="s">
        <v>4020</v>
      </c>
      <c r="H8" t="s">
        <v>4021</v>
      </c>
      <c r="I8" t="s">
        <v>4022</v>
      </c>
      <c r="J8" t="s">
        <v>4023</v>
      </c>
    </row>
    <row r="9" spans="1:10" x14ac:dyDescent="0.2">
      <c r="A9" t="s">
        <v>52</v>
      </c>
      <c r="B9" t="s">
        <v>53</v>
      </c>
      <c r="C9" t="s">
        <v>54</v>
      </c>
      <c r="D9" t="s">
        <v>56</v>
      </c>
      <c r="E9" t="str">
        <f>HYPERLINK("/pdf/2020_10_3390_app10113978_droid_portrait_android_malware_portrait_construction_based_on_multidimensional_behavior_a.pdf","open")</f>
        <v>open</v>
      </c>
      <c r="F9" t="s">
        <v>4024</v>
      </c>
      <c r="G9" t="s">
        <v>4025</v>
      </c>
      <c r="H9" t="s">
        <v>4026</v>
      </c>
      <c r="I9" t="s">
        <v>4027</v>
      </c>
      <c r="J9" t="s">
        <v>4028</v>
      </c>
    </row>
    <row r="10" spans="1:10" x14ac:dyDescent="0.2">
      <c r="A10" t="s">
        <v>58</v>
      </c>
      <c r="B10" t="s">
        <v>59</v>
      </c>
      <c r="C10" t="s">
        <v>60</v>
      </c>
      <c r="D10" t="s">
        <v>62</v>
      </c>
      <c r="E10" t="str">
        <f>HYPERLINK("/pdf/2024_10.17770_etr2024vol2.8062_Management_approaches_and_application_areas_of_information_security_in_organizations.pdf","open")</f>
        <v>open</v>
      </c>
      <c r="F10" t="s">
        <v>4029</v>
      </c>
      <c r="G10" t="s">
        <v>4030</v>
      </c>
      <c r="H10" t="s">
        <v>4031</v>
      </c>
      <c r="I10" t="s">
        <v>4032</v>
      </c>
      <c r="J10" t="s">
        <v>4033</v>
      </c>
    </row>
    <row r="11" spans="1:10" x14ac:dyDescent="0.2">
      <c r="A11" t="s">
        <v>64</v>
      </c>
      <c r="B11" t="s">
        <v>65</v>
      </c>
      <c r="C11" t="s">
        <v>12</v>
      </c>
      <c r="D11" t="s">
        <v>67</v>
      </c>
      <c r="E11" t="str">
        <f>HYPERLINK("/pdf/2018_10.1109_tse.2017.2697848_Towards_Model_Checking_Android_Applications.pdf","open")</f>
        <v>open</v>
      </c>
      <c r="F11" t="s">
        <v>4034</v>
      </c>
      <c r="G11" t="s">
        <v>4035</v>
      </c>
      <c r="H11" t="s">
        <v>4036</v>
      </c>
      <c r="I11" t="s">
        <v>4037</v>
      </c>
      <c r="J11" t="s">
        <v>4038</v>
      </c>
    </row>
    <row r="12" spans="1:10" x14ac:dyDescent="0.2">
      <c r="A12" t="s">
        <v>69</v>
      </c>
      <c r="B12" t="s">
        <v>70</v>
      </c>
      <c r="C12" t="s">
        <v>25</v>
      </c>
      <c r="D12" t="s">
        <v>72</v>
      </c>
      <c r="E12" t="str">
        <f>HYPERLINK("/pdf/2023_10.7717_peerj-cs.1543_Scheduling_algorithms_for_data-protection_based_on_security-classification_constraints_to_data-dissemination.pdf","open")</f>
        <v>open</v>
      </c>
      <c r="F12" t="s">
        <v>4039</v>
      </c>
      <c r="G12" t="s">
        <v>4040</v>
      </c>
      <c r="H12" t="s">
        <v>4041</v>
      </c>
      <c r="I12" t="s">
        <v>4042</v>
      </c>
      <c r="J12" t="s">
        <v>4043</v>
      </c>
    </row>
    <row r="13" spans="1:10" x14ac:dyDescent="0.2">
      <c r="A13" t="s">
        <v>74</v>
      </c>
      <c r="B13" t="s">
        <v>75</v>
      </c>
      <c r="C13" t="s">
        <v>25</v>
      </c>
      <c r="D13" t="s">
        <v>74</v>
      </c>
      <c r="E13" t="str">
        <f>HYPERLINK("/pdf/2024_10_1109_access_2024_3363640_how_can_credit_supervision_mechanism_improve_security_crowdsourcing_ecosystem_go.pdf","open")</f>
        <v>open</v>
      </c>
      <c r="F13" t="s">
        <v>4044</v>
      </c>
      <c r="G13" t="s">
        <v>4045</v>
      </c>
      <c r="H13" t="s">
        <v>4046</v>
      </c>
      <c r="I13" t="s">
        <v>4047</v>
      </c>
      <c r="J13" t="s">
        <v>4048</v>
      </c>
    </row>
    <row r="14" spans="1:10" x14ac:dyDescent="0.2">
      <c r="A14" t="s">
        <v>78</v>
      </c>
      <c r="B14" t="s">
        <v>79</v>
      </c>
      <c r="C14" t="s">
        <v>19</v>
      </c>
      <c r="D14" t="s">
        <v>81</v>
      </c>
      <c r="E14" t="str">
        <f>HYPERLINK("/pdf/2025_10_26583_sv_17_5_11_performance_comparison_of_various_software_tools_in_photogrammetry_based_digitiz.pdf","open")</f>
        <v>open</v>
      </c>
      <c r="F14" t="s">
        <v>4049</v>
      </c>
      <c r="G14" t="s">
        <v>4050</v>
      </c>
      <c r="H14" t="s">
        <v>4051</v>
      </c>
      <c r="I14" t="s">
        <v>148</v>
      </c>
      <c r="J14" t="s">
        <v>4052</v>
      </c>
    </row>
    <row r="15" spans="1:10" x14ac:dyDescent="0.2">
      <c r="A15" t="s">
        <v>83</v>
      </c>
      <c r="B15" t="s">
        <v>84</v>
      </c>
      <c r="C15" t="s">
        <v>19</v>
      </c>
      <c r="D15" t="s">
        <v>86</v>
      </c>
      <c r="E15" t="str">
        <f>HYPERLINK("/pdf/2025_10.1016_j.icte.2025.05.002_Lightweight_federated_learning-based_intrusion_detection_system_for_industrial_internet_of_things.pdf","open")</f>
        <v>open</v>
      </c>
      <c r="F15" t="s">
        <v>4053</v>
      </c>
      <c r="G15" t="s">
        <v>4054</v>
      </c>
      <c r="H15" t="s">
        <v>4055</v>
      </c>
      <c r="I15" t="s">
        <v>4056</v>
      </c>
      <c r="J15" t="s">
        <v>4057</v>
      </c>
    </row>
    <row r="16" spans="1:10" x14ac:dyDescent="0.2">
      <c r="A16" t="s">
        <v>88</v>
      </c>
      <c r="B16" t="s">
        <v>89</v>
      </c>
      <c r="C16" t="s">
        <v>60</v>
      </c>
      <c r="D16" t="s">
        <v>91</v>
      </c>
      <c r="E16" t="str">
        <f>HYPERLINK("/pdf/2024_10.1109_icstem61137.2024.10560825_SentinelGuard__An_Integration_of_Intelligent_Text_Data_Loss_Prevention_Mechanism_for_Organizational_Security_(.pdf","open")</f>
        <v>open</v>
      </c>
      <c r="F16" t="s">
        <v>4058</v>
      </c>
      <c r="G16" t="s">
        <v>4059</v>
      </c>
      <c r="H16" t="s">
        <v>4060</v>
      </c>
      <c r="I16" t="s">
        <v>4061</v>
      </c>
      <c r="J16" t="s">
        <v>4062</v>
      </c>
    </row>
    <row r="17" spans="1:10" x14ac:dyDescent="0.2">
      <c r="A17" t="s">
        <v>93</v>
      </c>
      <c r="B17" t="s">
        <v>94</v>
      </c>
      <c r="C17" t="s">
        <v>19</v>
      </c>
      <c r="D17" t="s">
        <v>96</v>
      </c>
      <c r="E17" t="str">
        <f>HYPERLINK("/pdf/2025_10.1109_itc58126.2025.00011_QuEST__Quantitative_Entropy_based_Security_and_Trojan_Detection_Framework_for_Confidentiality_Verification.pdf","open")</f>
        <v>open</v>
      </c>
      <c r="F17" t="s">
        <v>4063</v>
      </c>
      <c r="G17" t="s">
        <v>4064</v>
      </c>
      <c r="H17" t="s">
        <v>4065</v>
      </c>
      <c r="I17" t="s">
        <v>148</v>
      </c>
      <c r="J17" t="s">
        <v>4066</v>
      </c>
    </row>
    <row r="18" spans="1:10" x14ac:dyDescent="0.2">
      <c r="A18" t="s">
        <v>98</v>
      </c>
      <c r="B18" t="s">
        <v>99</v>
      </c>
      <c r="C18" t="s">
        <v>100</v>
      </c>
      <c r="D18" t="s">
        <v>102</v>
      </c>
      <c r="E18" t="str">
        <f>HYPERLINK("/pdf/2022_10.1109_icced56140.2022.10010685_Patient_Data_Security_in_Telemedicine_Services_from_Data_Misuse_in_Health_Practice.pdf","open")</f>
        <v>open</v>
      </c>
      <c r="F18" t="s">
        <v>4067</v>
      </c>
      <c r="G18" t="s">
        <v>4068</v>
      </c>
      <c r="H18" t="s">
        <v>4069</v>
      </c>
      <c r="I18" t="s">
        <v>148</v>
      </c>
      <c r="J18" t="s">
        <v>4070</v>
      </c>
    </row>
    <row r="19" spans="1:10" x14ac:dyDescent="0.2">
      <c r="A19" t="s">
        <v>104</v>
      </c>
      <c r="B19" t="s">
        <v>105</v>
      </c>
      <c r="C19" t="s">
        <v>25</v>
      </c>
      <c r="D19" t="s">
        <v>107</v>
      </c>
      <c r="E19" t="str">
        <f>HYPERLINK("/pdf/2023_10.1109_cises58720.2023.10183402_Security_Threats_in_Healthcare_Big_Data__A_Comparative_Study.pdf","open")</f>
        <v>open</v>
      </c>
      <c r="F19" t="s">
        <v>4071</v>
      </c>
      <c r="G19" t="s">
        <v>4072</v>
      </c>
      <c r="H19" t="s">
        <v>4073</v>
      </c>
      <c r="I19" t="s">
        <v>148</v>
      </c>
      <c r="J19" t="s">
        <v>4074</v>
      </c>
    </row>
    <row r="20" spans="1:10" x14ac:dyDescent="0.2">
      <c r="A20" t="s">
        <v>109</v>
      </c>
      <c r="B20" t="s">
        <v>110</v>
      </c>
      <c r="C20" t="s">
        <v>36</v>
      </c>
      <c r="D20" t="s">
        <v>112</v>
      </c>
      <c r="E20" t="str">
        <f>HYPERLINK("/pdf/2021_10_1109_iccd53106_2021_00097_qflow_quantitative_information_flow_for_security_aware_hardware_design_in_verilog.pdf","open")</f>
        <v>open</v>
      </c>
      <c r="F20" t="s">
        <v>4075</v>
      </c>
      <c r="G20" t="s">
        <v>4076</v>
      </c>
      <c r="H20" t="s">
        <v>4077</v>
      </c>
      <c r="I20" t="s">
        <v>4078</v>
      </c>
      <c r="J20" t="s">
        <v>4079</v>
      </c>
    </row>
    <row r="21" spans="1:10" x14ac:dyDescent="0.2">
      <c r="A21" t="s">
        <v>114</v>
      </c>
      <c r="B21" t="s">
        <v>115</v>
      </c>
      <c r="C21" t="s">
        <v>100</v>
      </c>
      <c r="D21" t="s">
        <v>117</v>
      </c>
      <c r="E21" t="str">
        <f>HYPERLINK("/pdf/2022_10.1016_j.cose.2022.102874_Background_knowledge_attacks_in_privacy-preserving_data_publishing_models.pdf","open")</f>
        <v>open</v>
      </c>
      <c r="F21" t="s">
        <v>4080</v>
      </c>
      <c r="G21" t="s">
        <v>4081</v>
      </c>
      <c r="H21" t="s">
        <v>4082</v>
      </c>
      <c r="I21" t="s">
        <v>4083</v>
      </c>
      <c r="J21" t="s">
        <v>4084</v>
      </c>
    </row>
    <row r="22" spans="1:10" x14ac:dyDescent="0.2">
      <c r="A22" t="s">
        <v>119</v>
      </c>
      <c r="B22" t="s">
        <v>120</v>
      </c>
      <c r="C22" t="s">
        <v>19</v>
      </c>
      <c r="D22" t="s">
        <v>122</v>
      </c>
      <c r="E22" t="str">
        <f>HYPERLINK("/pdf/2025_10_14445_23488549_ijece_v12i10p115_qryptashield_quantum_inspired_feature_selection_and_rl_calibrated_federated_lea.pdf","open")</f>
        <v>open</v>
      </c>
      <c r="F22" t="s">
        <v>4085</v>
      </c>
      <c r="G22" t="s">
        <v>4086</v>
      </c>
      <c r="H22" t="s">
        <v>4087</v>
      </c>
      <c r="I22" t="s">
        <v>4088</v>
      </c>
      <c r="J22" t="s">
        <v>4089</v>
      </c>
    </row>
    <row r="23" spans="1:10" x14ac:dyDescent="0.2">
      <c r="A23" t="s">
        <v>124</v>
      </c>
      <c r="B23" t="s">
        <v>125</v>
      </c>
      <c r="C23" t="s">
        <v>100</v>
      </c>
      <c r="D23" t="s">
        <v>127</v>
      </c>
      <c r="E23" t="str">
        <f>HYPERLINK("/pdf/2022_10.1109_i2ct54291.2022.9824368_Security_Challenges_and_Cyber_Forensics_For_IoT_Driven_BYOD_Systems.pdf","open")</f>
        <v>open</v>
      </c>
      <c r="F23" t="s">
        <v>4090</v>
      </c>
      <c r="G23" t="s">
        <v>4091</v>
      </c>
      <c r="H23" t="s">
        <v>4092</v>
      </c>
      <c r="I23" t="s">
        <v>4093</v>
      </c>
      <c r="J23" t="s">
        <v>4094</v>
      </c>
    </row>
    <row r="24" spans="1:10" x14ac:dyDescent="0.2">
      <c r="A24" t="s">
        <v>129</v>
      </c>
      <c r="B24" t="s">
        <v>130</v>
      </c>
      <c r="C24" t="s">
        <v>25</v>
      </c>
      <c r="D24" t="s">
        <v>132</v>
      </c>
      <c r="E24" t="str">
        <f>HYPERLINK("/pdf/2023_10.1109_socc58585.2023.10256758_μThingNet__Leveraging_Fine-Grained_Power_Analysis_towards_A_Robust_Zero-Day_Defender.pdf","open")</f>
        <v>open</v>
      </c>
      <c r="F24" t="s">
        <v>4095</v>
      </c>
      <c r="G24" t="s">
        <v>4096</v>
      </c>
      <c r="H24" t="s">
        <v>4097</v>
      </c>
      <c r="I24" t="s">
        <v>4098</v>
      </c>
      <c r="J24" t="s">
        <v>4099</v>
      </c>
    </row>
    <row r="25" spans="1:10" x14ac:dyDescent="0.2">
      <c r="A25" t="s">
        <v>134</v>
      </c>
      <c r="B25" t="s">
        <v>135</v>
      </c>
      <c r="C25" t="s">
        <v>136</v>
      </c>
      <c r="D25" t="s">
        <v>138</v>
      </c>
      <c r="E25" t="str">
        <f>HYPERLINK("/pdf/2019_10_35940_ijeat_f8202_088619_byod_secured_solution_framework.pdf","open")</f>
        <v>open</v>
      </c>
      <c r="F25" t="s">
        <v>4100</v>
      </c>
      <c r="G25" t="s">
        <v>4101</v>
      </c>
      <c r="H25" t="s">
        <v>4102</v>
      </c>
      <c r="I25" t="s">
        <v>4103</v>
      </c>
      <c r="J25" t="s">
        <v>4104</v>
      </c>
    </row>
    <row r="26" spans="1:10" x14ac:dyDescent="0.2">
      <c r="A26" t="s">
        <v>140</v>
      </c>
      <c r="B26" t="s">
        <v>141</v>
      </c>
      <c r="C26" t="s">
        <v>25</v>
      </c>
      <c r="D26" t="s">
        <v>143</v>
      </c>
      <c r="E26" t="str">
        <f>HYPERLINK("/pdf/2023_10_11591_ijece_v13i5_pp5560_5568_concept_drift_and_machine_learning_model_for_detecting_fraudulent_transactions_in_streamin.pdf","open")</f>
        <v>open</v>
      </c>
      <c r="F26" t="s">
        <v>4105</v>
      </c>
      <c r="G26" t="s">
        <v>4106</v>
      </c>
      <c r="H26" t="s">
        <v>4107</v>
      </c>
      <c r="I26" t="s">
        <v>4108</v>
      </c>
      <c r="J26" t="s">
        <v>4109</v>
      </c>
    </row>
    <row r="27" spans="1:10" x14ac:dyDescent="0.2">
      <c r="A27" t="s">
        <v>145</v>
      </c>
      <c r="B27" t="s">
        <v>146</v>
      </c>
      <c r="C27" t="s">
        <v>136</v>
      </c>
      <c r="D27" t="s">
        <v>148</v>
      </c>
      <c r="E27" t="str">
        <f>HYPERLINK("/pdf/2020_10.1109_idea49133.2020.9170738_Android_data_leakage_and_anomaly_based_Intrusion_detection_System.pdf","open")</f>
        <v>open</v>
      </c>
      <c r="F27" t="s">
        <v>4110</v>
      </c>
      <c r="G27" t="s">
        <v>4111</v>
      </c>
      <c r="H27" t="s">
        <v>4112</v>
      </c>
      <c r="I27" t="s">
        <v>4113</v>
      </c>
      <c r="J27" t="s">
        <v>4114</v>
      </c>
    </row>
    <row r="28" spans="1:10" x14ac:dyDescent="0.2">
      <c r="A28" t="s">
        <v>150</v>
      </c>
      <c r="B28" t="s">
        <v>151</v>
      </c>
      <c r="C28" t="s">
        <v>19</v>
      </c>
      <c r="D28" t="s">
        <v>152</v>
      </c>
      <c r="E28" t="str">
        <f>HYPERLINK("/pdf/2025_10.1109_access.2025.3635667_PPATF__A_Privacy-Preserving_Adversarial_Training_Framework_to_Enhance_the_Robustness_of_Lightweight_Intrusion_.pdf","open")</f>
        <v>open</v>
      </c>
      <c r="F28" t="s">
        <v>4115</v>
      </c>
      <c r="G28" t="s">
        <v>4116</v>
      </c>
      <c r="H28" t="s">
        <v>4117</v>
      </c>
      <c r="I28" t="s">
        <v>4118</v>
      </c>
      <c r="J28" t="s">
        <v>4119</v>
      </c>
    </row>
    <row r="29" spans="1:10" x14ac:dyDescent="0.2">
      <c r="A29" t="s">
        <v>154</v>
      </c>
      <c r="B29" t="s">
        <v>155</v>
      </c>
      <c r="C29" t="s">
        <v>156</v>
      </c>
      <c r="D29" t="s">
        <v>158</v>
      </c>
      <c r="E29" t="str">
        <f>HYPERLINK("/pdf/2013_10_1007_s10796_013_9419_8_guest_editorial_a_brief_overview_of_data_leakage_and_insider_threats.pdf","open")</f>
        <v>open</v>
      </c>
      <c r="F29" t="s">
        <v>4120</v>
      </c>
      <c r="G29" t="s">
        <v>4121</v>
      </c>
      <c r="H29" t="s">
        <v>4122</v>
      </c>
      <c r="I29" t="s">
        <v>148</v>
      </c>
      <c r="J29" t="s">
        <v>148</v>
      </c>
    </row>
    <row r="30" spans="1:10" x14ac:dyDescent="0.2">
      <c r="A30" t="s">
        <v>160</v>
      </c>
      <c r="B30" t="s">
        <v>161</v>
      </c>
      <c r="C30" t="s">
        <v>100</v>
      </c>
      <c r="D30" t="s">
        <v>163</v>
      </c>
      <c r="E30" t="str">
        <f>HYPERLINK("/pdf/2022_10.1109_eircon56026.2022.9934810_Model_to_Identify_the_Profile_of_Countermeasures_for_Information_Leakage_in_Financial_Organizations.pdf","open")</f>
        <v>open</v>
      </c>
      <c r="F30" t="s">
        <v>4123</v>
      </c>
      <c r="G30" t="s">
        <v>4124</v>
      </c>
      <c r="H30" t="s">
        <v>4125</v>
      </c>
      <c r="I30" t="s">
        <v>4126</v>
      </c>
      <c r="J30" t="s">
        <v>4127</v>
      </c>
    </row>
    <row r="31" spans="1:10" x14ac:dyDescent="0.2">
      <c r="A31" t="s">
        <v>165</v>
      </c>
      <c r="B31" t="s">
        <v>166</v>
      </c>
      <c r="C31" t="s">
        <v>60</v>
      </c>
      <c r="D31" t="s">
        <v>168</v>
      </c>
      <c r="E31" t="str">
        <f>HYPERLINK("/pdf/2024_10.1109_ithings-greencom-cpscom-smartdata-cybermatics62450.2024.00102_On_the_Security_and_Privacy_Implications_of_Large_Language_Models__In-Depth_Threat_Analysis.pdf","open")</f>
        <v>open</v>
      </c>
      <c r="F31" t="s">
        <v>4128</v>
      </c>
      <c r="G31" t="s">
        <v>4129</v>
      </c>
      <c r="H31" t="s">
        <v>4130</v>
      </c>
      <c r="I31" t="s">
        <v>148</v>
      </c>
      <c r="J31" t="s">
        <v>4131</v>
      </c>
    </row>
    <row r="32" spans="1:10" x14ac:dyDescent="0.2">
      <c r="A32" t="s">
        <v>170</v>
      </c>
      <c r="B32" t="s">
        <v>171</v>
      </c>
      <c r="C32" t="s">
        <v>19</v>
      </c>
      <c r="D32" t="s">
        <v>173</v>
      </c>
      <c r="E32" t="str">
        <f>HYPERLINK("/pdf/2025_10_3390_cryptography9040072_a_post_quantum_cryptography_enabled_feature_level_fusion_framework_for_privacy_preserving.pdf","open")</f>
        <v>open</v>
      </c>
      <c r="F32" t="s">
        <v>4132</v>
      </c>
      <c r="G32" t="s">
        <v>4133</v>
      </c>
      <c r="H32" t="s">
        <v>4134</v>
      </c>
      <c r="I32" t="s">
        <v>4135</v>
      </c>
      <c r="J32" t="s">
        <v>4136</v>
      </c>
    </row>
    <row r="33" spans="1:10" x14ac:dyDescent="0.2">
      <c r="A33" t="s">
        <v>175</v>
      </c>
      <c r="B33" t="s">
        <v>176</v>
      </c>
      <c r="C33" t="s">
        <v>19</v>
      </c>
      <c r="D33" t="s">
        <v>178</v>
      </c>
      <c r="E33" t="str">
        <f>HYPERLINK("/pdf/2025_10.1109_etfa65518.2025.11205756_Trustworthy_AI_for_Security_Decision-Making_in_ICSs__Towards_Compliance_with_the_EU_AI_Act.pdf","open")</f>
        <v>open</v>
      </c>
      <c r="F33" t="s">
        <v>4137</v>
      </c>
      <c r="G33" t="s">
        <v>4138</v>
      </c>
      <c r="H33" t="s">
        <v>4139</v>
      </c>
      <c r="I33" t="s">
        <v>4140</v>
      </c>
      <c r="J33" t="s">
        <v>4141</v>
      </c>
    </row>
    <row r="34" spans="1:10" x14ac:dyDescent="0.2">
      <c r="A34" t="s">
        <v>180</v>
      </c>
      <c r="B34" t="s">
        <v>181</v>
      </c>
      <c r="C34" t="s">
        <v>19</v>
      </c>
      <c r="D34" t="s">
        <v>183</v>
      </c>
      <c r="E34" t="str">
        <f>HYPERLINK("/pdf/2025_10.1109_jiot.2025.3583304_BCTD-ICS__A_Blockchain-Aided_Framework_for_Trusted_Detection_of_Industrial_Control_System_Components.pdf","open")</f>
        <v>open</v>
      </c>
      <c r="F34" t="s">
        <v>4142</v>
      </c>
      <c r="G34" t="s">
        <v>4143</v>
      </c>
      <c r="H34" t="s">
        <v>4144</v>
      </c>
      <c r="I34" t="s">
        <v>4145</v>
      </c>
      <c r="J34" t="s">
        <v>4146</v>
      </c>
    </row>
    <row r="35" spans="1:10" x14ac:dyDescent="0.2">
      <c r="A35" t="s">
        <v>185</v>
      </c>
      <c r="B35" t="s">
        <v>186</v>
      </c>
      <c r="C35" t="s">
        <v>148</v>
      </c>
      <c r="D35" t="s">
        <v>148</v>
      </c>
      <c r="E35" t="str">
        <f>HYPERLINK("/pdf/2019_Towards_automated_threat-based_risk_assessment_for_cyber_security_in_smarthomes.pdf","open")</f>
        <v>open</v>
      </c>
      <c r="F35" t="s">
        <v>4147</v>
      </c>
      <c r="G35" t="s">
        <v>4148</v>
      </c>
      <c r="H35" t="s">
        <v>4149</v>
      </c>
      <c r="I35" t="s">
        <v>4150</v>
      </c>
      <c r="J35" t="s">
        <v>4151</v>
      </c>
    </row>
    <row r="36" spans="1:10" x14ac:dyDescent="0.2">
      <c r="A36" t="s">
        <v>188</v>
      </c>
      <c r="B36" t="s">
        <v>189</v>
      </c>
      <c r="C36" t="s">
        <v>190</v>
      </c>
      <c r="D36" t="s">
        <v>192</v>
      </c>
      <c r="E36" t="str">
        <f>HYPERLINK("/pdf/2017_10.1016_j.jisa.2016.10.001_A_white-box_anomaly-based_framework_for_database_leakage_detection.pdf","open")</f>
        <v>open</v>
      </c>
      <c r="F36" t="s">
        <v>4152</v>
      </c>
      <c r="G36" t="s">
        <v>4153</v>
      </c>
      <c r="H36" t="s">
        <v>4154</v>
      </c>
      <c r="I36" t="s">
        <v>4155</v>
      </c>
      <c r="J36" t="s">
        <v>4156</v>
      </c>
    </row>
    <row r="37" spans="1:10" x14ac:dyDescent="0.2">
      <c r="A37" t="s">
        <v>194</v>
      </c>
      <c r="B37" t="s">
        <v>195</v>
      </c>
      <c r="C37" t="s">
        <v>148</v>
      </c>
      <c r="D37" t="s">
        <v>148</v>
      </c>
      <c r="E37" t="str">
        <f>HYPERLINK("/pdf/2020_10.1109_rivf48685.2020.9140781_Network_Analytics_for_Improving_Students'_Cybersecurity_Awareness_in_Online_Learning_Systems.pdf","open")</f>
        <v>open</v>
      </c>
      <c r="F37" t="s">
        <v>4157</v>
      </c>
      <c r="G37" t="s">
        <v>4158</v>
      </c>
      <c r="H37" t="s">
        <v>4159</v>
      </c>
      <c r="I37" t="s">
        <v>4160</v>
      </c>
      <c r="J37" t="s">
        <v>4161</v>
      </c>
    </row>
    <row r="38" spans="1:10" x14ac:dyDescent="0.2">
      <c r="A38" t="s">
        <v>198</v>
      </c>
      <c r="B38" t="s">
        <v>199</v>
      </c>
      <c r="C38" t="s">
        <v>25</v>
      </c>
      <c r="D38" t="s">
        <v>201</v>
      </c>
      <c r="E38" t="str">
        <f>HYPERLINK("/pdf/2023_10.1109_tcad.2022.3174171_IP-Tag__Tag-Based_Runtime_3PIP_Hardware_Trojan_Detection_in_SoC_Platforms.pdf","open")</f>
        <v>open</v>
      </c>
      <c r="F38" t="s">
        <v>4162</v>
      </c>
      <c r="G38" t="s">
        <v>4163</v>
      </c>
      <c r="H38" t="s">
        <v>4164</v>
      </c>
      <c r="I38" t="s">
        <v>148</v>
      </c>
      <c r="J38" t="s">
        <v>4165</v>
      </c>
    </row>
    <row r="39" spans="1:10" x14ac:dyDescent="0.2">
      <c r="A39" t="s">
        <v>203</v>
      </c>
      <c r="B39" t="s">
        <v>204</v>
      </c>
      <c r="C39" t="s">
        <v>19</v>
      </c>
      <c r="D39" t="s">
        <v>206</v>
      </c>
      <c r="E39" t="str">
        <f>HYPERLINK("/pdf/2025_10.1109_roma66616.2025.11155405_A_Survey_on_AI-Enabled_Anomaly_Detection_with_Privacy_Preservation_in_Wireless_Sensor_Healthcare_IoT_Environme.pdf","open")</f>
        <v>open</v>
      </c>
      <c r="F39" t="s">
        <v>4166</v>
      </c>
      <c r="G39" t="s">
        <v>4167</v>
      </c>
      <c r="H39" t="s">
        <v>4168</v>
      </c>
      <c r="I39" t="s">
        <v>148</v>
      </c>
      <c r="J39" t="s">
        <v>4169</v>
      </c>
    </row>
    <row r="40" spans="1:10" x14ac:dyDescent="0.2">
      <c r="A40" t="s">
        <v>208</v>
      </c>
      <c r="B40" t="s">
        <v>209</v>
      </c>
      <c r="C40" t="s">
        <v>210</v>
      </c>
      <c r="D40" t="s">
        <v>148</v>
      </c>
      <c r="E40" t="str">
        <f>HYPERLINK("/pdf/2015_Device_management_technology_for_preventing_data_leakage.pdf","open")</f>
        <v>open</v>
      </c>
      <c r="F40" t="s">
        <v>4170</v>
      </c>
      <c r="G40" t="s">
        <v>4171</v>
      </c>
      <c r="H40" t="s">
        <v>4172</v>
      </c>
      <c r="I40" t="s">
        <v>4173</v>
      </c>
      <c r="J40" t="s">
        <v>4174</v>
      </c>
    </row>
    <row r="41" spans="1:10" x14ac:dyDescent="0.2">
      <c r="A41" t="s">
        <v>213</v>
      </c>
      <c r="B41" t="s">
        <v>214</v>
      </c>
      <c r="C41" t="s">
        <v>215</v>
      </c>
      <c r="D41" t="s">
        <v>217</v>
      </c>
      <c r="E41" t="str">
        <f>HYPERLINK("/pdf/2015_10.1109_mass.2014.131_Android_smartphone_third_party_advertising_library_data_leak_analysis.pdf","open")</f>
        <v>open</v>
      </c>
      <c r="F41" t="s">
        <v>4175</v>
      </c>
      <c r="G41" t="s">
        <v>4176</v>
      </c>
      <c r="H41" t="s">
        <v>4177</v>
      </c>
      <c r="I41" t="s">
        <v>4178</v>
      </c>
      <c r="J41" t="s">
        <v>4179</v>
      </c>
    </row>
    <row r="42" spans="1:10" x14ac:dyDescent="0.2">
      <c r="A42" t="s">
        <v>219</v>
      </c>
      <c r="B42" t="s">
        <v>220</v>
      </c>
      <c r="C42" t="s">
        <v>19</v>
      </c>
      <c r="D42" t="s">
        <v>222</v>
      </c>
      <c r="E42" t="str">
        <f>HYPERLINK("/pdf/2025_10.1109_iacis65746.2025.11211489_A_Secure_Blockchain_Framework_Using_Stacked_SVM-RF_with_Advanced_Encryption_Standard_Galois_Counter_Mode.pdf","open")</f>
        <v>open</v>
      </c>
      <c r="F42" t="s">
        <v>4180</v>
      </c>
      <c r="G42" t="s">
        <v>4181</v>
      </c>
      <c r="H42" t="s">
        <v>4182</v>
      </c>
      <c r="I42" t="s">
        <v>4183</v>
      </c>
      <c r="J42" t="s">
        <v>4184</v>
      </c>
    </row>
    <row r="43" spans="1:10" x14ac:dyDescent="0.2">
      <c r="A43" t="s">
        <v>224</v>
      </c>
      <c r="B43" t="s">
        <v>225</v>
      </c>
      <c r="C43" t="s">
        <v>100</v>
      </c>
      <c r="D43" t="s">
        <v>227</v>
      </c>
      <c r="E43" t="str">
        <f>HYPERLINK("/pdf/2022_10.1109_incoft55651.2022.10094509_Data_Leakage_Prevention_System_for_Internal_Security.pdf","open")</f>
        <v>open</v>
      </c>
      <c r="F43" t="s">
        <v>4185</v>
      </c>
      <c r="G43" t="s">
        <v>4186</v>
      </c>
      <c r="H43" t="s">
        <v>4187</v>
      </c>
      <c r="I43" t="s">
        <v>4188</v>
      </c>
      <c r="J43" t="s">
        <v>4189</v>
      </c>
    </row>
    <row r="44" spans="1:10" x14ac:dyDescent="0.2">
      <c r="A44" t="s">
        <v>229</v>
      </c>
      <c r="B44" t="s">
        <v>230</v>
      </c>
      <c r="C44" t="s">
        <v>19</v>
      </c>
      <c r="D44" t="s">
        <v>232</v>
      </c>
      <c r="E44" t="str">
        <f>HYPERLINK("/pdf/2025_10.1109_tsusc.2024.3409329_Safeguarding_Patient_Data-Sharing__Blockchain-Enabled_Federated_Learning_in_Medical_Diagnostics.pdf","open")</f>
        <v>open</v>
      </c>
      <c r="F44" t="s">
        <v>4190</v>
      </c>
      <c r="G44" t="s">
        <v>4191</v>
      </c>
      <c r="H44" t="s">
        <v>4192</v>
      </c>
      <c r="I44" t="s">
        <v>4193</v>
      </c>
      <c r="J44" t="s">
        <v>4194</v>
      </c>
    </row>
    <row r="45" spans="1:10" x14ac:dyDescent="0.2">
      <c r="A45" t="s">
        <v>234</v>
      </c>
      <c r="B45" t="s">
        <v>235</v>
      </c>
      <c r="C45" t="s">
        <v>36</v>
      </c>
      <c r="D45" t="s">
        <v>237</v>
      </c>
      <c r="E45" t="str">
        <f>HYPERLINK("/pdf/2021_10.1016_j.heliyon.2021.e06016_Measuring_the_level_of_cyber-security_awareness_for_cybercrime_in_Saudi_Arabia.pdf","open")</f>
        <v>open</v>
      </c>
      <c r="F45" t="s">
        <v>4195</v>
      </c>
      <c r="G45" t="s">
        <v>4196</v>
      </c>
      <c r="H45" t="s">
        <v>4197</v>
      </c>
      <c r="I45" t="s">
        <v>4198</v>
      </c>
      <c r="J45" t="s">
        <v>4199</v>
      </c>
    </row>
    <row r="46" spans="1:10" x14ac:dyDescent="0.2">
      <c r="A46" t="s">
        <v>239</v>
      </c>
      <c r="B46" t="s">
        <v>240</v>
      </c>
      <c r="C46" t="s">
        <v>60</v>
      </c>
      <c r="D46" t="s">
        <v>242</v>
      </c>
      <c r="E46" t="str">
        <f>HYPERLINK("/pdf/2024_10.1109_iccr61006.2024.10532886_Feed-forward_ANN_with_Random_Forest_Technique_for_Identifying_Malicious_Internet_of_Things_Network_Intrusion.pdf","open")</f>
        <v>open</v>
      </c>
      <c r="F46" t="s">
        <v>4200</v>
      </c>
      <c r="G46" t="s">
        <v>4201</v>
      </c>
      <c r="H46" t="s">
        <v>4202</v>
      </c>
      <c r="I46" t="s">
        <v>4203</v>
      </c>
      <c r="J46" t="s">
        <v>4204</v>
      </c>
    </row>
    <row r="47" spans="1:10" x14ac:dyDescent="0.2">
      <c r="A47" t="s">
        <v>244</v>
      </c>
      <c r="B47" t="s">
        <v>245</v>
      </c>
      <c r="C47" t="s">
        <v>100</v>
      </c>
      <c r="D47" t="s">
        <v>247</v>
      </c>
      <c r="E47" t="str">
        <f>HYPERLINK("/pdf/2022_10.1049_cmu2.12401_Trust_management_and_data_protection_for_online_social_networks.pdf","open")</f>
        <v>open</v>
      </c>
      <c r="F47" t="s">
        <v>4205</v>
      </c>
      <c r="G47" t="s">
        <v>4206</v>
      </c>
      <c r="H47" t="s">
        <v>4207</v>
      </c>
      <c r="I47" t="s">
        <v>4208</v>
      </c>
      <c r="J47" t="s">
        <v>4209</v>
      </c>
    </row>
    <row r="48" spans="1:10" x14ac:dyDescent="0.2">
      <c r="A48" t="s">
        <v>249</v>
      </c>
      <c r="B48" t="s">
        <v>250</v>
      </c>
      <c r="C48" t="s">
        <v>190</v>
      </c>
      <c r="D48" t="s">
        <v>252</v>
      </c>
      <c r="E48" t="str">
        <f>HYPERLINK("/pdf/2017_10.1109_dasc-picom-datacom-cyberscitec.2017.112_Combating_data_leakage_trojans_in_sequential_circuits_through_randomized_encoding.pdf","open")</f>
        <v>open</v>
      </c>
      <c r="F48" t="s">
        <v>4210</v>
      </c>
      <c r="G48" t="s">
        <v>4211</v>
      </c>
      <c r="H48" t="s">
        <v>4212</v>
      </c>
      <c r="I48" t="s">
        <v>148</v>
      </c>
      <c r="J48" t="s">
        <v>148</v>
      </c>
    </row>
    <row r="49" spans="1:10" x14ac:dyDescent="0.2">
      <c r="A49" t="s">
        <v>254</v>
      </c>
      <c r="B49" t="s">
        <v>255</v>
      </c>
      <c r="C49" t="s">
        <v>36</v>
      </c>
      <c r="D49" t="s">
        <v>257</v>
      </c>
      <c r="E49" t="str">
        <f>HYPERLINK("/pdf/2021_10.1109_ddecs52668.2021.9417061_A_Benchmark_Suite_of_RT-level_Hardware_Trojans_for_Pipelined_Microprocessor_Cores.pdf","open")</f>
        <v>open</v>
      </c>
      <c r="F49" t="s">
        <v>4213</v>
      </c>
      <c r="G49" t="s">
        <v>4214</v>
      </c>
      <c r="H49" t="s">
        <v>4215</v>
      </c>
      <c r="I49" t="s">
        <v>4216</v>
      </c>
      <c r="J49" t="s">
        <v>4217</v>
      </c>
    </row>
    <row r="50" spans="1:10" x14ac:dyDescent="0.2">
      <c r="A50" t="s">
        <v>259</v>
      </c>
      <c r="B50" t="s">
        <v>75</v>
      </c>
      <c r="C50" t="s">
        <v>25</v>
      </c>
      <c r="D50" t="s">
        <v>74</v>
      </c>
      <c r="E50" t="str">
        <f>HYPERLINK("/pdf/2024_10_1109_access_2024_3363640_how_can_credit_supervision_mechanism_improve_security_crowdsourcing_ecosystem_governance.pdf","open")</f>
        <v>open</v>
      </c>
      <c r="F50" t="s">
        <v>4218</v>
      </c>
      <c r="G50" t="s">
        <v>4219</v>
      </c>
      <c r="H50" t="s">
        <v>4220</v>
      </c>
      <c r="I50" t="s">
        <v>4221</v>
      </c>
      <c r="J50" t="s">
        <v>4222</v>
      </c>
    </row>
    <row r="51" spans="1:10" x14ac:dyDescent="0.2">
      <c r="A51" t="s">
        <v>261</v>
      </c>
      <c r="B51" t="s">
        <v>262</v>
      </c>
      <c r="C51" t="s">
        <v>36</v>
      </c>
      <c r="D51" t="s">
        <v>264</v>
      </c>
      <c r="E51" t="str">
        <f>HYPERLINK("/pdf/2021_10.1109_bigdatasecurityhpscids52275.2021.00038_Toward_Pinpointing_Data_Leakage_from_Advanced_Persistent_Threats.pdf","open")</f>
        <v>open</v>
      </c>
      <c r="F51" t="s">
        <v>4223</v>
      </c>
      <c r="G51" t="s">
        <v>4224</v>
      </c>
      <c r="H51" t="s">
        <v>4225</v>
      </c>
      <c r="I51" t="s">
        <v>4226</v>
      </c>
      <c r="J51" t="s">
        <v>4227</v>
      </c>
    </row>
    <row r="52" spans="1:10" x14ac:dyDescent="0.2">
      <c r="A52" t="s">
        <v>266</v>
      </c>
      <c r="B52" t="s">
        <v>267</v>
      </c>
      <c r="C52" t="s">
        <v>268</v>
      </c>
      <c r="D52" t="s">
        <v>148</v>
      </c>
      <c r="E52" t="str">
        <f>HYPERLINK("/pdf/2010_10.1109_cnsm.2010.5691292_User_identification_in_encrypted_network_communications.pdf","open")</f>
        <v>open</v>
      </c>
      <c r="F52" t="s">
        <v>4228</v>
      </c>
      <c r="G52" t="s">
        <v>4229</v>
      </c>
      <c r="H52" t="s">
        <v>4230</v>
      </c>
      <c r="I52" t="s">
        <v>4231</v>
      </c>
      <c r="J52" t="s">
        <v>4232</v>
      </c>
    </row>
    <row r="53" spans="1:10" x14ac:dyDescent="0.2">
      <c r="A53" t="s">
        <v>271</v>
      </c>
      <c r="B53" t="s">
        <v>272</v>
      </c>
      <c r="C53" t="s">
        <v>60</v>
      </c>
      <c r="D53" t="s">
        <v>274</v>
      </c>
      <c r="E53" t="str">
        <f>HYPERLINK("/pdf/2024_10_4108_eetsis_5028_determining_intrusion_attacks_against_online_applications_using_cloud_based_data_security.pdf","open")</f>
        <v>open</v>
      </c>
      <c r="F53" t="s">
        <v>4233</v>
      </c>
      <c r="G53" t="s">
        <v>4234</v>
      </c>
      <c r="H53" t="s">
        <v>4235</v>
      </c>
      <c r="I53" t="s">
        <v>4236</v>
      </c>
      <c r="J53" t="s">
        <v>4237</v>
      </c>
    </row>
    <row r="54" spans="1:10" x14ac:dyDescent="0.2">
      <c r="A54" t="s">
        <v>276</v>
      </c>
      <c r="B54" t="s">
        <v>277</v>
      </c>
      <c r="C54" t="s">
        <v>190</v>
      </c>
      <c r="D54" t="s">
        <v>279</v>
      </c>
      <c r="E54" t="str">
        <f>HYPERLINK("/pdf/2017_10_1109_netsoft_2017_8004195_automated_verification_of_security_chains_in_software_defined_networks_with_synaptic.pdf","open")</f>
        <v>open</v>
      </c>
      <c r="F54" t="s">
        <v>4238</v>
      </c>
      <c r="G54" t="s">
        <v>4239</v>
      </c>
      <c r="H54" t="s">
        <v>4240</v>
      </c>
      <c r="I54" t="s">
        <v>4241</v>
      </c>
      <c r="J54" t="s">
        <v>4242</v>
      </c>
    </row>
    <row r="55" spans="1:10" x14ac:dyDescent="0.2">
      <c r="A55" t="s">
        <v>281</v>
      </c>
      <c r="B55" t="s">
        <v>282</v>
      </c>
      <c r="C55" t="s">
        <v>36</v>
      </c>
      <c r="D55" t="s">
        <v>284</v>
      </c>
      <c r="E55" t="str">
        <f>HYPERLINK("/pdf/2021_10.1109_vts50974.2021.9441032_Special_session__CAD_for_hardware_security_-_Automation_is_key_to_adoption_of_solutions.pdf","open")</f>
        <v>open</v>
      </c>
      <c r="F55" t="s">
        <v>4243</v>
      </c>
      <c r="G55" t="s">
        <v>4244</v>
      </c>
      <c r="H55" t="s">
        <v>4245</v>
      </c>
      <c r="I55" t="s">
        <v>148</v>
      </c>
      <c r="J55" t="s">
        <v>4246</v>
      </c>
    </row>
    <row r="56" spans="1:10" x14ac:dyDescent="0.2">
      <c r="A56" t="s">
        <v>286</v>
      </c>
      <c r="B56" t="s">
        <v>287</v>
      </c>
      <c r="C56" t="s">
        <v>60</v>
      </c>
      <c r="D56" t="s">
        <v>289</v>
      </c>
      <c r="E56" t="str">
        <f>HYPERLINK("/pdf/2024_10.1109_tifs.2024.3420233_SGD3QN__Joint_Stochastic_Games_and_Dueling_Double_Deep_Q-Networks_for_Defending_Malware_Propagation_in_Edge_In.pdf","open")</f>
        <v>open</v>
      </c>
      <c r="F56" t="s">
        <v>4247</v>
      </c>
      <c r="G56" t="s">
        <v>4248</v>
      </c>
      <c r="H56" t="s">
        <v>4249</v>
      </c>
      <c r="I56" t="s">
        <v>4250</v>
      </c>
      <c r="J56" t="s">
        <v>4251</v>
      </c>
    </row>
    <row r="57" spans="1:10" x14ac:dyDescent="0.2">
      <c r="A57" t="s">
        <v>291</v>
      </c>
      <c r="B57" t="s">
        <v>292</v>
      </c>
      <c r="C57" t="s">
        <v>60</v>
      </c>
      <c r="D57" t="s">
        <v>294</v>
      </c>
      <c r="E57" t="str">
        <f>HYPERLINK("/pdf/2024_10.1007_s10115-024-02184-6_An_online_ensemble_classification_algorithm_for_multi-class_imbalanced_data_stream.pdf","open")</f>
        <v>open</v>
      </c>
      <c r="F57" t="s">
        <v>4252</v>
      </c>
      <c r="G57" t="s">
        <v>4253</v>
      </c>
      <c r="H57" t="s">
        <v>4254</v>
      </c>
      <c r="I57" t="s">
        <v>4255</v>
      </c>
      <c r="J57" t="s">
        <v>4256</v>
      </c>
    </row>
    <row r="58" spans="1:10" x14ac:dyDescent="0.2">
      <c r="A58" t="s">
        <v>296</v>
      </c>
      <c r="B58" t="s">
        <v>297</v>
      </c>
      <c r="C58" t="s">
        <v>19</v>
      </c>
      <c r="D58" t="s">
        <v>296</v>
      </c>
      <c r="E58" t="str">
        <f>HYPERLINK("/pdf/2025_10.1109_icimia67127.2025.11200972_An_Intelligent_Data_Leakage_Prevention_in_Cloud_Computing_using_Golden_Jackal_Optimization.pdf.pdf","open")</f>
        <v>open</v>
      </c>
      <c r="F58" t="s">
        <v>4257</v>
      </c>
      <c r="G58" t="s">
        <v>4258</v>
      </c>
      <c r="H58" t="s">
        <v>4259</v>
      </c>
      <c r="I58" t="s">
        <v>4260</v>
      </c>
      <c r="J58" t="s">
        <v>4261</v>
      </c>
    </row>
    <row r="59" spans="1:10" x14ac:dyDescent="0.2">
      <c r="A59" t="s">
        <v>300</v>
      </c>
      <c r="B59" t="s">
        <v>301</v>
      </c>
      <c r="C59" t="s">
        <v>60</v>
      </c>
      <c r="D59" t="s">
        <v>303</v>
      </c>
      <c r="E59" t="str">
        <f>HYPERLINK("/pdf/2024_10.1109_host55342.2024.10545402_NoiseHopper__Emission_Hopping_Air-Gap_Covert_Side_Channel_with_Lower_Probability_of_Detection.pdf","open")</f>
        <v>open</v>
      </c>
      <c r="F59" t="s">
        <v>4262</v>
      </c>
      <c r="G59" t="s">
        <v>4263</v>
      </c>
      <c r="H59" t="s">
        <v>4264</v>
      </c>
      <c r="I59" t="s">
        <v>148</v>
      </c>
      <c r="J59" t="s">
        <v>148</v>
      </c>
    </row>
    <row r="60" spans="1:10" x14ac:dyDescent="0.2">
      <c r="A60" t="s">
        <v>305</v>
      </c>
      <c r="B60" t="s">
        <v>306</v>
      </c>
      <c r="C60" t="s">
        <v>100</v>
      </c>
      <c r="D60" t="s">
        <v>148</v>
      </c>
      <c r="E60" t="str">
        <f>HYPERLINK("/pdf/2023_10_1109_mobilsoft59058_2023_00016_sensitive_and_personal_data_what_exactly_are_you_talking_about.pdf","open")</f>
        <v>open</v>
      </c>
      <c r="F60" t="s">
        <v>4265</v>
      </c>
      <c r="G60" t="s">
        <v>4266</v>
      </c>
      <c r="H60" t="s">
        <v>4267</v>
      </c>
      <c r="I60" t="s">
        <v>148</v>
      </c>
      <c r="J60" t="s">
        <v>148</v>
      </c>
    </row>
    <row r="61" spans="1:10" x14ac:dyDescent="0.2">
      <c r="A61" t="s">
        <v>308</v>
      </c>
      <c r="B61" t="s">
        <v>309</v>
      </c>
      <c r="C61" t="s">
        <v>36</v>
      </c>
      <c r="D61" t="s">
        <v>311</v>
      </c>
      <c r="E61" t="str">
        <f>HYPERLINK("/pdf/2022_10_1016_j_neucom_2021_01_144_a_real_time_dynamic_concept_adaptive_learning_algorithm_for_exploitability_prediction.pdf","open")</f>
        <v>open</v>
      </c>
      <c r="F61" t="s">
        <v>4268</v>
      </c>
      <c r="G61" t="s">
        <v>4269</v>
      </c>
      <c r="H61" t="s">
        <v>4270</v>
      </c>
      <c r="I61" t="s">
        <v>4271</v>
      </c>
      <c r="J61" t="s">
        <v>4272</v>
      </c>
    </row>
    <row r="62" spans="1:10" x14ac:dyDescent="0.2">
      <c r="A62" t="s">
        <v>313</v>
      </c>
      <c r="B62" t="s">
        <v>314</v>
      </c>
      <c r="C62" t="s">
        <v>36</v>
      </c>
      <c r="D62" t="s">
        <v>316</v>
      </c>
      <c r="E62" t="str">
        <f>HYPERLINK("/pdf/2022_10_1080_0144929x_2021_1953597_the_relationship_between_online_political_participation_and_privacy_protection_evidence_f.pdf","open")</f>
        <v>open</v>
      </c>
      <c r="F62" t="s">
        <v>4273</v>
      </c>
      <c r="G62" t="s">
        <v>4274</v>
      </c>
      <c r="H62" t="s">
        <v>4275</v>
      </c>
      <c r="I62" t="s">
        <v>148</v>
      </c>
      <c r="J62" t="s">
        <v>4276</v>
      </c>
    </row>
    <row r="63" spans="1:10" x14ac:dyDescent="0.2">
      <c r="A63" t="s">
        <v>318</v>
      </c>
      <c r="B63" t="s">
        <v>319</v>
      </c>
      <c r="C63" t="s">
        <v>25</v>
      </c>
      <c r="D63" t="s">
        <v>321</v>
      </c>
      <c r="E63" t="str">
        <f>HYPERLINK("/pdf/2023_10_1007_s40747_021_00456_0_deep_learning_framework_for_handling_concept_drift_and_class_imbalanced_complex_decision_m.pdf","open")</f>
        <v>open</v>
      </c>
      <c r="F63" t="s">
        <v>4277</v>
      </c>
      <c r="G63" t="s">
        <v>4278</v>
      </c>
      <c r="H63" t="s">
        <v>4279</v>
      </c>
      <c r="I63" t="s">
        <v>4280</v>
      </c>
      <c r="J63" t="s">
        <v>4281</v>
      </c>
    </row>
    <row r="64" spans="1:10" x14ac:dyDescent="0.2">
      <c r="A64" t="s">
        <v>323</v>
      </c>
      <c r="B64" t="s">
        <v>323</v>
      </c>
      <c r="C64" t="s">
        <v>19</v>
      </c>
      <c r="D64" t="s">
        <v>324</v>
      </c>
      <c r="E64" t="str">
        <f>HYPERLINK("/pdf/2025_10.1109_access.2025.3569356_FEXGBIDS__Federated_XGBoost-Based_Intrusion_Detection_System_for_In-Vehicle_Network.pdf","open")</f>
        <v>open</v>
      </c>
      <c r="F64" t="s">
        <v>4282</v>
      </c>
      <c r="G64" t="s">
        <v>4283</v>
      </c>
      <c r="H64" t="s">
        <v>4284</v>
      </c>
      <c r="I64" t="s">
        <v>4285</v>
      </c>
      <c r="J64" t="s">
        <v>4286</v>
      </c>
    </row>
    <row r="65" spans="1:10" x14ac:dyDescent="0.2">
      <c r="A65" t="s">
        <v>326</v>
      </c>
      <c r="B65" t="s">
        <v>327</v>
      </c>
      <c r="C65" t="s">
        <v>190</v>
      </c>
      <c r="D65" t="s">
        <v>329</v>
      </c>
      <c r="E65" t="str">
        <f>HYPERLINK("/pdf/2017_10.1109_iccsn.2017.8230197_EddLeak__Enhancing_precision_of_detecting_inter-app_data_leakage_in_Android_applications.pdf","open")</f>
        <v>open</v>
      </c>
      <c r="F65" t="s">
        <v>4287</v>
      </c>
      <c r="G65" t="s">
        <v>4288</v>
      </c>
      <c r="H65" t="s">
        <v>4289</v>
      </c>
      <c r="I65" t="s">
        <v>4290</v>
      </c>
      <c r="J65" t="s">
        <v>4291</v>
      </c>
    </row>
    <row r="66" spans="1:10" x14ac:dyDescent="0.2">
      <c r="A66" t="s">
        <v>331</v>
      </c>
      <c r="B66" t="s">
        <v>332</v>
      </c>
      <c r="C66" t="s">
        <v>25</v>
      </c>
      <c r="D66" t="s">
        <v>334</v>
      </c>
      <c r="E66" t="str">
        <f>HYPERLINK("/pdf/2023_10.1109_3ict60104.2023.10391475_Enhancing_Mobile_Security__A_Systematic_Review_of_AI_and_Blockchain_Integration_Strategies_for_Effective_Analy.pdf","open")</f>
        <v>open</v>
      </c>
      <c r="F66" t="s">
        <v>4292</v>
      </c>
      <c r="G66" t="s">
        <v>4293</v>
      </c>
      <c r="H66" t="s">
        <v>4294</v>
      </c>
      <c r="I66" t="s">
        <v>4295</v>
      </c>
      <c r="J66" t="s">
        <v>4296</v>
      </c>
    </row>
    <row r="67" spans="1:10" x14ac:dyDescent="0.2">
      <c r="A67" t="s">
        <v>336</v>
      </c>
      <c r="B67" t="s">
        <v>337</v>
      </c>
      <c r="C67" t="s">
        <v>19</v>
      </c>
      <c r="D67" t="s">
        <v>339</v>
      </c>
      <c r="E67" t="str">
        <f>HYPERLINK("/pdf/2025_10.1007_s13198-025-03013-x_Mobile_network_intelligent_recommendation_based_on_data_mining_and_network_security_application_in_college_stu.pdf","open")</f>
        <v>open</v>
      </c>
      <c r="F67" t="s">
        <v>4297</v>
      </c>
      <c r="G67" t="s">
        <v>4298</v>
      </c>
      <c r="H67" t="s">
        <v>4299</v>
      </c>
      <c r="I67" t="s">
        <v>4300</v>
      </c>
      <c r="J67" t="s">
        <v>4301</v>
      </c>
    </row>
    <row r="68" spans="1:10" x14ac:dyDescent="0.2">
      <c r="A68" t="s">
        <v>341</v>
      </c>
      <c r="B68" t="s">
        <v>342</v>
      </c>
      <c r="C68" t="s">
        <v>12</v>
      </c>
      <c r="D68" t="s">
        <v>344</v>
      </c>
      <c r="E68" t="str">
        <f>HYPERLINK("/pdf/2018_10.1109_isvlsi.2018.00105_Security-driven_task_scheduling_for_multiprocessor_system-on-chips_with_performance_constraints.pdf","open")</f>
        <v>open</v>
      </c>
      <c r="F68" t="s">
        <v>4302</v>
      </c>
      <c r="G68" t="s">
        <v>4303</v>
      </c>
      <c r="H68" t="s">
        <v>4304</v>
      </c>
      <c r="I68" t="s">
        <v>4305</v>
      </c>
      <c r="J68" t="s">
        <v>4306</v>
      </c>
    </row>
    <row r="69" spans="1:10" x14ac:dyDescent="0.2">
      <c r="A69" t="s">
        <v>346</v>
      </c>
      <c r="B69" t="s">
        <v>347</v>
      </c>
      <c r="C69" t="s">
        <v>54</v>
      </c>
      <c r="D69" t="s">
        <v>349</v>
      </c>
      <c r="E69" t="str">
        <f>HYPERLINK("/pdf/2020_10.1145_3407023.3409216_Exploring_data_leakage_in_encrypted_payload_using_supervised_machine_learning.pdf","open")</f>
        <v>open</v>
      </c>
      <c r="F69" t="s">
        <v>4307</v>
      </c>
      <c r="G69" t="s">
        <v>4308</v>
      </c>
      <c r="H69" t="s">
        <v>4309</v>
      </c>
      <c r="I69" t="s">
        <v>4310</v>
      </c>
      <c r="J69" t="s">
        <v>4311</v>
      </c>
    </row>
    <row r="70" spans="1:10" x14ac:dyDescent="0.2">
      <c r="A70" t="s">
        <v>351</v>
      </c>
      <c r="B70" t="s">
        <v>352</v>
      </c>
      <c r="C70" t="s">
        <v>54</v>
      </c>
      <c r="D70" t="s">
        <v>354</v>
      </c>
      <c r="E70" t="str">
        <f>HYPERLINK("/pdf/2020_10.1109_tvlsi.2020.2982188_Cache-Out__Leaking_Cache_Memory_Using_Hardware_Trojan.pdf","open")</f>
        <v>open</v>
      </c>
      <c r="F70" t="s">
        <v>4312</v>
      </c>
      <c r="G70" t="s">
        <v>4313</v>
      </c>
      <c r="H70" t="s">
        <v>4314</v>
      </c>
      <c r="I70" t="s">
        <v>4315</v>
      </c>
      <c r="J70" t="s">
        <v>4316</v>
      </c>
    </row>
    <row r="71" spans="1:10" x14ac:dyDescent="0.2">
      <c r="A71" t="s">
        <v>356</v>
      </c>
      <c r="B71" t="s">
        <v>357</v>
      </c>
      <c r="C71" t="s">
        <v>25</v>
      </c>
      <c r="D71" t="s">
        <v>359</v>
      </c>
      <c r="E71" t="str">
        <f>HYPERLINK("/pdf/2023_10.1109_isctech60480.2023.00028_An_attack-aware_shipping_enterprise_cybersecurity_framework_based_on_deep_learning.pdf","open")</f>
        <v>open</v>
      </c>
      <c r="F71" t="s">
        <v>4317</v>
      </c>
      <c r="G71" t="s">
        <v>4318</v>
      </c>
      <c r="H71" t="s">
        <v>4319</v>
      </c>
      <c r="I71" t="s">
        <v>4320</v>
      </c>
      <c r="J71" t="s">
        <v>4321</v>
      </c>
    </row>
    <row r="72" spans="1:10" x14ac:dyDescent="0.2">
      <c r="A72" t="s">
        <v>361</v>
      </c>
      <c r="B72" t="s">
        <v>362</v>
      </c>
      <c r="C72" t="s">
        <v>363</v>
      </c>
      <c r="D72" t="s">
        <v>365</v>
      </c>
      <c r="E72" t="str">
        <f>HYPERLINK("/pdf/2016_10.1016_j.jnca.2016.01.008_A_survey_on_data_leakage_prevention_systems.pdf","open")</f>
        <v>open</v>
      </c>
      <c r="F72" t="s">
        <v>4322</v>
      </c>
      <c r="G72" t="s">
        <v>4323</v>
      </c>
      <c r="H72" t="s">
        <v>4324</v>
      </c>
      <c r="I72" t="s">
        <v>4325</v>
      </c>
      <c r="J72" t="s">
        <v>4326</v>
      </c>
    </row>
    <row r="73" spans="1:10" x14ac:dyDescent="0.2">
      <c r="A73" t="s">
        <v>367</v>
      </c>
      <c r="B73" t="s">
        <v>368</v>
      </c>
      <c r="C73" t="s">
        <v>60</v>
      </c>
      <c r="D73" t="s">
        <v>370</v>
      </c>
      <c r="E73" t="str">
        <f>HYPERLINK("/pdf/2024_10.1002_9781394200801.ch32_Risks_for_conversational_AI_security.pdf","open")</f>
        <v>open</v>
      </c>
      <c r="F73" t="s">
        <v>4327</v>
      </c>
      <c r="G73" t="s">
        <v>4328</v>
      </c>
      <c r="H73" t="s">
        <v>4329</v>
      </c>
      <c r="I73" t="s">
        <v>4330</v>
      </c>
      <c r="J73" t="s">
        <v>4331</v>
      </c>
    </row>
    <row r="74" spans="1:10" x14ac:dyDescent="0.2">
      <c r="A74" t="s">
        <v>372</v>
      </c>
      <c r="B74" t="s">
        <v>373</v>
      </c>
      <c r="C74" t="s">
        <v>363</v>
      </c>
      <c r="D74" t="s">
        <v>375</v>
      </c>
      <c r="E74" t="str">
        <f>HYPERLINK("/pdf/2016_10.1109_hicss.2016.679_Utilizing_the_cloud_to_store_hijacked_camera_images.pdf","open")</f>
        <v>open</v>
      </c>
      <c r="F74" t="s">
        <v>4332</v>
      </c>
      <c r="G74" t="s">
        <v>4333</v>
      </c>
      <c r="H74" t="s">
        <v>4334</v>
      </c>
      <c r="I74" t="s">
        <v>148</v>
      </c>
      <c r="J74" t="s">
        <v>4335</v>
      </c>
    </row>
    <row r="75" spans="1:10" x14ac:dyDescent="0.2">
      <c r="A75" t="s">
        <v>140</v>
      </c>
      <c r="B75" t="s">
        <v>141</v>
      </c>
      <c r="C75" t="s">
        <v>25</v>
      </c>
      <c r="D75" t="s">
        <v>143</v>
      </c>
      <c r="E75" t="str">
        <f>HYPERLINK("/pdf/2023_10_11591_ijece_v13i5_pp5560_5568_concept_drift_and_machine_learning_model_for_detecting_fraudulent_transactions_i.pdf","open")</f>
        <v>open</v>
      </c>
      <c r="F75" t="s">
        <v>4336</v>
      </c>
      <c r="G75" t="s">
        <v>4337</v>
      </c>
      <c r="H75" t="s">
        <v>4338</v>
      </c>
      <c r="I75" t="s">
        <v>4339</v>
      </c>
      <c r="J75" t="s">
        <v>4340</v>
      </c>
    </row>
    <row r="76" spans="1:10" x14ac:dyDescent="0.2">
      <c r="A76" t="s">
        <v>378</v>
      </c>
      <c r="B76" t="s">
        <v>379</v>
      </c>
      <c r="C76" t="s">
        <v>25</v>
      </c>
      <c r="D76" t="s">
        <v>378</v>
      </c>
      <c r="E76" t="str">
        <f>HYPERLINK("/pdf/2024_10_1587_transfun_2023eap1049_real_time_monitoring_systems_that_provide_m2m_communication_between_machines.pdf","open")</f>
        <v>open</v>
      </c>
      <c r="F76" t="s">
        <v>4341</v>
      </c>
      <c r="G76" t="s">
        <v>4342</v>
      </c>
      <c r="H76" t="s">
        <v>4343</v>
      </c>
      <c r="I76" t="s">
        <v>4344</v>
      </c>
      <c r="J76" t="s">
        <v>4345</v>
      </c>
    </row>
    <row r="77" spans="1:10" x14ac:dyDescent="0.2">
      <c r="A77" t="s">
        <v>382</v>
      </c>
      <c r="B77" t="s">
        <v>383</v>
      </c>
      <c r="C77" t="s">
        <v>48</v>
      </c>
      <c r="D77" t="s">
        <v>385</v>
      </c>
      <c r="E77" t="str">
        <f>HYPERLINK("/pdf/2026_10_37394_23209_2026_23_6_intrusion_detection_system_iids.pdf","open")</f>
        <v>open</v>
      </c>
      <c r="F77" t="s">
        <v>4346</v>
      </c>
      <c r="G77" t="s">
        <v>4347</v>
      </c>
      <c r="H77" t="s">
        <v>4348</v>
      </c>
      <c r="I77" t="s">
        <v>4349</v>
      </c>
      <c r="J77" t="s">
        <v>4350</v>
      </c>
    </row>
    <row r="78" spans="1:10" x14ac:dyDescent="0.2">
      <c r="A78" t="s">
        <v>387</v>
      </c>
      <c r="B78" t="s">
        <v>388</v>
      </c>
      <c r="C78" t="s">
        <v>25</v>
      </c>
      <c r="D78" t="s">
        <v>390</v>
      </c>
      <c r="E78" t="str">
        <f>HYPERLINK("/pdf/2023_10_3390_fi15090296_fredy_federated_resilience_enhanced_with_differential_privacy.pdf","open")</f>
        <v>open</v>
      </c>
      <c r="F78" t="s">
        <v>4351</v>
      </c>
      <c r="G78" t="s">
        <v>4352</v>
      </c>
      <c r="H78" t="s">
        <v>4353</v>
      </c>
      <c r="I78" t="s">
        <v>4354</v>
      </c>
      <c r="J78" t="s">
        <v>4355</v>
      </c>
    </row>
    <row r="79" spans="1:10" x14ac:dyDescent="0.2">
      <c r="A79" t="s">
        <v>392</v>
      </c>
      <c r="B79" t="s">
        <v>393</v>
      </c>
      <c r="C79" t="s">
        <v>19</v>
      </c>
      <c r="D79" t="s">
        <v>395</v>
      </c>
      <c r="E79" t="str">
        <f>HYPERLINK("/pdf/2025_10.1109_isctt66403.2025.11137906_Distributed_Network_Intrusion_Detection_Model_Based_on_Multi-Feature_Fusion_Generative_Adversarial_Network_and.pdf","open")</f>
        <v>open</v>
      </c>
      <c r="F79" t="s">
        <v>4356</v>
      </c>
      <c r="G79" t="s">
        <v>4357</v>
      </c>
      <c r="H79" t="s">
        <v>4358</v>
      </c>
      <c r="I79" t="s">
        <v>4359</v>
      </c>
      <c r="J79" t="s">
        <v>4360</v>
      </c>
    </row>
    <row r="80" spans="1:10" x14ac:dyDescent="0.2">
      <c r="A80" t="s">
        <v>397</v>
      </c>
      <c r="B80" t="s">
        <v>398</v>
      </c>
      <c r="C80" t="s">
        <v>25</v>
      </c>
      <c r="D80" t="s">
        <v>400</v>
      </c>
      <c r="E80" t="str">
        <f>HYPERLINK("/pdf/2023_10_3390_en16134838_a_review_of_cybersecurity_concerns_for_transactive_energy_markets.pdf","open")</f>
        <v>open</v>
      </c>
      <c r="F80" t="s">
        <v>4361</v>
      </c>
      <c r="G80" t="s">
        <v>4362</v>
      </c>
      <c r="H80" t="s">
        <v>4363</v>
      </c>
      <c r="I80" t="s">
        <v>148</v>
      </c>
      <c r="J80" t="s">
        <v>148</v>
      </c>
    </row>
    <row r="81" spans="1:10" x14ac:dyDescent="0.2">
      <c r="A81" t="s">
        <v>402</v>
      </c>
      <c r="B81" t="s">
        <v>403</v>
      </c>
      <c r="C81" t="s">
        <v>136</v>
      </c>
      <c r="D81" t="s">
        <v>405</v>
      </c>
      <c r="E81" t="str">
        <f>HYPERLINK("/pdf/2019_10_1109_compsac_2019_00118_ctrl_alt_led_leaking_data_from_air_gapped_computers_via_keyboard_leds.pdf","open")</f>
        <v>open</v>
      </c>
      <c r="F81" t="s">
        <v>4364</v>
      </c>
      <c r="G81" t="s">
        <v>4365</v>
      </c>
      <c r="H81" t="s">
        <v>4366</v>
      </c>
      <c r="I81" t="s">
        <v>4367</v>
      </c>
      <c r="J81" t="s">
        <v>4368</v>
      </c>
    </row>
    <row r="82" spans="1:10" x14ac:dyDescent="0.2">
      <c r="A82" t="s">
        <v>407</v>
      </c>
      <c r="B82" t="s">
        <v>408</v>
      </c>
      <c r="C82" t="s">
        <v>12</v>
      </c>
      <c r="D82" t="s">
        <v>410</v>
      </c>
      <c r="E82" t="str">
        <f>HYPERLINK("/pdf/2018_10.1109_iccnc.2018.8390242_Don't_Be_Surprised__I_See_Your_Mobile_App_Stealing_Your_Data.pdf","open")</f>
        <v>open</v>
      </c>
      <c r="F82" t="s">
        <v>4369</v>
      </c>
      <c r="G82" t="s">
        <v>4370</v>
      </c>
      <c r="H82" t="s">
        <v>4371</v>
      </c>
      <c r="I82" t="s">
        <v>4372</v>
      </c>
      <c r="J82" t="s">
        <v>4373</v>
      </c>
    </row>
    <row r="83" spans="1:10" x14ac:dyDescent="0.2">
      <c r="A83" t="s">
        <v>412</v>
      </c>
      <c r="B83" t="s">
        <v>11</v>
      </c>
      <c r="C83" t="s">
        <v>12</v>
      </c>
      <c r="D83" t="s">
        <v>14</v>
      </c>
      <c r="E83" t="str">
        <f>HYPERLINK("/pdf/2018_10_1007_978_1_4842_3700_7_defending_iot_infrastructures_with_the_raspberry_pi_monitoring_and_detecting_nefarious_be.pdf","open")</f>
        <v>open</v>
      </c>
      <c r="F83" t="s">
        <v>4374</v>
      </c>
      <c r="G83" t="s">
        <v>4375</v>
      </c>
      <c r="H83" t="s">
        <v>4376</v>
      </c>
      <c r="I83" t="s">
        <v>4377</v>
      </c>
      <c r="J83" t="s">
        <v>4378</v>
      </c>
    </row>
    <row r="84" spans="1:10" x14ac:dyDescent="0.2">
      <c r="A84" t="s">
        <v>415</v>
      </c>
      <c r="B84" t="s">
        <v>416</v>
      </c>
      <c r="C84" t="s">
        <v>19</v>
      </c>
      <c r="D84" t="s">
        <v>418</v>
      </c>
      <c r="E84" t="str">
        <f>HYPERLINK("/pdf/2025_10.1007_s10586-025-05591-8_RF-FedAvg__Federated_learning-based_random_forest_model_for_intrusion_detection_in_wireless_sensor_networks.pdf","open")</f>
        <v>open</v>
      </c>
      <c r="F84" t="s">
        <v>4379</v>
      </c>
      <c r="G84" t="s">
        <v>4380</v>
      </c>
      <c r="H84" t="s">
        <v>4381</v>
      </c>
      <c r="I84" t="s">
        <v>4382</v>
      </c>
      <c r="J84" t="s">
        <v>4383</v>
      </c>
    </row>
    <row r="85" spans="1:10" x14ac:dyDescent="0.2">
      <c r="A85" t="s">
        <v>420</v>
      </c>
      <c r="B85" t="s">
        <v>421</v>
      </c>
      <c r="C85" t="s">
        <v>19</v>
      </c>
      <c r="D85" t="s">
        <v>423</v>
      </c>
      <c r="E85" t="str">
        <f>HYPERLINK("/pdf/2025_10.1109_tifs.2025.3607271_The_Gradient_Puppeteer__Adversarial_Domination_in_Gradient_Leakage_Attacks_Through_Model_Poisoning.pdf","open")</f>
        <v>open</v>
      </c>
      <c r="F85" t="s">
        <v>4384</v>
      </c>
      <c r="G85" t="s">
        <v>4385</v>
      </c>
      <c r="H85" t="s">
        <v>4386</v>
      </c>
      <c r="I85" t="s">
        <v>4387</v>
      </c>
      <c r="J85" t="s">
        <v>4388</v>
      </c>
    </row>
    <row r="86" spans="1:10" x14ac:dyDescent="0.2">
      <c r="A86" t="s">
        <v>425</v>
      </c>
      <c r="B86" t="s">
        <v>426</v>
      </c>
      <c r="C86" t="s">
        <v>210</v>
      </c>
      <c r="D86" t="s">
        <v>428</v>
      </c>
      <c r="E86" t="str">
        <f>HYPERLINK("/pdf/2015_10.1109_ictc.2015.7354766_Mobile_security_technology_for_smart_devices.pdf","open")</f>
        <v>open</v>
      </c>
      <c r="F86" t="s">
        <v>4389</v>
      </c>
      <c r="G86" t="s">
        <v>4390</v>
      </c>
      <c r="H86" t="s">
        <v>4391</v>
      </c>
      <c r="I86" t="s">
        <v>4392</v>
      </c>
      <c r="J86" t="s">
        <v>4393</v>
      </c>
    </row>
    <row r="87" spans="1:10" x14ac:dyDescent="0.2">
      <c r="A87" t="s">
        <v>430</v>
      </c>
      <c r="B87" t="s">
        <v>431</v>
      </c>
      <c r="C87" t="s">
        <v>60</v>
      </c>
      <c r="D87" t="s">
        <v>433</v>
      </c>
      <c r="E87" t="str">
        <f>HYPERLINK("/pdf/2024_10.1109_icees61253.2024.10776873_A_Comparative_Study_on_the_Impacts_of_Data_Leakage_During_Feature_Selection_using_the_CIC-IoT_2023_Intrusion_D.pdf","open")</f>
        <v>open</v>
      </c>
      <c r="F87" t="s">
        <v>4394</v>
      </c>
      <c r="G87" t="s">
        <v>4395</v>
      </c>
      <c r="H87" t="s">
        <v>4396</v>
      </c>
      <c r="I87" t="s">
        <v>4397</v>
      </c>
      <c r="J87" t="s">
        <v>4398</v>
      </c>
    </row>
    <row r="88" spans="1:10" x14ac:dyDescent="0.2">
      <c r="A88" t="s">
        <v>435</v>
      </c>
      <c r="B88" t="s">
        <v>436</v>
      </c>
      <c r="C88" t="s">
        <v>25</v>
      </c>
      <c r="D88" t="s">
        <v>438</v>
      </c>
      <c r="E88" t="str">
        <f>HYPERLINK("/pdf/2023_10.1109_tnet.2022.3215549_Packet_Chunking_for_File_Detection.pdf","open")</f>
        <v>open</v>
      </c>
      <c r="F88" t="s">
        <v>4399</v>
      </c>
      <c r="G88" t="s">
        <v>4400</v>
      </c>
      <c r="H88" t="s">
        <v>4401</v>
      </c>
      <c r="I88" t="s">
        <v>4402</v>
      </c>
      <c r="J88" t="s">
        <v>4403</v>
      </c>
    </row>
    <row r="89" spans="1:10" x14ac:dyDescent="0.2">
      <c r="A89" t="s">
        <v>440</v>
      </c>
      <c r="B89" t="s">
        <v>441</v>
      </c>
      <c r="C89" t="s">
        <v>54</v>
      </c>
      <c r="D89" t="s">
        <v>443</v>
      </c>
      <c r="E89" t="str">
        <f>HYPERLINK("/pdf/2020_10.1109_tvlsi.2019.2961358_HarTBleed__Using_Hardware_Trojans_for_Data_Leakage_Exploits.pdf","open")</f>
        <v>open</v>
      </c>
      <c r="F89" t="s">
        <v>4404</v>
      </c>
      <c r="G89" t="s">
        <v>4405</v>
      </c>
      <c r="H89" t="s">
        <v>4406</v>
      </c>
      <c r="I89" t="s">
        <v>148</v>
      </c>
      <c r="J89" t="s">
        <v>4407</v>
      </c>
    </row>
    <row r="90" spans="1:10" x14ac:dyDescent="0.2">
      <c r="A90" t="s">
        <v>445</v>
      </c>
      <c r="B90" t="s">
        <v>446</v>
      </c>
      <c r="C90" t="s">
        <v>19</v>
      </c>
      <c r="D90" t="s">
        <v>448</v>
      </c>
      <c r="E90" t="str">
        <f>HYPERLINK("/pdf/2025_10_3991_ijep_v15i4_53127_integration_of_cybersecurity_into_computer_science_teachers_training_a_systematic_review.pdf","open")</f>
        <v>open</v>
      </c>
      <c r="F90" t="s">
        <v>4408</v>
      </c>
      <c r="G90" t="s">
        <v>4409</v>
      </c>
      <c r="H90" t="s">
        <v>4410</v>
      </c>
      <c r="I90" t="s">
        <v>148</v>
      </c>
      <c r="J90" t="s">
        <v>148</v>
      </c>
    </row>
    <row r="91" spans="1:10" x14ac:dyDescent="0.2">
      <c r="A91" t="s">
        <v>450</v>
      </c>
      <c r="B91" t="s">
        <v>451</v>
      </c>
      <c r="C91" t="s">
        <v>19</v>
      </c>
      <c r="D91" t="s">
        <v>453</v>
      </c>
      <c r="E91" t="str">
        <f>HYPERLINK("/pdf/2025_10.1109_iccad66269.2025.11240658_Invited_Paper__2025_ICCAD_CAD_Contest_Problem_A__Hardware_Trojan_Detection_on_Gate-Level_Netlist.pdf","open")</f>
        <v>open</v>
      </c>
      <c r="F91" t="s">
        <v>4411</v>
      </c>
      <c r="G91" t="s">
        <v>4412</v>
      </c>
      <c r="H91" t="s">
        <v>4413</v>
      </c>
      <c r="I91" t="s">
        <v>4414</v>
      </c>
      <c r="J91" t="s">
        <v>4415</v>
      </c>
    </row>
    <row r="92" spans="1:10" x14ac:dyDescent="0.2">
      <c r="A92" t="s">
        <v>455</v>
      </c>
      <c r="B92" t="s">
        <v>456</v>
      </c>
      <c r="C92" t="s">
        <v>136</v>
      </c>
      <c r="D92" t="s">
        <v>148</v>
      </c>
      <c r="E92" t="str">
        <f>HYPERLINK("/pdf/2019_Testing_the_human_backdoor__organizational_response_to_a_phishing_campaign.pdf","open")</f>
        <v>open</v>
      </c>
      <c r="F92" t="s">
        <v>4416</v>
      </c>
      <c r="G92" t="s">
        <v>4417</v>
      </c>
      <c r="H92" t="s">
        <v>4418</v>
      </c>
      <c r="I92" t="s">
        <v>148</v>
      </c>
      <c r="J92" t="s">
        <v>148</v>
      </c>
    </row>
    <row r="93" spans="1:10" x14ac:dyDescent="0.2">
      <c r="A93" t="s">
        <v>459</v>
      </c>
      <c r="B93" t="s">
        <v>460</v>
      </c>
      <c r="C93" t="s">
        <v>156</v>
      </c>
      <c r="D93" t="s">
        <v>148</v>
      </c>
      <c r="E93" t="str">
        <f>HYPERLINK("/pdf/2013_10_15837_ijccc_2013_1_173_managing_information_technology_security_in_the_context_of_cyber_crime_trends.pdf","open")</f>
        <v>open</v>
      </c>
      <c r="F93" t="s">
        <v>4419</v>
      </c>
      <c r="G93" t="s">
        <v>4420</v>
      </c>
      <c r="H93" t="s">
        <v>4421</v>
      </c>
      <c r="I93" t="s">
        <v>4422</v>
      </c>
      <c r="J93" t="s">
        <v>4423</v>
      </c>
    </row>
    <row r="94" spans="1:10" x14ac:dyDescent="0.2">
      <c r="A94" t="s">
        <v>463</v>
      </c>
      <c r="B94" t="s">
        <v>464</v>
      </c>
      <c r="C94" t="s">
        <v>25</v>
      </c>
      <c r="D94" t="s">
        <v>466</v>
      </c>
      <c r="E94" t="str">
        <f>HYPERLINK("/pdf/2023_10.1109_cymaen57228.2023.10050996_Robotic_Process_Automation_and_Intelligent_Automation_Security_Challenges__A_Review.pdf","open")</f>
        <v>open</v>
      </c>
      <c r="F94" t="s">
        <v>4424</v>
      </c>
      <c r="G94" t="s">
        <v>4425</v>
      </c>
      <c r="H94" t="s">
        <v>4426</v>
      </c>
      <c r="I94" t="s">
        <v>148</v>
      </c>
      <c r="J94" t="s">
        <v>148</v>
      </c>
    </row>
    <row r="95" spans="1:10" x14ac:dyDescent="0.2">
      <c r="A95" t="s">
        <v>468</v>
      </c>
      <c r="B95" t="s">
        <v>469</v>
      </c>
      <c r="C95" t="s">
        <v>100</v>
      </c>
      <c r="D95" t="s">
        <v>471</v>
      </c>
      <c r="E95" t="str">
        <f>HYPERLINK("/pdf/2022_10.1109_globecom48099.2022.10001017_Intelligent_Ensemble_based_System_for_Rare_Attacks_Dectection_in_IoT_Networks.pdf","open")</f>
        <v>open</v>
      </c>
      <c r="F95" t="s">
        <v>4427</v>
      </c>
      <c r="G95" t="s">
        <v>4428</v>
      </c>
      <c r="H95" t="s">
        <v>4429</v>
      </c>
      <c r="I95" t="s">
        <v>4430</v>
      </c>
      <c r="J95" t="s">
        <v>4431</v>
      </c>
    </row>
    <row r="96" spans="1:10" x14ac:dyDescent="0.2">
      <c r="A96" t="s">
        <v>473</v>
      </c>
      <c r="B96" t="s">
        <v>474</v>
      </c>
      <c r="C96" t="s">
        <v>36</v>
      </c>
      <c r="D96" t="s">
        <v>476</v>
      </c>
      <c r="E96" t="str">
        <f>HYPERLINK("/pdf/2022_10.1109_hpcc-dss-smartcity-dependsys53884.2021.00090_Detecting_Data_Leakage_in_DNS_Traffic_based_on_Time_Series_Anomaly_Detection.pdf","open")</f>
        <v>open</v>
      </c>
      <c r="F96" t="s">
        <v>4432</v>
      </c>
      <c r="G96" t="s">
        <v>4433</v>
      </c>
      <c r="H96" t="s">
        <v>4434</v>
      </c>
      <c r="I96" t="s">
        <v>4435</v>
      </c>
      <c r="J96" t="s">
        <v>4436</v>
      </c>
    </row>
    <row r="97" spans="1:10" x14ac:dyDescent="0.2">
      <c r="A97" t="s">
        <v>478</v>
      </c>
      <c r="B97" t="s">
        <v>479</v>
      </c>
      <c r="C97" t="s">
        <v>136</v>
      </c>
      <c r="D97" t="s">
        <v>480</v>
      </c>
      <c r="E97" t="str">
        <f>HYPERLINK("/pdf/2019_10.1016_j.jnca.2019.07.006_Using_malware_for_the_greater_good__Mitigating_data_leakage.pdf","open")</f>
        <v>open</v>
      </c>
      <c r="F97" t="s">
        <v>4437</v>
      </c>
      <c r="G97" t="s">
        <v>4438</v>
      </c>
      <c r="H97" t="s">
        <v>4439</v>
      </c>
      <c r="I97" t="s">
        <v>4440</v>
      </c>
      <c r="J97" t="s">
        <v>4441</v>
      </c>
    </row>
    <row r="98" spans="1:10" x14ac:dyDescent="0.2">
      <c r="A98" t="s">
        <v>482</v>
      </c>
      <c r="B98" t="s">
        <v>483</v>
      </c>
      <c r="C98" t="s">
        <v>363</v>
      </c>
      <c r="D98" t="s">
        <v>482</v>
      </c>
      <c r="E98" t="str">
        <f>HYPERLINK("/pdf/2016_10.1002_sec.1531_DAT_detectors__uncovering_TCP_IP_covert_channels_by_descriptive_analytics.pdf","open")</f>
        <v>open</v>
      </c>
      <c r="F98" t="s">
        <v>4442</v>
      </c>
      <c r="G98" t="s">
        <v>4443</v>
      </c>
      <c r="H98" t="s">
        <v>4444</v>
      </c>
      <c r="I98" t="s">
        <v>4445</v>
      </c>
      <c r="J98" t="s">
        <v>4446</v>
      </c>
    </row>
    <row r="99" spans="1:10" x14ac:dyDescent="0.2">
      <c r="A99" t="s">
        <v>486</v>
      </c>
      <c r="B99" t="s">
        <v>487</v>
      </c>
      <c r="C99" t="s">
        <v>25</v>
      </c>
      <c r="D99" t="s">
        <v>489</v>
      </c>
      <c r="E99" t="str">
        <f>HYPERLINK("/pdf/2023_10.1007_s10207-022-00651-1_Random_resampling_algorithms_for_addressing_the_imbalanced_dataset_classes_in_insider_threat_detection.pdf","open")</f>
        <v>open</v>
      </c>
      <c r="F99" t="s">
        <v>4447</v>
      </c>
      <c r="G99" t="s">
        <v>4448</v>
      </c>
      <c r="H99" t="s">
        <v>4449</v>
      </c>
      <c r="I99" t="s">
        <v>4450</v>
      </c>
      <c r="J99" t="s">
        <v>4451</v>
      </c>
    </row>
    <row r="100" spans="1:10" x14ac:dyDescent="0.2">
      <c r="A100" t="s">
        <v>491</v>
      </c>
      <c r="B100" t="s">
        <v>492</v>
      </c>
      <c r="C100" t="s">
        <v>19</v>
      </c>
      <c r="D100" t="s">
        <v>494</v>
      </c>
      <c r="E100" t="str">
        <f>HYPERLINK("/pdf/2025_10_1038_s41598_025_88856_x_security_verification_framework_for_ndn_access_control.pdf","open")</f>
        <v>open</v>
      </c>
      <c r="F100" t="s">
        <v>4452</v>
      </c>
      <c r="G100" t="s">
        <v>4453</v>
      </c>
      <c r="H100" t="s">
        <v>4454</v>
      </c>
      <c r="I100" t="s">
        <v>4455</v>
      </c>
      <c r="J100" t="s">
        <v>4456</v>
      </c>
    </row>
    <row r="101" spans="1:10" x14ac:dyDescent="0.2">
      <c r="A101" t="s">
        <v>496</v>
      </c>
      <c r="B101" t="s">
        <v>497</v>
      </c>
      <c r="C101" t="s">
        <v>12</v>
      </c>
      <c r="D101" t="s">
        <v>148</v>
      </c>
      <c r="E101" t="str">
        <f>HYPERLINK("/pdf/2018_10.1109_ntms.2018.8328709_On_the_detection_and_handling_of_security_incidents_and_perimeter_breaches_-_A_modular_and_flexible_honeytoken.pdf","open")</f>
        <v>open</v>
      </c>
      <c r="F101" t="s">
        <v>4457</v>
      </c>
      <c r="G101" t="s">
        <v>4458</v>
      </c>
      <c r="H101" t="s">
        <v>4459</v>
      </c>
      <c r="I101" t="s">
        <v>4460</v>
      </c>
      <c r="J101" t="s">
        <v>4461</v>
      </c>
    </row>
    <row r="102" spans="1:10" x14ac:dyDescent="0.2">
      <c r="A102" t="s">
        <v>500</v>
      </c>
      <c r="B102" t="s">
        <v>501</v>
      </c>
      <c r="C102" t="s">
        <v>48</v>
      </c>
      <c r="D102" t="s">
        <v>503</v>
      </c>
      <c r="E102" t="str">
        <f>HYPERLINK("/pdf/2026_10.1007_s10922-026-10034-9_Robust_CNN-Based_Threat_Detection_in_SDN-Enabled_IoT_Networks.pdf","open")</f>
        <v>open</v>
      </c>
      <c r="F102" t="s">
        <v>4462</v>
      </c>
      <c r="G102" t="s">
        <v>4463</v>
      </c>
      <c r="H102" t="s">
        <v>4464</v>
      </c>
      <c r="I102" t="s">
        <v>4465</v>
      </c>
      <c r="J102" t="s">
        <v>4466</v>
      </c>
    </row>
    <row r="103" spans="1:10" x14ac:dyDescent="0.2">
      <c r="A103" t="s">
        <v>505</v>
      </c>
      <c r="B103" t="s">
        <v>506</v>
      </c>
      <c r="C103" t="s">
        <v>100</v>
      </c>
      <c r="D103" t="s">
        <v>508</v>
      </c>
      <c r="E103" t="str">
        <f>HYPERLINK("/pdf/2022_10.1109_aie57029.2022.00096_AI_in_Blockchain_Towards_Realizing_Cyber_Security.pdf","open")</f>
        <v>open</v>
      </c>
      <c r="F103" t="s">
        <v>4467</v>
      </c>
      <c r="G103" t="s">
        <v>4468</v>
      </c>
      <c r="H103" t="s">
        <v>4469</v>
      </c>
      <c r="I103" t="s">
        <v>148</v>
      </c>
      <c r="J103" t="s">
        <v>4470</v>
      </c>
    </row>
    <row r="104" spans="1:10" x14ac:dyDescent="0.2">
      <c r="A104" t="s">
        <v>510</v>
      </c>
      <c r="B104" t="s">
        <v>511</v>
      </c>
      <c r="C104" t="s">
        <v>210</v>
      </c>
      <c r="D104" t="s">
        <v>513</v>
      </c>
      <c r="E104" t="str">
        <f>HYPERLINK("/pdf/2015_10.1109_trustcom.2015.464_Detecting_data_semantic__A_data_leakage_prevention_approach.pdf","open")</f>
        <v>open</v>
      </c>
      <c r="F104" t="s">
        <v>4471</v>
      </c>
      <c r="G104" t="s">
        <v>4472</v>
      </c>
      <c r="H104" t="s">
        <v>4473</v>
      </c>
      <c r="I104" t="s">
        <v>4474</v>
      </c>
      <c r="J104" t="s">
        <v>4475</v>
      </c>
    </row>
    <row r="105" spans="1:10" x14ac:dyDescent="0.2">
      <c r="A105" t="s">
        <v>271</v>
      </c>
      <c r="B105" t="s">
        <v>272</v>
      </c>
      <c r="C105" t="s">
        <v>60</v>
      </c>
      <c r="D105" t="s">
        <v>274</v>
      </c>
      <c r="E105" t="str">
        <f>HYPERLINK("/pdf/2024_10_4108_eetsis_5028_determining_intrusion_attacks_against_online_applications_using_cloud_based_data.pdf","open")</f>
        <v>open</v>
      </c>
      <c r="F105" t="s">
        <v>4476</v>
      </c>
      <c r="G105" t="s">
        <v>4477</v>
      </c>
      <c r="H105" t="s">
        <v>4478</v>
      </c>
      <c r="I105" t="s">
        <v>4479</v>
      </c>
      <c r="J105" t="s">
        <v>4480</v>
      </c>
    </row>
    <row r="106" spans="1:10" x14ac:dyDescent="0.2">
      <c r="A106" t="s">
        <v>516</v>
      </c>
      <c r="B106" t="s">
        <v>517</v>
      </c>
      <c r="C106" t="s">
        <v>518</v>
      </c>
      <c r="D106" t="s">
        <v>148</v>
      </c>
      <c r="E106" t="str">
        <f>HYPERLINK("/pdf/2021_Exploring_the_information_security_practices_on_the_smartphone_by_the_postgraduate_students_of_University_of_C.pdf","open")</f>
        <v>open</v>
      </c>
      <c r="F106" t="s">
        <v>4481</v>
      </c>
      <c r="G106" t="s">
        <v>4482</v>
      </c>
      <c r="H106" t="s">
        <v>4483</v>
      </c>
      <c r="I106" t="s">
        <v>4484</v>
      </c>
      <c r="J106" t="s">
        <v>4484</v>
      </c>
    </row>
    <row r="107" spans="1:10" x14ac:dyDescent="0.2">
      <c r="A107" t="s">
        <v>521</v>
      </c>
      <c r="B107" t="s">
        <v>522</v>
      </c>
      <c r="C107" t="s">
        <v>25</v>
      </c>
      <c r="D107" t="s">
        <v>524</v>
      </c>
      <c r="E107" t="str">
        <f>HYPERLINK("/pdf/2023_10.1109_pcems58491.2023.10136083_Automated_Detection_of_Hardware_Trojans_using_Power_Side-Channel_Analysis_and_VGG-Net.pdf","open")</f>
        <v>open</v>
      </c>
      <c r="F107" t="s">
        <v>4485</v>
      </c>
      <c r="G107" t="s">
        <v>4486</v>
      </c>
      <c r="H107" t="s">
        <v>4487</v>
      </c>
      <c r="I107" t="s">
        <v>4488</v>
      </c>
      <c r="J107" t="s">
        <v>4489</v>
      </c>
    </row>
    <row r="108" spans="1:10" x14ac:dyDescent="0.2">
      <c r="A108" t="s">
        <v>526</v>
      </c>
      <c r="B108" t="s">
        <v>527</v>
      </c>
      <c r="C108" t="s">
        <v>25</v>
      </c>
      <c r="D108" t="s">
        <v>529</v>
      </c>
      <c r="E108" t="str">
        <f>HYPERLINK("/pdf/2023_10.1109_sin60469.2023.10474998_Exploring_the_Evolving_Landscape_of_API_Security_Challenges_in_the_Healthcare_Industry__A_Comprehensive_Review.pdf","open")</f>
        <v>open</v>
      </c>
      <c r="F108" t="s">
        <v>4490</v>
      </c>
      <c r="G108" t="s">
        <v>4491</v>
      </c>
      <c r="H108" t="s">
        <v>4492</v>
      </c>
      <c r="I108" t="s">
        <v>148</v>
      </c>
      <c r="J108" t="s">
        <v>148</v>
      </c>
    </row>
    <row r="109" spans="1:10" x14ac:dyDescent="0.2">
      <c r="A109" t="s">
        <v>531</v>
      </c>
      <c r="B109" t="s">
        <v>532</v>
      </c>
      <c r="C109" t="s">
        <v>156</v>
      </c>
      <c r="D109" t="s">
        <v>148</v>
      </c>
      <c r="E109" t="str">
        <f>HYPERLINK("/pdf/2013_10_1109_icmla_2013_104_streaming_malware_classification_in_the_presence_of_concept_drift_and_class_imbalance.pdf","open")</f>
        <v>open</v>
      </c>
      <c r="F109" t="s">
        <v>4493</v>
      </c>
      <c r="G109" t="s">
        <v>4494</v>
      </c>
      <c r="H109" t="s">
        <v>4495</v>
      </c>
      <c r="I109" t="s">
        <v>4496</v>
      </c>
      <c r="J109" t="s">
        <v>4497</v>
      </c>
    </row>
    <row r="110" spans="1:10" x14ac:dyDescent="0.2">
      <c r="A110" t="s">
        <v>535</v>
      </c>
      <c r="B110" t="s">
        <v>536</v>
      </c>
      <c r="C110" t="s">
        <v>60</v>
      </c>
      <c r="D110" t="s">
        <v>538</v>
      </c>
      <c r="E110" t="str">
        <f>HYPERLINK("/pdf/2023_10_32604_cmes_2023_044169_enhancing_healthcare_data_security_and_disease_detection_using_crossover_based_m.pdf","open")</f>
        <v>open</v>
      </c>
      <c r="F110" t="s">
        <v>4498</v>
      </c>
      <c r="G110" t="s">
        <v>4499</v>
      </c>
      <c r="H110" t="s">
        <v>4500</v>
      </c>
      <c r="I110" t="s">
        <v>4501</v>
      </c>
      <c r="J110" t="s">
        <v>4502</v>
      </c>
    </row>
    <row r="111" spans="1:10" x14ac:dyDescent="0.2">
      <c r="A111" t="s">
        <v>540</v>
      </c>
      <c r="B111" t="s">
        <v>541</v>
      </c>
      <c r="C111" t="s">
        <v>25</v>
      </c>
      <c r="D111" t="s">
        <v>540</v>
      </c>
      <c r="E111" t="str">
        <f>HYPERLINK("/pdf/2024_10_1109_tdsc_2023_3323713_leakage_of_authorization_data_in_iot_device_sharing_new_attacks_and_countermeas.pdf","open")</f>
        <v>open</v>
      </c>
      <c r="F111" t="s">
        <v>4503</v>
      </c>
      <c r="G111" t="s">
        <v>4504</v>
      </c>
      <c r="H111" t="s">
        <v>4505</v>
      </c>
      <c r="I111" t="s">
        <v>148</v>
      </c>
      <c r="J111" t="s">
        <v>4506</v>
      </c>
    </row>
    <row r="112" spans="1:10" x14ac:dyDescent="0.2">
      <c r="A112" t="s">
        <v>544</v>
      </c>
      <c r="B112" t="s">
        <v>545</v>
      </c>
      <c r="C112" t="s">
        <v>156</v>
      </c>
      <c r="D112" t="s">
        <v>547</v>
      </c>
      <c r="E112" t="str">
        <f>HYPERLINK("/pdf/2013_10.1109_icspcs.2013.6723919_Adaptable_N-gram_classification_model_for_data_leakage_prevention.pdf","open")</f>
        <v>open</v>
      </c>
      <c r="F112" t="s">
        <v>4507</v>
      </c>
      <c r="G112" t="s">
        <v>4508</v>
      </c>
      <c r="H112" t="s">
        <v>4509</v>
      </c>
      <c r="I112" t="s">
        <v>4510</v>
      </c>
      <c r="J112" t="s">
        <v>4511</v>
      </c>
    </row>
    <row r="113" spans="1:10" x14ac:dyDescent="0.2">
      <c r="A113" t="s">
        <v>549</v>
      </c>
      <c r="B113" t="s">
        <v>550</v>
      </c>
      <c r="C113" t="s">
        <v>25</v>
      </c>
      <c r="D113" t="s">
        <v>552</v>
      </c>
      <c r="E113" t="str">
        <f>HYPERLINK("/pdf/2023_10.58496_mjcs_2023_016_A_Comprehensive_Review_of_Security_Measures_in_Database_Systems__Assessing_Authentication,_Access_Control,_and.pdf","open")</f>
        <v>open</v>
      </c>
      <c r="F113" t="s">
        <v>4512</v>
      </c>
      <c r="G113" t="s">
        <v>4513</v>
      </c>
      <c r="H113" t="s">
        <v>4514</v>
      </c>
      <c r="I113" t="s">
        <v>148</v>
      </c>
      <c r="J113" t="s">
        <v>148</v>
      </c>
    </row>
    <row r="114" spans="1:10" x14ac:dyDescent="0.2">
      <c r="A114" t="s">
        <v>554</v>
      </c>
      <c r="B114" t="s">
        <v>555</v>
      </c>
      <c r="C114" t="s">
        <v>19</v>
      </c>
      <c r="D114" t="s">
        <v>557</v>
      </c>
      <c r="E114" t="str">
        <f>HYPERLINK("/pdf/2025_10_36128_priw_vi54_1201_artificial_intelligence_in_e_administration.pdf","open")</f>
        <v>open</v>
      </c>
      <c r="F114" t="s">
        <v>4515</v>
      </c>
      <c r="G114" t="s">
        <v>4516</v>
      </c>
      <c r="H114" t="s">
        <v>4517</v>
      </c>
      <c r="I114" t="s">
        <v>4518</v>
      </c>
      <c r="J114" t="s">
        <v>4519</v>
      </c>
    </row>
    <row r="115" spans="1:10" x14ac:dyDescent="0.2">
      <c r="A115" t="s">
        <v>559</v>
      </c>
      <c r="B115" t="s">
        <v>560</v>
      </c>
      <c r="C115" t="s">
        <v>19</v>
      </c>
      <c r="D115" t="s">
        <v>562</v>
      </c>
      <c r="E115" t="str">
        <f>HYPERLINK("/pdf/2025_10.1109_eurospw67616.2025.00026_PPT-GNN__A_Practical_Pretrained_Spatio-Temporal_Graph_Neural_Network_for_Network_Security.pdf","open")</f>
        <v>open</v>
      </c>
      <c r="F115" t="s">
        <v>4520</v>
      </c>
      <c r="G115" t="s">
        <v>4521</v>
      </c>
      <c r="H115" t="s">
        <v>4522</v>
      </c>
      <c r="I115" t="s">
        <v>4523</v>
      </c>
      <c r="J115" t="s">
        <v>4524</v>
      </c>
    </row>
    <row r="116" spans="1:10" x14ac:dyDescent="0.2">
      <c r="A116" t="s">
        <v>564</v>
      </c>
      <c r="B116" t="s">
        <v>565</v>
      </c>
      <c r="C116" t="s">
        <v>19</v>
      </c>
      <c r="D116" t="s">
        <v>567</v>
      </c>
      <c r="E116" t="str">
        <f>HYPERLINK("/pdf/2025_10.1109_discover66922.2025.11259004_Adaptive_Graph_Attention_Network-Approach_for_Detecting_Hardware_Trojans.pdf","open")</f>
        <v>open</v>
      </c>
      <c r="F116" t="s">
        <v>4525</v>
      </c>
      <c r="G116" t="s">
        <v>4526</v>
      </c>
      <c r="H116" t="s">
        <v>4527</v>
      </c>
      <c r="I116" t="s">
        <v>4528</v>
      </c>
      <c r="J116" t="s">
        <v>4529</v>
      </c>
    </row>
    <row r="117" spans="1:10" x14ac:dyDescent="0.2">
      <c r="A117" t="s">
        <v>569</v>
      </c>
      <c r="B117" t="s">
        <v>570</v>
      </c>
      <c r="C117" t="s">
        <v>60</v>
      </c>
      <c r="D117" t="s">
        <v>572</v>
      </c>
      <c r="E117" t="str">
        <f>HYPERLINK("/pdf/2024_10.1109_sces61914.2024.10652305_IoT_Network_Anomaly_Detection_Using_Machine_Learning_and_Deep_Learning_Techniques_-_Research_Study.pdf","open")</f>
        <v>open</v>
      </c>
      <c r="F117" t="s">
        <v>4530</v>
      </c>
      <c r="G117" t="s">
        <v>4531</v>
      </c>
      <c r="H117" t="s">
        <v>4532</v>
      </c>
      <c r="I117" t="s">
        <v>4533</v>
      </c>
      <c r="J117" t="s">
        <v>4534</v>
      </c>
    </row>
    <row r="118" spans="1:10" x14ac:dyDescent="0.2">
      <c r="A118" t="s">
        <v>574</v>
      </c>
      <c r="B118" t="s">
        <v>575</v>
      </c>
      <c r="C118" t="s">
        <v>60</v>
      </c>
      <c r="D118" t="s">
        <v>577</v>
      </c>
      <c r="E118" t="str">
        <f>HYPERLINK("/pdf/2024_10.12263_dzxb.20220611_A_Whitelist_Network_Control_Based_on_Android_Kernel_Driver;_基于_Android_内核驱动的白名单网络控制.pdf","open")</f>
        <v>open</v>
      </c>
      <c r="F118" t="s">
        <v>4535</v>
      </c>
      <c r="G118" t="s">
        <v>4536</v>
      </c>
      <c r="H118" t="s">
        <v>4537</v>
      </c>
      <c r="I118" t="s">
        <v>4538</v>
      </c>
      <c r="J118" t="s">
        <v>4539</v>
      </c>
    </row>
    <row r="119" spans="1:10" x14ac:dyDescent="0.2">
      <c r="A119" t="s">
        <v>579</v>
      </c>
      <c r="B119" t="s">
        <v>580</v>
      </c>
      <c r="C119" t="s">
        <v>100</v>
      </c>
      <c r="D119" t="s">
        <v>582</v>
      </c>
      <c r="E119" t="str">
        <f>HYPERLINK("/pdf/2022_10.1109_icc45855.2022.9839001_Intelligent_Fingerprinting_to_Detect_Data_Leakage_Attacks_on_Spectrum_Sensors.pdf","open")</f>
        <v>open</v>
      </c>
      <c r="F119" t="s">
        <v>4540</v>
      </c>
      <c r="G119" t="s">
        <v>4541</v>
      </c>
      <c r="H119" t="s">
        <v>4542</v>
      </c>
      <c r="I119" t="s">
        <v>4543</v>
      </c>
      <c r="J119" t="s">
        <v>4544</v>
      </c>
    </row>
    <row r="120" spans="1:10" x14ac:dyDescent="0.2">
      <c r="A120" t="s">
        <v>584</v>
      </c>
      <c r="B120" t="s">
        <v>585</v>
      </c>
      <c r="C120" t="s">
        <v>60</v>
      </c>
      <c r="D120" t="s">
        <v>587</v>
      </c>
      <c r="E120" t="str">
        <f>HYPERLINK("/pdf/2024_10.1145_3689236.3689867_Intelligent_Talent_Information_System_Guarantee_Based_on_Cyberspace_Security_Technology.pdf","open")</f>
        <v>open</v>
      </c>
      <c r="F120" t="s">
        <v>4545</v>
      </c>
      <c r="G120" t="s">
        <v>4546</v>
      </c>
      <c r="H120" t="s">
        <v>4547</v>
      </c>
      <c r="I120" t="s">
        <v>4548</v>
      </c>
      <c r="J120" t="s">
        <v>4549</v>
      </c>
    </row>
    <row r="121" spans="1:10" x14ac:dyDescent="0.2">
      <c r="A121" t="s">
        <v>589</v>
      </c>
      <c r="B121" t="s">
        <v>110</v>
      </c>
      <c r="C121" t="s">
        <v>36</v>
      </c>
      <c r="D121" t="s">
        <v>112</v>
      </c>
      <c r="E121" t="str">
        <f>HYPERLINK("/pdf/2021_10_1109_iccd53106_2021_00097_qflow_quantitative_information_flow_for_security_aware_hardware_design_in_veril.pdf","open")</f>
        <v>open</v>
      </c>
      <c r="F121" t="s">
        <v>4550</v>
      </c>
      <c r="G121" t="s">
        <v>4551</v>
      </c>
      <c r="H121" t="s">
        <v>4552</v>
      </c>
      <c r="I121" t="s">
        <v>4553</v>
      </c>
      <c r="J121" t="s">
        <v>4554</v>
      </c>
    </row>
    <row r="122" spans="1:10" x14ac:dyDescent="0.2">
      <c r="A122" t="s">
        <v>592</v>
      </c>
      <c r="B122" t="s">
        <v>593</v>
      </c>
      <c r="C122" t="s">
        <v>136</v>
      </c>
      <c r="D122" t="s">
        <v>594</v>
      </c>
      <c r="E122" t="str">
        <f>HYPERLINK("/pdf/2019_10.1109_jiot.2018.2871719_An_ensemble_intrusion_detection_technique_based_on_proposed_statistical_flow_features_for_protecting_network_t.pdf","open")</f>
        <v>open</v>
      </c>
      <c r="F122" t="s">
        <v>4555</v>
      </c>
      <c r="G122" t="s">
        <v>4556</v>
      </c>
      <c r="H122" t="s">
        <v>4557</v>
      </c>
      <c r="I122" t="s">
        <v>4558</v>
      </c>
      <c r="J122" t="s">
        <v>4559</v>
      </c>
    </row>
    <row r="123" spans="1:10" x14ac:dyDescent="0.2">
      <c r="A123" t="s">
        <v>596</v>
      </c>
      <c r="B123" t="s">
        <v>597</v>
      </c>
      <c r="C123" t="s">
        <v>598</v>
      </c>
      <c r="D123" t="s">
        <v>600</v>
      </c>
      <c r="E123" t="str">
        <f>HYPERLINK("/pdf/2012_10.1109_hicss.2012.491_Pseudonymization_with_metadata_encryption_for_privacy-preserving_searchable_documents.pdf","open")</f>
        <v>open</v>
      </c>
      <c r="F123" t="s">
        <v>4560</v>
      </c>
      <c r="G123" t="s">
        <v>4561</v>
      </c>
      <c r="H123" t="s">
        <v>4562</v>
      </c>
      <c r="I123" t="s">
        <v>4563</v>
      </c>
      <c r="J123" t="s">
        <v>4564</v>
      </c>
    </row>
    <row r="124" spans="1:10" x14ac:dyDescent="0.2">
      <c r="A124" t="s">
        <v>602</v>
      </c>
      <c r="B124" t="s">
        <v>603</v>
      </c>
      <c r="C124" t="s">
        <v>19</v>
      </c>
      <c r="D124" t="s">
        <v>605</v>
      </c>
      <c r="E124" t="str">
        <f>HYPERLINK("/pdf/2025_10_1007_s43926_025_00185_7_a_feature_level_ensemble_machine_learning_approach_for_attack_detection_in_iot_networks.pdf","open")</f>
        <v>open</v>
      </c>
      <c r="F124" t="s">
        <v>4565</v>
      </c>
      <c r="G124" t="s">
        <v>4566</v>
      </c>
      <c r="H124" t="s">
        <v>4567</v>
      </c>
      <c r="I124" t="s">
        <v>4568</v>
      </c>
      <c r="J124" t="s">
        <v>4569</v>
      </c>
    </row>
    <row r="125" spans="1:10" x14ac:dyDescent="0.2">
      <c r="A125" t="s">
        <v>607</v>
      </c>
      <c r="B125" t="s">
        <v>608</v>
      </c>
      <c r="C125" t="s">
        <v>60</v>
      </c>
      <c r="D125" t="s">
        <v>610</v>
      </c>
      <c r="E125" t="str">
        <f>HYPERLINK("/pdf/2024_10.1007_s42979-024-03152-1_P3IDF-EC__PCA-Based_Privacy-Preserving_Intrusion_Detection_Framework_for_Edge_Computing.pdf","open")</f>
        <v>open</v>
      </c>
      <c r="F125" t="s">
        <v>4570</v>
      </c>
      <c r="G125" t="s">
        <v>4571</v>
      </c>
      <c r="H125" t="s">
        <v>4572</v>
      </c>
      <c r="I125" t="s">
        <v>4573</v>
      </c>
      <c r="J125" t="s">
        <v>4574</v>
      </c>
    </row>
    <row r="126" spans="1:10" x14ac:dyDescent="0.2">
      <c r="A126" t="s">
        <v>612</v>
      </c>
      <c r="B126" t="s">
        <v>613</v>
      </c>
      <c r="C126" t="s">
        <v>19</v>
      </c>
      <c r="D126" t="s">
        <v>615</v>
      </c>
      <c r="E126" t="str">
        <f>HYPERLINK("/pdf/2025_10.1109_isdfs65363.2025.11012123_Insider_Threat_Pattern_Detection_Using_Deep_Learning_to_Evaluate_Cyber_Value_at_Risk_(CVaR).pdf","open")</f>
        <v>open</v>
      </c>
      <c r="F126" t="s">
        <v>4575</v>
      </c>
      <c r="G126" t="s">
        <v>4576</v>
      </c>
      <c r="H126" t="s">
        <v>4577</v>
      </c>
      <c r="I126" t="s">
        <v>4578</v>
      </c>
      <c r="J126" t="s">
        <v>4579</v>
      </c>
    </row>
    <row r="127" spans="1:10" x14ac:dyDescent="0.2">
      <c r="A127" t="s">
        <v>617</v>
      </c>
      <c r="B127" t="s">
        <v>618</v>
      </c>
      <c r="C127" t="s">
        <v>25</v>
      </c>
      <c r="D127" t="s">
        <v>619</v>
      </c>
      <c r="E127" t="str">
        <f>HYPERLINK("/pdf/2023_10_3390_app13095568_security_ontology_ontosecrpa_for_robotic_process_automation_domain.pdf","open")</f>
        <v>open</v>
      </c>
      <c r="F127" t="s">
        <v>4580</v>
      </c>
      <c r="G127" t="s">
        <v>4581</v>
      </c>
      <c r="H127" t="s">
        <v>4582</v>
      </c>
      <c r="I127" t="s">
        <v>4583</v>
      </c>
      <c r="J127" t="s">
        <v>4584</v>
      </c>
    </row>
    <row r="128" spans="1:10" x14ac:dyDescent="0.2">
      <c r="A128" t="s">
        <v>621</v>
      </c>
      <c r="B128" t="s">
        <v>622</v>
      </c>
      <c r="C128" t="s">
        <v>60</v>
      </c>
      <c r="D128" t="s">
        <v>624</v>
      </c>
      <c r="E128" t="str">
        <f>HYPERLINK("/pdf/2024_10.1109_icces63552.2024.10860119_Secure_Cloud-WSNs_with_Advanced_Intrusion_Detection_System_using_Kepler_Optimization_and_Bi-ConGRU_Network_App.pdf","open")</f>
        <v>open</v>
      </c>
      <c r="F128" t="s">
        <v>4585</v>
      </c>
      <c r="G128" t="s">
        <v>4586</v>
      </c>
      <c r="H128" t="s">
        <v>4587</v>
      </c>
      <c r="I128" t="s">
        <v>4588</v>
      </c>
      <c r="J128" t="s">
        <v>4589</v>
      </c>
    </row>
    <row r="129" spans="1:10" x14ac:dyDescent="0.2">
      <c r="A129" t="s">
        <v>626</v>
      </c>
      <c r="B129" t="s">
        <v>627</v>
      </c>
      <c r="C129" t="s">
        <v>19</v>
      </c>
      <c r="D129" t="s">
        <v>628</v>
      </c>
      <c r="E129" t="str">
        <f>HYPERLINK("/pdf/2025_10_3390_app15116258_anomaly_detection_in_network_traffic_via_cross_domain_federated_graph_representation_learn.pdf","open")</f>
        <v>open</v>
      </c>
      <c r="F129" t="s">
        <v>4590</v>
      </c>
      <c r="G129" t="s">
        <v>4591</v>
      </c>
      <c r="H129" t="s">
        <v>4592</v>
      </c>
      <c r="I129" t="s">
        <v>4593</v>
      </c>
      <c r="J129" t="s">
        <v>4594</v>
      </c>
    </row>
    <row r="130" spans="1:10" x14ac:dyDescent="0.2">
      <c r="A130" t="s">
        <v>630</v>
      </c>
      <c r="B130" t="s">
        <v>631</v>
      </c>
      <c r="C130" t="s">
        <v>19</v>
      </c>
      <c r="D130" t="s">
        <v>633</v>
      </c>
      <c r="E130" t="str">
        <f>HYPERLINK("/pdf/2025_10_58346_jisis_2025_i3_021_secure_wireless_connectivity_frameworks_for_financial_internet_services.pdf","open")</f>
        <v>open</v>
      </c>
      <c r="F130" t="s">
        <v>4595</v>
      </c>
      <c r="G130" t="s">
        <v>4596</v>
      </c>
      <c r="H130" t="s">
        <v>4597</v>
      </c>
      <c r="I130" t="s">
        <v>4598</v>
      </c>
      <c r="J130" t="s">
        <v>4599</v>
      </c>
    </row>
    <row r="131" spans="1:10" x14ac:dyDescent="0.2">
      <c r="A131" t="s">
        <v>635</v>
      </c>
      <c r="B131" t="s">
        <v>636</v>
      </c>
      <c r="C131" t="s">
        <v>36</v>
      </c>
      <c r="D131" t="s">
        <v>638</v>
      </c>
      <c r="E131" t="str">
        <f>HYPERLINK("/pdf/2021_10.1145_3474124.3474195_Examining_security_for_different_data_models.pdf","open")</f>
        <v>open</v>
      </c>
      <c r="F131" t="s">
        <v>4600</v>
      </c>
      <c r="G131" t="s">
        <v>4601</v>
      </c>
      <c r="H131" t="s">
        <v>4602</v>
      </c>
      <c r="I131" t="s">
        <v>4603</v>
      </c>
      <c r="J131" t="s">
        <v>4604</v>
      </c>
    </row>
    <row r="132" spans="1:10" x14ac:dyDescent="0.2">
      <c r="A132" t="s">
        <v>640</v>
      </c>
      <c r="B132" t="s">
        <v>641</v>
      </c>
      <c r="C132" t="s">
        <v>598</v>
      </c>
      <c r="D132" t="s">
        <v>643</v>
      </c>
      <c r="E132" t="str">
        <f>HYPERLINK("/pdf/2012_10.1109_cybersec.2012.6246117_Hierarchical_secure_virtualization_model_for_cloud.pdf","open")</f>
        <v>open</v>
      </c>
      <c r="F132" t="s">
        <v>4605</v>
      </c>
      <c r="G132" t="s">
        <v>4606</v>
      </c>
      <c r="H132" t="s">
        <v>4607</v>
      </c>
      <c r="I132" t="s">
        <v>4608</v>
      </c>
      <c r="J132" t="s">
        <v>4609</v>
      </c>
    </row>
    <row r="133" spans="1:10" x14ac:dyDescent="0.2">
      <c r="A133" t="s">
        <v>645</v>
      </c>
      <c r="B133" t="s">
        <v>646</v>
      </c>
      <c r="C133" t="s">
        <v>19</v>
      </c>
      <c r="D133" t="s">
        <v>648</v>
      </c>
      <c r="E133" t="str">
        <f>HYPERLINK("/pdf/2025_10.1007_s11042-023-16777-w_Blockchain-based_color_medical_image_cryptosystem_for_industrial_Internet_of_Healthcare_Things_(IoHT).pdf","open")</f>
        <v>open</v>
      </c>
      <c r="F133" t="s">
        <v>4610</v>
      </c>
      <c r="G133" t="s">
        <v>4611</v>
      </c>
      <c r="H133" t="s">
        <v>4612</v>
      </c>
      <c r="I133" t="s">
        <v>4613</v>
      </c>
      <c r="J133" t="s">
        <v>4614</v>
      </c>
    </row>
    <row r="134" spans="1:10" x14ac:dyDescent="0.2">
      <c r="A134" t="s">
        <v>650</v>
      </c>
      <c r="B134" t="s">
        <v>651</v>
      </c>
      <c r="C134" t="s">
        <v>156</v>
      </c>
      <c r="D134" t="s">
        <v>652</v>
      </c>
      <c r="E134" t="str">
        <f>HYPERLINK("/pdf/2013_10.1007_s10796-010-9266-9_Application_of_density-based_outlier_detection_to_database_activity_monitoring.pdf","open")</f>
        <v>open</v>
      </c>
      <c r="F134" t="s">
        <v>4615</v>
      </c>
      <c r="G134" t="s">
        <v>4616</v>
      </c>
      <c r="H134" t="s">
        <v>4617</v>
      </c>
      <c r="I134" t="s">
        <v>4618</v>
      </c>
      <c r="J134" t="s">
        <v>4619</v>
      </c>
    </row>
    <row r="135" spans="1:10" x14ac:dyDescent="0.2">
      <c r="A135" t="s">
        <v>654</v>
      </c>
      <c r="B135" t="s">
        <v>655</v>
      </c>
      <c r="C135" t="s">
        <v>363</v>
      </c>
      <c r="D135" t="s">
        <v>148</v>
      </c>
      <c r="E135" t="str">
        <f>HYPERLINK("/pdf/2016_Dynamic_intrusion_detection_in_database_systems__A_machine-learning_approach.pdf","open")</f>
        <v>open</v>
      </c>
      <c r="F135" t="s">
        <v>4620</v>
      </c>
      <c r="G135" t="s">
        <v>4621</v>
      </c>
      <c r="H135" t="s">
        <v>4622</v>
      </c>
      <c r="I135" t="s">
        <v>4623</v>
      </c>
      <c r="J135" t="s">
        <v>4624</v>
      </c>
    </row>
    <row r="136" spans="1:10" x14ac:dyDescent="0.2">
      <c r="A136" t="s">
        <v>658</v>
      </c>
      <c r="B136" t="s">
        <v>659</v>
      </c>
      <c r="C136" t="s">
        <v>19</v>
      </c>
      <c r="D136" t="s">
        <v>661</v>
      </c>
      <c r="E136" t="str">
        <f>HYPERLINK("/pdf/2025_10_3390_electronics14234590_prifed_ids_a_privacy_preserving_federated_reinforcement_learning_framework_for_secure_and.pdf","open")</f>
        <v>open</v>
      </c>
      <c r="F136" t="s">
        <v>4625</v>
      </c>
      <c r="G136" t="s">
        <v>4626</v>
      </c>
      <c r="H136" t="s">
        <v>4627</v>
      </c>
      <c r="I136" t="s">
        <v>4628</v>
      </c>
      <c r="J136" t="s">
        <v>4629</v>
      </c>
    </row>
    <row r="137" spans="1:10" x14ac:dyDescent="0.2">
      <c r="A137" t="s">
        <v>663</v>
      </c>
      <c r="B137" t="s">
        <v>664</v>
      </c>
      <c r="C137" t="s">
        <v>54</v>
      </c>
      <c r="D137" t="s">
        <v>666</v>
      </c>
      <c r="E137" t="str">
        <f>HYPERLINK("/pdf/2020_10_3390_electronics9111937_fast_packet_inspection_for_end_to_end_encryption.pdf","open")</f>
        <v>open</v>
      </c>
      <c r="F137" t="s">
        <v>4630</v>
      </c>
      <c r="G137" t="s">
        <v>4631</v>
      </c>
      <c r="H137" t="s">
        <v>4632</v>
      </c>
      <c r="I137" t="s">
        <v>4633</v>
      </c>
      <c r="J137" t="s">
        <v>4634</v>
      </c>
    </row>
    <row r="138" spans="1:10" x14ac:dyDescent="0.2">
      <c r="A138" t="s">
        <v>668</v>
      </c>
      <c r="B138" t="s">
        <v>669</v>
      </c>
      <c r="C138" t="s">
        <v>25</v>
      </c>
      <c r="D138" t="s">
        <v>670</v>
      </c>
      <c r="E138" t="str">
        <f>HYPERLINK("/pdf/2023_10.1007_s10207-023-00727-6_Federated_learning-based_intrusion_detection_system_for_Internet_of_Things.pdf","open")</f>
        <v>open</v>
      </c>
      <c r="F138" t="s">
        <v>4635</v>
      </c>
      <c r="G138" t="s">
        <v>4636</v>
      </c>
      <c r="H138" t="s">
        <v>4637</v>
      </c>
      <c r="I138" t="s">
        <v>4638</v>
      </c>
      <c r="J138" t="s">
        <v>4639</v>
      </c>
    </row>
    <row r="139" spans="1:10" x14ac:dyDescent="0.2">
      <c r="A139" t="s">
        <v>672</v>
      </c>
      <c r="B139" t="s">
        <v>673</v>
      </c>
      <c r="C139" t="s">
        <v>210</v>
      </c>
      <c r="D139" t="s">
        <v>148</v>
      </c>
      <c r="E139" t="str">
        <f>HYPERLINK("/pdf/2015_Fujitsu's_security_technology_based_on_practical_knowledge.pdf","open")</f>
        <v>open</v>
      </c>
      <c r="F139" t="s">
        <v>4640</v>
      </c>
      <c r="G139" t="s">
        <v>4641</v>
      </c>
      <c r="H139" t="s">
        <v>4642</v>
      </c>
      <c r="I139" t="s">
        <v>4643</v>
      </c>
      <c r="J139" t="s">
        <v>4644</v>
      </c>
    </row>
    <row r="140" spans="1:10" x14ac:dyDescent="0.2">
      <c r="A140" t="s">
        <v>675</v>
      </c>
      <c r="B140" t="s">
        <v>676</v>
      </c>
      <c r="C140" t="s">
        <v>60</v>
      </c>
      <c r="D140" t="s">
        <v>677</v>
      </c>
      <c r="E140" t="str">
        <f>HYPERLINK("/pdf/2024_10.1007_s10207-023-00805-9_Federated_transfer_learning_for_attack_detection_for_Internet_of_Medical_Things.pdf","open")</f>
        <v>open</v>
      </c>
      <c r="F140" t="s">
        <v>4645</v>
      </c>
      <c r="G140" t="s">
        <v>4646</v>
      </c>
      <c r="H140" t="s">
        <v>4647</v>
      </c>
      <c r="I140" t="s">
        <v>4648</v>
      </c>
      <c r="J140" t="s">
        <v>4649</v>
      </c>
    </row>
    <row r="141" spans="1:10" x14ac:dyDescent="0.2">
      <c r="A141" t="s">
        <v>679</v>
      </c>
      <c r="B141" t="s">
        <v>680</v>
      </c>
      <c r="C141" t="s">
        <v>19</v>
      </c>
      <c r="D141" t="s">
        <v>682</v>
      </c>
      <c r="E141" t="str">
        <f>HYPERLINK("/pdf/2025_10_37934_araset_51_2_153176_detecting_wormhole_attack_in_environmental_monitoring_system_for_agriculture_usi.pdf","open")</f>
        <v>open</v>
      </c>
      <c r="F141" t="s">
        <v>4650</v>
      </c>
      <c r="G141" t="s">
        <v>4651</v>
      </c>
      <c r="H141" t="s">
        <v>4652</v>
      </c>
      <c r="I141" t="s">
        <v>4653</v>
      </c>
      <c r="J141" t="s">
        <v>4654</v>
      </c>
    </row>
    <row r="142" spans="1:10" x14ac:dyDescent="0.2">
      <c r="A142" t="s">
        <v>684</v>
      </c>
      <c r="B142" t="s">
        <v>685</v>
      </c>
      <c r="C142" t="s">
        <v>136</v>
      </c>
      <c r="D142" t="s">
        <v>687</v>
      </c>
      <c r="E142" t="str">
        <f>HYPERLINK("/pdf/2019_10.1109_icac49085.2019.9103339_Enhanced_Secure_Solution_for_PoS_Architecture.pdf","open")</f>
        <v>open</v>
      </c>
      <c r="F142" t="s">
        <v>4655</v>
      </c>
      <c r="G142" t="s">
        <v>4656</v>
      </c>
      <c r="H142" t="s">
        <v>4657</v>
      </c>
      <c r="I142" t="s">
        <v>4658</v>
      </c>
      <c r="J142" t="s">
        <v>4659</v>
      </c>
    </row>
    <row r="143" spans="1:10" x14ac:dyDescent="0.2">
      <c r="A143" t="s">
        <v>689</v>
      </c>
      <c r="B143" t="s">
        <v>690</v>
      </c>
      <c r="C143" t="s">
        <v>36</v>
      </c>
      <c r="D143" t="s">
        <v>692</v>
      </c>
      <c r="E143" t="str">
        <f>HYPERLINK("/pdf/2021_10_3390_e23101258_an_insider_data_leakage_detection_using_one_hot_encoding_synthetic_minority_oversampling.pdf","open")</f>
        <v>open</v>
      </c>
      <c r="F143" t="s">
        <v>4660</v>
      </c>
      <c r="G143" t="s">
        <v>4661</v>
      </c>
      <c r="H143" t="s">
        <v>4662</v>
      </c>
      <c r="I143" t="s">
        <v>4663</v>
      </c>
      <c r="J143" t="s">
        <v>4664</v>
      </c>
    </row>
    <row r="144" spans="1:10" x14ac:dyDescent="0.2">
      <c r="A144" t="s">
        <v>694</v>
      </c>
      <c r="B144" t="s">
        <v>695</v>
      </c>
      <c r="C144" t="s">
        <v>363</v>
      </c>
      <c r="D144" t="s">
        <v>697</v>
      </c>
      <c r="E144" t="str">
        <f>HYPERLINK("/pdf/2016_10.1145_2976749.2978343_TaintART__A_practical_multi-level_information-flow_tracking_system_for_Android_RunTime.pdf","open")</f>
        <v>open</v>
      </c>
      <c r="F144" t="s">
        <v>4665</v>
      </c>
      <c r="G144" t="s">
        <v>4666</v>
      </c>
      <c r="H144" t="s">
        <v>4667</v>
      </c>
      <c r="I144" t="s">
        <v>148</v>
      </c>
      <c r="J144" t="s">
        <v>4668</v>
      </c>
    </row>
    <row r="145" spans="1:10" x14ac:dyDescent="0.2">
      <c r="A145" t="s">
        <v>699</v>
      </c>
      <c r="B145" t="s">
        <v>700</v>
      </c>
      <c r="C145" t="s">
        <v>100</v>
      </c>
      <c r="D145" t="s">
        <v>702</v>
      </c>
      <c r="E145" t="str">
        <f>HYPERLINK("/pdf/2022_10.1109_icssa54161.2022.9870973_Machine_Learning_Techniques_for_Intrusion_Detection_in_Smart_Healthcare_Systems__A_Comparative_Analysis.pdf","open")</f>
        <v>open</v>
      </c>
      <c r="F145" t="s">
        <v>4669</v>
      </c>
      <c r="G145" t="s">
        <v>4670</v>
      </c>
      <c r="H145" t="s">
        <v>4671</v>
      </c>
      <c r="I145" t="s">
        <v>4672</v>
      </c>
      <c r="J145" t="s">
        <v>4673</v>
      </c>
    </row>
    <row r="146" spans="1:10" x14ac:dyDescent="0.2">
      <c r="A146" t="s">
        <v>704</v>
      </c>
      <c r="B146" t="s">
        <v>705</v>
      </c>
      <c r="C146" t="s">
        <v>60</v>
      </c>
      <c r="D146" t="s">
        <v>707</v>
      </c>
      <c r="E146" t="str">
        <f>HYPERLINK("/pdf/2024_10.48084_etasr.7467_An_Enhanced_Framework_to_Mitigate_Post-Installation_Cyber_Attacks_on_Android_Apps.pdf","open")</f>
        <v>open</v>
      </c>
      <c r="F146" t="s">
        <v>4674</v>
      </c>
      <c r="G146" t="s">
        <v>4675</v>
      </c>
      <c r="H146" t="s">
        <v>4676</v>
      </c>
      <c r="I146" t="s">
        <v>4677</v>
      </c>
      <c r="J146" t="s">
        <v>4678</v>
      </c>
    </row>
    <row r="147" spans="1:10" x14ac:dyDescent="0.2">
      <c r="A147" t="s">
        <v>709</v>
      </c>
      <c r="B147" t="s">
        <v>710</v>
      </c>
      <c r="C147" t="s">
        <v>19</v>
      </c>
      <c r="D147" t="s">
        <v>711</v>
      </c>
      <c r="E147" t="str">
        <f>HYPERLINK("/pdf/2025_10_1038_s41598_025_17799_0_multi_resolution_transfer_learning_for_tampered_image_classification_using_se_en.pdf","open")</f>
        <v>open</v>
      </c>
      <c r="F147" t="s">
        <v>4679</v>
      </c>
      <c r="G147" t="s">
        <v>4680</v>
      </c>
      <c r="H147" t="s">
        <v>4681</v>
      </c>
      <c r="I147" t="s">
        <v>4682</v>
      </c>
      <c r="J147" t="s">
        <v>4683</v>
      </c>
    </row>
    <row r="148" spans="1:10" x14ac:dyDescent="0.2">
      <c r="A148" t="s">
        <v>713</v>
      </c>
      <c r="B148" t="s">
        <v>714</v>
      </c>
      <c r="C148" t="s">
        <v>215</v>
      </c>
      <c r="D148" t="s">
        <v>716</v>
      </c>
      <c r="E148" t="str">
        <f>HYPERLINK("/pdf/2015_10.1109_cis.2014.133_Application_research_on_retrospective_analysis_system_in_network_intrusion_detection.pdf","open")</f>
        <v>open</v>
      </c>
      <c r="F148" t="s">
        <v>4684</v>
      </c>
      <c r="G148" t="s">
        <v>4685</v>
      </c>
      <c r="H148" t="s">
        <v>4686</v>
      </c>
      <c r="I148" t="s">
        <v>4687</v>
      </c>
      <c r="J148" t="s">
        <v>4688</v>
      </c>
    </row>
    <row r="149" spans="1:10" x14ac:dyDescent="0.2">
      <c r="A149" t="s">
        <v>718</v>
      </c>
      <c r="B149" t="s">
        <v>719</v>
      </c>
      <c r="C149" t="s">
        <v>25</v>
      </c>
      <c r="D149" t="s">
        <v>721</v>
      </c>
      <c r="E149" t="str">
        <f>HYPERLINK("/pdf/2023_10.1109_airosip58759.2023.10873912_Smart_Closed-Loop_Jamming_System.pdf","open")</f>
        <v>open</v>
      </c>
      <c r="F149" t="s">
        <v>4689</v>
      </c>
      <c r="G149" t="s">
        <v>4690</v>
      </c>
      <c r="H149" t="s">
        <v>4691</v>
      </c>
      <c r="I149" t="s">
        <v>4692</v>
      </c>
      <c r="J149" t="s">
        <v>4693</v>
      </c>
    </row>
    <row r="150" spans="1:10" x14ac:dyDescent="0.2">
      <c r="A150" t="s">
        <v>723</v>
      </c>
      <c r="B150" t="s">
        <v>724</v>
      </c>
      <c r="C150" t="s">
        <v>60</v>
      </c>
      <c r="D150" t="s">
        <v>725</v>
      </c>
      <c r="E150" t="str">
        <f>HYPERLINK("/pdf/2024_10.1109_jiot.2024.3385989_An_Authentication_Mechanism_Based_on_Zero_Trust_With_Radio_Frequency_Fingerprint_for_Internet_of_Things_Networ.pdf","open")</f>
        <v>open</v>
      </c>
      <c r="F150" t="s">
        <v>4694</v>
      </c>
      <c r="G150" t="s">
        <v>4695</v>
      </c>
      <c r="H150" t="s">
        <v>4696</v>
      </c>
      <c r="I150" t="s">
        <v>4697</v>
      </c>
      <c r="J150" t="s">
        <v>4698</v>
      </c>
    </row>
    <row r="151" spans="1:10" x14ac:dyDescent="0.2">
      <c r="A151" t="s">
        <v>727</v>
      </c>
      <c r="B151" t="s">
        <v>728</v>
      </c>
      <c r="C151" t="s">
        <v>190</v>
      </c>
      <c r="D151" t="s">
        <v>730</v>
      </c>
      <c r="E151" t="str">
        <f>HYPERLINK("/pdf/2017_10.1109_wcsp.2017.8170908_Data_leakage_between_C_S_communication__A_case_study_on_Android_music_app.pdf","open")</f>
        <v>open</v>
      </c>
      <c r="F151" t="s">
        <v>4699</v>
      </c>
      <c r="G151" t="s">
        <v>4700</v>
      </c>
      <c r="H151" t="s">
        <v>4701</v>
      </c>
      <c r="I151" t="s">
        <v>4702</v>
      </c>
      <c r="J151" t="s">
        <v>4703</v>
      </c>
    </row>
    <row r="152" spans="1:10" x14ac:dyDescent="0.2">
      <c r="A152" t="s">
        <v>732</v>
      </c>
      <c r="B152" t="s">
        <v>733</v>
      </c>
      <c r="C152" t="s">
        <v>19</v>
      </c>
      <c r="D152" t="s">
        <v>735</v>
      </c>
      <c r="E152" t="str">
        <f>HYPERLINK("/pdf/2025_10.1109_icoict66265.2025.11192987_Federated_Learning_Approaches_for_IoT_Intrusion_Detection_Based_on_FedAvg_and_FedProx_on_IID_and_Non-IID_Data.pdf","open")</f>
        <v>open</v>
      </c>
      <c r="F152" t="s">
        <v>4704</v>
      </c>
      <c r="G152" t="s">
        <v>4705</v>
      </c>
      <c r="H152" t="s">
        <v>4706</v>
      </c>
      <c r="I152" t="s">
        <v>4707</v>
      </c>
      <c r="J152" t="s">
        <v>4708</v>
      </c>
    </row>
    <row r="153" spans="1:10" x14ac:dyDescent="0.2">
      <c r="A153" t="s">
        <v>737</v>
      </c>
      <c r="B153" t="s">
        <v>738</v>
      </c>
      <c r="C153" t="s">
        <v>156</v>
      </c>
      <c r="D153" t="s">
        <v>740</v>
      </c>
      <c r="E153" t="str">
        <f>HYPERLINK("/pdf/2013_10.1109_icon.2013.6781950_Security_testing_in_Android_networks_-_A_practical_case_study.pdf","open")</f>
        <v>open</v>
      </c>
      <c r="F153" t="s">
        <v>4709</v>
      </c>
      <c r="G153" t="s">
        <v>4710</v>
      </c>
      <c r="H153" t="s">
        <v>4711</v>
      </c>
      <c r="I153" t="s">
        <v>4712</v>
      </c>
      <c r="J153" t="s">
        <v>4713</v>
      </c>
    </row>
    <row r="154" spans="1:10" x14ac:dyDescent="0.2">
      <c r="A154" t="s">
        <v>742</v>
      </c>
      <c r="B154" t="s">
        <v>743</v>
      </c>
      <c r="C154" t="s">
        <v>60</v>
      </c>
      <c r="D154" t="s">
        <v>148</v>
      </c>
      <c r="E154" t="str">
        <f>HYPERLINK("/pdf/2024_10.23919_indiacom61295.2024.10499164_A_DNA-based_Authentication_System_for_Securing_Cloud_Data_Storage_and_Transactions.pdf","open")</f>
        <v>open</v>
      </c>
      <c r="F154" t="s">
        <v>4714</v>
      </c>
      <c r="G154" t="s">
        <v>4715</v>
      </c>
      <c r="H154" t="s">
        <v>4716</v>
      </c>
      <c r="I154" t="s">
        <v>4717</v>
      </c>
      <c r="J154" t="s">
        <v>4718</v>
      </c>
    </row>
    <row r="155" spans="1:10" x14ac:dyDescent="0.2">
      <c r="A155" t="s">
        <v>746</v>
      </c>
      <c r="B155" t="s">
        <v>747</v>
      </c>
      <c r="C155" t="s">
        <v>136</v>
      </c>
      <c r="D155" t="s">
        <v>148</v>
      </c>
      <c r="E155" t="str">
        <f>HYPERLINK("/pdf/2019_10.1109_iceei47359.2019.8988832_OTPAF__A_Security_Requirement_Conceptual_Model_of_SaaS_for_Malaysian_Government_based_on_Common_Criteria.pdf","open")</f>
        <v>open</v>
      </c>
      <c r="F155" t="s">
        <v>4719</v>
      </c>
      <c r="G155" t="s">
        <v>4720</v>
      </c>
      <c r="H155" t="s">
        <v>4721</v>
      </c>
      <c r="I155" t="s">
        <v>4722</v>
      </c>
      <c r="J155" t="s">
        <v>4723</v>
      </c>
    </row>
    <row r="156" spans="1:10" x14ac:dyDescent="0.2">
      <c r="A156" t="s">
        <v>750</v>
      </c>
      <c r="B156" t="s">
        <v>751</v>
      </c>
      <c r="C156" t="s">
        <v>60</v>
      </c>
      <c r="D156" t="s">
        <v>148</v>
      </c>
      <c r="E156" t="str">
        <f>HYPERLINK("/pdf/2024_In_Plain_Sight__A_Pragmatic_Exploration_of_the_Italian_Medical_Landscape_(In)security.pdf.pdf","open")</f>
        <v>open</v>
      </c>
      <c r="F156" t="s">
        <v>4724</v>
      </c>
      <c r="G156" t="s">
        <v>4725</v>
      </c>
      <c r="H156" t="s">
        <v>4726</v>
      </c>
      <c r="I156" t="s">
        <v>148</v>
      </c>
      <c r="J156" t="s">
        <v>148</v>
      </c>
    </row>
    <row r="157" spans="1:10" x14ac:dyDescent="0.2">
      <c r="A157" t="s">
        <v>754</v>
      </c>
      <c r="B157" t="s">
        <v>755</v>
      </c>
      <c r="C157" t="s">
        <v>19</v>
      </c>
      <c r="D157" t="s">
        <v>757</v>
      </c>
      <c r="E157" t="str">
        <f>HYPERLINK("/pdf/2025_10_3390_info16110957_llms_for_cybersecurity_in_the_big_data_era_a_comprehensive_review_of_applications_challe.pdf","open")</f>
        <v>open</v>
      </c>
      <c r="F157" t="s">
        <v>4727</v>
      </c>
      <c r="G157" t="s">
        <v>4728</v>
      </c>
      <c r="H157" t="s">
        <v>4729</v>
      </c>
      <c r="I157" t="s">
        <v>4730</v>
      </c>
      <c r="J157" t="s">
        <v>4731</v>
      </c>
    </row>
    <row r="158" spans="1:10" x14ac:dyDescent="0.2">
      <c r="A158" t="s">
        <v>759</v>
      </c>
      <c r="B158" t="s">
        <v>760</v>
      </c>
      <c r="C158" t="s">
        <v>48</v>
      </c>
      <c r="D158" t="s">
        <v>761</v>
      </c>
      <c r="E158" t="str">
        <f>HYPERLINK("/pdf/2010_CollSec_2010_-_2010_Workshop_on_Collaborative_Methods_for_Security_and_Privacy.pdf","open")</f>
        <v>open</v>
      </c>
      <c r="F158" t="s">
        <v>4732</v>
      </c>
      <c r="G158" t="s">
        <v>4733</v>
      </c>
      <c r="H158" t="s">
        <v>4734</v>
      </c>
      <c r="I158" t="s">
        <v>4735</v>
      </c>
      <c r="J158" t="s">
        <v>4736</v>
      </c>
    </row>
    <row r="159" spans="1:10" x14ac:dyDescent="0.2">
      <c r="A159" t="s">
        <v>763</v>
      </c>
      <c r="B159" t="s">
        <v>764</v>
      </c>
      <c r="C159" t="s">
        <v>136</v>
      </c>
      <c r="D159" t="s">
        <v>765</v>
      </c>
      <c r="E159" t="str">
        <f>HYPERLINK("/pdf/2019_10_1109_access_2019_2951425_covert_channels_in_the_mqtt_based_internet_of_things.pdf","open")</f>
        <v>open</v>
      </c>
      <c r="F159" t="s">
        <v>4737</v>
      </c>
      <c r="G159" t="s">
        <v>4738</v>
      </c>
      <c r="H159" t="s">
        <v>4739</v>
      </c>
      <c r="I159" t="s">
        <v>4740</v>
      </c>
      <c r="J159" t="s">
        <v>4741</v>
      </c>
    </row>
    <row r="160" spans="1:10" x14ac:dyDescent="0.2">
      <c r="A160" t="s">
        <v>767</v>
      </c>
      <c r="B160" t="s">
        <v>768</v>
      </c>
      <c r="C160" t="s">
        <v>100</v>
      </c>
      <c r="D160" t="s">
        <v>770</v>
      </c>
      <c r="E160" t="str">
        <f>HYPERLINK("/pdf/2022_10.1109_asiancon55314.2022.9909471_Data_Leakage_in_Android_and_Anomaly_Based_Intrusion_Detection_and_Prevention_System.pdf","open")</f>
        <v>open</v>
      </c>
      <c r="F160" t="s">
        <v>4742</v>
      </c>
      <c r="G160" t="s">
        <v>4743</v>
      </c>
      <c r="H160" t="s">
        <v>4744</v>
      </c>
      <c r="I160" t="s">
        <v>4745</v>
      </c>
      <c r="J160" t="s">
        <v>4746</v>
      </c>
    </row>
    <row r="161" spans="1:10" x14ac:dyDescent="0.2">
      <c r="A161" t="s">
        <v>772</v>
      </c>
      <c r="B161" t="s">
        <v>773</v>
      </c>
      <c r="C161" t="s">
        <v>19</v>
      </c>
      <c r="D161" t="s">
        <v>775</v>
      </c>
      <c r="E161" t="str">
        <f>HYPERLINK("/pdf/2025_10.1142_s2010324725400119_A_Hybrid_BiLSTM-Attention_and_Homomorphic_Encryption_Framework_for_Privacy-Preserving_Threat_Detection_in_Clou.pdf","open")</f>
        <v>open</v>
      </c>
      <c r="F161" t="s">
        <v>4747</v>
      </c>
      <c r="G161" t="s">
        <v>4748</v>
      </c>
      <c r="H161" t="s">
        <v>4749</v>
      </c>
      <c r="I161" t="s">
        <v>4750</v>
      </c>
      <c r="J161" t="s">
        <v>4751</v>
      </c>
    </row>
    <row r="162" spans="1:10" x14ac:dyDescent="0.2">
      <c r="A162" t="s">
        <v>445</v>
      </c>
      <c r="B162" t="s">
        <v>446</v>
      </c>
      <c r="C162" t="s">
        <v>19</v>
      </c>
      <c r="D162" t="s">
        <v>448</v>
      </c>
      <c r="E162" t="str">
        <f>HYPERLINK("/pdf/2025_10_3991_ijep_v15i4_53127_integration_of_cybersecurity_into_computer_science_teachers_training_a_systema.pdf","open")</f>
        <v>open</v>
      </c>
      <c r="F162" t="s">
        <v>4752</v>
      </c>
      <c r="G162" t="s">
        <v>4753</v>
      </c>
      <c r="H162" t="s">
        <v>4754</v>
      </c>
      <c r="I162" t="s">
        <v>148</v>
      </c>
      <c r="J162" t="s">
        <v>148</v>
      </c>
    </row>
    <row r="163" spans="1:10" x14ac:dyDescent="0.2">
      <c r="A163" t="s">
        <v>778</v>
      </c>
      <c r="B163" t="s">
        <v>779</v>
      </c>
      <c r="C163" t="s">
        <v>60</v>
      </c>
      <c r="D163" t="s">
        <v>778</v>
      </c>
      <c r="E163" t="str">
        <f>HYPERLINK("/pdf/2024_10_20473_mi_v7i3_55931_data_leakage_of_the_indonesian_elections_commission_in_legal_aspects_of_personal.pdf","open")</f>
        <v>open</v>
      </c>
      <c r="F163" t="s">
        <v>4755</v>
      </c>
      <c r="G163" t="s">
        <v>4756</v>
      </c>
      <c r="H163" t="s">
        <v>4757</v>
      </c>
      <c r="I163" t="s">
        <v>148</v>
      </c>
      <c r="J163" t="s">
        <v>4758</v>
      </c>
    </row>
    <row r="164" spans="1:10" x14ac:dyDescent="0.2">
      <c r="A164" t="s">
        <v>782</v>
      </c>
      <c r="B164" t="s">
        <v>783</v>
      </c>
      <c r="C164" t="s">
        <v>148</v>
      </c>
      <c r="D164" t="s">
        <v>148</v>
      </c>
      <c r="E164" t="str">
        <f>HYPERLINK("/pdf/2019_10_1109_gciot47977_2019_9058410_practical_application_of_machine_learning_based_online_intrusion_detection_to_internet_of.pdf","open")</f>
        <v>open</v>
      </c>
      <c r="F164" t="s">
        <v>4759</v>
      </c>
      <c r="G164" t="s">
        <v>4760</v>
      </c>
      <c r="H164" t="s">
        <v>4761</v>
      </c>
      <c r="I164" t="s">
        <v>4762</v>
      </c>
      <c r="J164" t="s">
        <v>4763</v>
      </c>
    </row>
    <row r="165" spans="1:10" x14ac:dyDescent="0.2">
      <c r="A165" t="s">
        <v>785</v>
      </c>
      <c r="B165" t="s">
        <v>786</v>
      </c>
      <c r="C165" t="s">
        <v>60</v>
      </c>
      <c r="D165" t="s">
        <v>787</v>
      </c>
      <c r="E165" t="str">
        <f>HYPERLINK("/pdf/2024_10.1016_j.cose.2024.103864_MeMalDet__A_memory_analysis-based_malware_detection_framework_using_deep_autoencoders_and_stacked_ensemble_und.pdf","open")</f>
        <v>open</v>
      </c>
      <c r="F165" t="s">
        <v>4764</v>
      </c>
      <c r="G165" t="s">
        <v>4765</v>
      </c>
      <c r="H165" t="s">
        <v>4766</v>
      </c>
      <c r="I165" t="s">
        <v>4767</v>
      </c>
      <c r="J165" t="s">
        <v>4768</v>
      </c>
    </row>
    <row r="166" spans="1:10" x14ac:dyDescent="0.2">
      <c r="A166" t="s">
        <v>789</v>
      </c>
      <c r="B166" t="s">
        <v>790</v>
      </c>
      <c r="C166" t="s">
        <v>19</v>
      </c>
      <c r="D166" t="s">
        <v>791</v>
      </c>
      <c r="E166" t="str">
        <f>HYPERLINK("/pdf/2025_10.1109_access.2025.3602562_Enhanced_Intrusion_Detection_via_Hybrid_Data_Resampling_and_Feature_Optimization.pdf","open")</f>
        <v>open</v>
      </c>
      <c r="F166" t="s">
        <v>4769</v>
      </c>
      <c r="G166" t="s">
        <v>4770</v>
      </c>
      <c r="H166" t="s">
        <v>4771</v>
      </c>
      <c r="I166" t="s">
        <v>4772</v>
      </c>
      <c r="J166" t="s">
        <v>4773</v>
      </c>
    </row>
    <row r="167" spans="1:10" x14ac:dyDescent="0.2">
      <c r="A167" t="s">
        <v>793</v>
      </c>
      <c r="B167" t="s">
        <v>794</v>
      </c>
      <c r="C167" t="s">
        <v>100</v>
      </c>
      <c r="D167" t="s">
        <v>795</v>
      </c>
      <c r="E167" t="str">
        <f>HYPERLINK("/pdf/2022_10.1016_j.cose.2022.102783_Adversarial_training_for_deep_learning-based_cyberattack_detection_in_IoT-based_smart_city_applications.pdf","open")</f>
        <v>open</v>
      </c>
      <c r="F167" t="s">
        <v>4774</v>
      </c>
      <c r="G167" t="s">
        <v>4775</v>
      </c>
      <c r="H167" t="s">
        <v>4776</v>
      </c>
      <c r="I167" t="s">
        <v>4777</v>
      </c>
      <c r="J167" t="s">
        <v>4778</v>
      </c>
    </row>
    <row r="168" spans="1:10" x14ac:dyDescent="0.2">
      <c r="A168" t="s">
        <v>797</v>
      </c>
      <c r="B168" t="s">
        <v>798</v>
      </c>
      <c r="C168" t="s">
        <v>36</v>
      </c>
      <c r="D168" t="s">
        <v>800</v>
      </c>
      <c r="E168" t="str">
        <f>HYPERLINK("/pdf/2021_10.1109_jetcas.2021.3075098_Proof-Carrying_Hardware-Based_Information_Flow_Tracking_in_Analog_Mixed-Signal_Designs.pdf","open")</f>
        <v>open</v>
      </c>
      <c r="F168" t="s">
        <v>4779</v>
      </c>
      <c r="G168" t="s">
        <v>4780</v>
      </c>
      <c r="H168" t="s">
        <v>4781</v>
      </c>
      <c r="I168" t="s">
        <v>148</v>
      </c>
      <c r="J168" t="s">
        <v>4782</v>
      </c>
    </row>
    <row r="169" spans="1:10" x14ac:dyDescent="0.2">
      <c r="A169" t="s">
        <v>802</v>
      </c>
      <c r="B169" t="s">
        <v>803</v>
      </c>
      <c r="C169" t="s">
        <v>100</v>
      </c>
      <c r="D169" t="s">
        <v>805</v>
      </c>
      <c r="E169" t="str">
        <f>HYPERLINK("/pdf/2022_10.1145_3564625.3567970_Randezvous__Making_Randomization_Effective_on_MCUs.pdf","open")</f>
        <v>open</v>
      </c>
      <c r="F169" t="s">
        <v>4783</v>
      </c>
      <c r="G169" t="s">
        <v>4784</v>
      </c>
      <c r="H169" t="s">
        <v>4785</v>
      </c>
      <c r="I169" t="s">
        <v>148</v>
      </c>
      <c r="J169" t="s">
        <v>148</v>
      </c>
    </row>
    <row r="170" spans="1:10" x14ac:dyDescent="0.2">
      <c r="A170" t="s">
        <v>807</v>
      </c>
      <c r="B170" t="s">
        <v>146</v>
      </c>
      <c r="C170" t="s">
        <v>136</v>
      </c>
      <c r="D170" t="s">
        <v>148</v>
      </c>
      <c r="E170" t="str">
        <f>HYPERLINK("/pdf/2020_10.1109_iceee49618.2020.9102516_The_Techniques_of_Securing_Imaging_Data_in_Medical_System.pdf","open")</f>
        <v>open</v>
      </c>
      <c r="F170" t="s">
        <v>4786</v>
      </c>
      <c r="G170" t="s">
        <v>4787</v>
      </c>
      <c r="H170" t="s">
        <v>4788</v>
      </c>
      <c r="I170" t="s">
        <v>4789</v>
      </c>
      <c r="J170" t="s">
        <v>4790</v>
      </c>
    </row>
    <row r="171" spans="1:10" x14ac:dyDescent="0.2">
      <c r="A171" t="s">
        <v>809</v>
      </c>
      <c r="B171" t="s">
        <v>810</v>
      </c>
      <c r="C171" t="s">
        <v>363</v>
      </c>
      <c r="D171" t="s">
        <v>812</v>
      </c>
      <c r="E171" t="str">
        <f>HYPERLINK("/pdf/2016_10.1145_2976749.2978398_ProvUSB__Block-level_provenance-based_data_protection_for_USB_storage_devices.pdf","open")</f>
        <v>open</v>
      </c>
      <c r="F171" t="s">
        <v>4791</v>
      </c>
      <c r="G171" t="s">
        <v>4792</v>
      </c>
      <c r="H171" t="s">
        <v>4793</v>
      </c>
      <c r="I171" t="s">
        <v>4794</v>
      </c>
      <c r="J171" t="s">
        <v>4795</v>
      </c>
    </row>
    <row r="172" spans="1:10" x14ac:dyDescent="0.2">
      <c r="A172" t="s">
        <v>814</v>
      </c>
      <c r="B172" t="s">
        <v>815</v>
      </c>
      <c r="C172" t="s">
        <v>210</v>
      </c>
      <c r="D172" t="s">
        <v>817</v>
      </c>
      <c r="E172" t="str">
        <f>HYPERLINK("/pdf/2015_10.1109_msp.2015.88_Can_Content-Based_Data_Loss_Prevention_Solutions_Prevent_Data_Leakage_in_Web_Traffic_.pdf","open")</f>
        <v>open</v>
      </c>
      <c r="F172" t="s">
        <v>4796</v>
      </c>
      <c r="G172" t="s">
        <v>4797</v>
      </c>
      <c r="H172" t="s">
        <v>4798</v>
      </c>
      <c r="I172" t="s">
        <v>148</v>
      </c>
      <c r="J172" t="s">
        <v>4799</v>
      </c>
    </row>
    <row r="173" spans="1:10" x14ac:dyDescent="0.2">
      <c r="A173" t="s">
        <v>819</v>
      </c>
      <c r="B173" t="s">
        <v>820</v>
      </c>
      <c r="C173" t="s">
        <v>25</v>
      </c>
      <c r="D173" t="s">
        <v>822</v>
      </c>
      <c r="E173" t="str">
        <f>HYPERLINK("/pdf/2023_10.1109_gcat59970.2023.10353244_Exploring_Advanced_Model_Optimization_Strategies_for_Network_Intrusion_Detection_in_cloud_computing.pdf","open")</f>
        <v>open</v>
      </c>
      <c r="F173" t="s">
        <v>4800</v>
      </c>
      <c r="G173" t="s">
        <v>4801</v>
      </c>
      <c r="H173" t="s">
        <v>4802</v>
      </c>
      <c r="I173" t="s">
        <v>4803</v>
      </c>
      <c r="J173" t="s">
        <v>4804</v>
      </c>
    </row>
    <row r="174" spans="1:10" x14ac:dyDescent="0.2">
      <c r="A174" t="s">
        <v>824</v>
      </c>
      <c r="B174" t="s">
        <v>825</v>
      </c>
      <c r="C174" t="s">
        <v>100</v>
      </c>
      <c r="D174" t="s">
        <v>826</v>
      </c>
      <c r="E174" t="str">
        <f>HYPERLINK("/pdf/2022_10_3390_app12042174_assistive_multimodal_robotic_system_amrsys_security_and_privacy_issues_challenges_and.pdf","open")</f>
        <v>open</v>
      </c>
      <c r="F174" t="s">
        <v>4805</v>
      </c>
      <c r="G174" t="s">
        <v>4806</v>
      </c>
      <c r="H174" t="s">
        <v>4807</v>
      </c>
      <c r="I174" t="s">
        <v>148</v>
      </c>
      <c r="J174" t="s">
        <v>4808</v>
      </c>
    </row>
    <row r="175" spans="1:10" x14ac:dyDescent="0.2">
      <c r="A175" t="s">
        <v>828</v>
      </c>
      <c r="B175" t="s">
        <v>829</v>
      </c>
      <c r="C175" t="s">
        <v>60</v>
      </c>
      <c r="D175" t="s">
        <v>831</v>
      </c>
      <c r="E175" t="str">
        <f>HYPERLINK("/pdf/2024_10.1080_23311916.2024.2411859_Investigation_of_cyber_attacks_using_post-installation_app_detection_method.pdf","open")</f>
        <v>open</v>
      </c>
      <c r="F175" t="s">
        <v>4809</v>
      </c>
      <c r="G175" t="s">
        <v>4810</v>
      </c>
      <c r="H175" t="s">
        <v>4811</v>
      </c>
      <c r="I175" t="s">
        <v>4812</v>
      </c>
      <c r="J175" t="s">
        <v>4813</v>
      </c>
    </row>
    <row r="176" spans="1:10" x14ac:dyDescent="0.2">
      <c r="A176" t="s">
        <v>833</v>
      </c>
      <c r="B176" t="s">
        <v>834</v>
      </c>
      <c r="C176" t="s">
        <v>100</v>
      </c>
      <c r="D176" t="s">
        <v>148</v>
      </c>
      <c r="E176" t="str">
        <f>HYPERLINK("/pdf/2023_10_1109_compsac57700_2023_00106_feature_engineering_based_detection_of_buffer_overflow_vulnerability_in_source_code_using.pdf","open")</f>
        <v>open</v>
      </c>
      <c r="F176" t="s">
        <v>4814</v>
      </c>
      <c r="G176" t="s">
        <v>4815</v>
      </c>
      <c r="H176" t="s">
        <v>4816</v>
      </c>
      <c r="I176" t="s">
        <v>4817</v>
      </c>
      <c r="J176" t="s">
        <v>4818</v>
      </c>
    </row>
    <row r="177" spans="1:10" x14ac:dyDescent="0.2">
      <c r="A177" t="s">
        <v>836</v>
      </c>
      <c r="B177" t="s">
        <v>837</v>
      </c>
      <c r="C177" t="s">
        <v>36</v>
      </c>
      <c r="D177" t="s">
        <v>839</v>
      </c>
      <c r="E177" t="str">
        <f>HYPERLINK("/pdf/2021_10.4316_aece.2021.03005_Deep_Learning_Based_DNS_Tunneling_Detection_and_Blocking_System.pdf","open")</f>
        <v>open</v>
      </c>
      <c r="F177" t="s">
        <v>4819</v>
      </c>
      <c r="G177" t="s">
        <v>4820</v>
      </c>
      <c r="H177" t="s">
        <v>4821</v>
      </c>
      <c r="I177" t="s">
        <v>4822</v>
      </c>
      <c r="J177" t="s">
        <v>4823</v>
      </c>
    </row>
    <row r="178" spans="1:10" x14ac:dyDescent="0.2">
      <c r="A178" t="s">
        <v>841</v>
      </c>
      <c r="B178" t="s">
        <v>842</v>
      </c>
      <c r="C178" t="s">
        <v>100</v>
      </c>
      <c r="D178" t="s">
        <v>844</v>
      </c>
      <c r="E178" t="str">
        <f>HYPERLINK("/pdf/2022_10.1016_j.ins.2022.07.104_Privacy-preserving_knowledge_transfer_for_intrusion_detection_with_federated_deep_autoencoding_gaussian_mixtur.pdf","open")</f>
        <v>open</v>
      </c>
      <c r="F178" t="s">
        <v>4824</v>
      </c>
      <c r="G178" t="s">
        <v>4825</v>
      </c>
      <c r="H178" t="s">
        <v>4826</v>
      </c>
      <c r="I178" t="s">
        <v>4827</v>
      </c>
      <c r="J178" t="s">
        <v>4828</v>
      </c>
    </row>
    <row r="179" spans="1:10" x14ac:dyDescent="0.2">
      <c r="A179" t="s">
        <v>846</v>
      </c>
      <c r="B179" t="s">
        <v>847</v>
      </c>
      <c r="C179" t="s">
        <v>19</v>
      </c>
      <c r="D179" t="s">
        <v>848</v>
      </c>
      <c r="E179" t="str">
        <f>HYPERLINK("/pdf/2025_10_3390_electronics14101982_ficconvnet_a_privacy_preserving_framework_for_malware_detection_using_ckks_homomorphic_en.pdf","open")</f>
        <v>open</v>
      </c>
      <c r="F179" t="s">
        <v>4829</v>
      </c>
      <c r="G179" t="s">
        <v>4830</v>
      </c>
      <c r="H179" t="s">
        <v>4831</v>
      </c>
      <c r="I179" t="s">
        <v>4832</v>
      </c>
      <c r="J179" t="s">
        <v>4833</v>
      </c>
    </row>
    <row r="180" spans="1:10" x14ac:dyDescent="0.2">
      <c r="A180" t="s">
        <v>850</v>
      </c>
      <c r="B180" t="s">
        <v>850</v>
      </c>
      <c r="C180" t="s">
        <v>100</v>
      </c>
      <c r="D180" t="s">
        <v>851</v>
      </c>
      <c r="E180" t="str">
        <f>HYPERLINK("/pdf/2022_10.1016_j.cose.2022.102644_Preventive_portfolio_against_data-selling_ransomware—A_game_theory_of_encryption_and_deception.pdf","open")</f>
        <v>open</v>
      </c>
      <c r="F180" t="s">
        <v>4834</v>
      </c>
      <c r="G180" t="s">
        <v>4835</v>
      </c>
      <c r="H180" t="s">
        <v>4836</v>
      </c>
      <c r="I180" t="s">
        <v>4837</v>
      </c>
      <c r="J180" t="s">
        <v>4838</v>
      </c>
    </row>
    <row r="181" spans="1:10" x14ac:dyDescent="0.2">
      <c r="A181" t="s">
        <v>853</v>
      </c>
      <c r="B181" t="s">
        <v>854</v>
      </c>
      <c r="C181" t="s">
        <v>19</v>
      </c>
      <c r="D181" t="s">
        <v>856</v>
      </c>
      <c r="E181" t="str">
        <f>HYPERLINK("/pdf/2025_10.1109_sennet64220.2025.11135967_Secure_IoMT_Networks__A_Federated_Learning_Approach_to_Intrusion_Detection_with_Ensemble_Voting_Classifier.pdf","open")</f>
        <v>open</v>
      </c>
      <c r="F181" t="s">
        <v>4839</v>
      </c>
      <c r="G181" t="s">
        <v>4840</v>
      </c>
      <c r="H181" t="s">
        <v>4841</v>
      </c>
      <c r="I181" t="s">
        <v>4842</v>
      </c>
      <c r="J181" t="s">
        <v>4843</v>
      </c>
    </row>
    <row r="182" spans="1:10" x14ac:dyDescent="0.2">
      <c r="A182" t="s">
        <v>858</v>
      </c>
      <c r="B182" t="s">
        <v>859</v>
      </c>
      <c r="C182" t="s">
        <v>25</v>
      </c>
      <c r="D182" t="s">
        <v>861</v>
      </c>
      <c r="E182" t="str">
        <f>HYPERLINK("/pdf/2023_10.1016_j.micpro.2023.104845_Empirical_study_on_security_verification_and_assessment_of_neural_network_accelerator.pdf","open")</f>
        <v>open</v>
      </c>
      <c r="F182" t="s">
        <v>4844</v>
      </c>
      <c r="G182" t="s">
        <v>4845</v>
      </c>
      <c r="H182" t="s">
        <v>4846</v>
      </c>
      <c r="I182" t="s">
        <v>4847</v>
      </c>
      <c r="J182" t="s">
        <v>4848</v>
      </c>
    </row>
    <row r="183" spans="1:10" x14ac:dyDescent="0.2">
      <c r="A183" t="s">
        <v>863</v>
      </c>
      <c r="B183" t="s">
        <v>864</v>
      </c>
      <c r="C183" t="s">
        <v>48</v>
      </c>
      <c r="D183" t="s">
        <v>865</v>
      </c>
      <c r="E183" t="str">
        <f>HYPERLINK("/pdf/2026_10_3390_fi18010042_intrusion_detection_for_internet_of_vehicles_can_bus_communications_using_machine_learning.pdf","open")</f>
        <v>open</v>
      </c>
      <c r="F183" t="s">
        <v>4849</v>
      </c>
      <c r="G183" t="s">
        <v>4850</v>
      </c>
      <c r="H183" t="s">
        <v>4851</v>
      </c>
      <c r="I183" t="s">
        <v>4852</v>
      </c>
      <c r="J183" t="s">
        <v>4853</v>
      </c>
    </row>
    <row r="184" spans="1:10" x14ac:dyDescent="0.2">
      <c r="A184" t="s">
        <v>867</v>
      </c>
      <c r="B184" t="s">
        <v>868</v>
      </c>
      <c r="C184" t="s">
        <v>54</v>
      </c>
      <c r="D184" t="s">
        <v>867</v>
      </c>
      <c r="E184" t="str">
        <f>HYPERLINK("/pdf/2020_10.34190_ews.20.004_Mitigating_insider_threats__A_case_study_of_data_leak_prevention.pdf","open")</f>
        <v>open</v>
      </c>
      <c r="F184" t="s">
        <v>4854</v>
      </c>
      <c r="G184" t="s">
        <v>4855</v>
      </c>
      <c r="H184" t="s">
        <v>4856</v>
      </c>
      <c r="I184" t="s">
        <v>148</v>
      </c>
      <c r="J184" t="s">
        <v>4857</v>
      </c>
    </row>
    <row r="185" spans="1:10" x14ac:dyDescent="0.2">
      <c r="A185" t="s">
        <v>871</v>
      </c>
      <c r="B185" t="s">
        <v>872</v>
      </c>
      <c r="C185" t="s">
        <v>363</v>
      </c>
      <c r="D185" t="s">
        <v>873</v>
      </c>
      <c r="E185" t="str">
        <f>HYPERLINK("/pdf/2017_10.1109_asianhost.2016.7835566_RECORD__Temporarily_randomized_encoding_of_combinational_logic_for_resistance_to_data_leakage_from_hardware_Tr.pdf","open")</f>
        <v>open</v>
      </c>
      <c r="F185" t="s">
        <v>4858</v>
      </c>
      <c r="G185" t="s">
        <v>4859</v>
      </c>
      <c r="H185" t="s">
        <v>4860</v>
      </c>
      <c r="I185" t="s">
        <v>4861</v>
      </c>
      <c r="J185" t="s">
        <v>4862</v>
      </c>
    </row>
    <row r="186" spans="1:10" x14ac:dyDescent="0.2">
      <c r="A186" t="s">
        <v>875</v>
      </c>
      <c r="B186" t="s">
        <v>876</v>
      </c>
      <c r="C186" t="s">
        <v>48</v>
      </c>
      <c r="D186" t="s">
        <v>877</v>
      </c>
      <c r="E186" t="str">
        <f>HYPERLINK("/pdf/2026_10.3390_fi18010011_Adaptive_Privacy-Preserving_Insider_Threat_Detection_Using_Generative_Sequence_Models.pdf","open")</f>
        <v>open</v>
      </c>
      <c r="F186" t="s">
        <v>4863</v>
      </c>
      <c r="G186" t="s">
        <v>4864</v>
      </c>
      <c r="H186" t="s">
        <v>4865</v>
      </c>
      <c r="I186" t="s">
        <v>4866</v>
      </c>
      <c r="J186" t="s">
        <v>4867</v>
      </c>
    </row>
    <row r="187" spans="1:10" x14ac:dyDescent="0.2">
      <c r="A187" t="s">
        <v>879</v>
      </c>
      <c r="B187" t="s">
        <v>880</v>
      </c>
      <c r="C187" t="s">
        <v>215</v>
      </c>
      <c r="D187" t="s">
        <v>882</v>
      </c>
      <c r="E187" t="str">
        <f>HYPERLINK("/pdf/2015_10.1109_cse.2014.136_Fvisor__Towards_thwarting_unauthorized_file_accesses_with_a_light-weght_hypervisor.pdf","open")</f>
        <v>open</v>
      </c>
      <c r="F187" t="s">
        <v>4868</v>
      </c>
      <c r="G187" t="s">
        <v>4869</v>
      </c>
      <c r="H187" t="s">
        <v>4870</v>
      </c>
      <c r="I187" t="s">
        <v>4871</v>
      </c>
      <c r="J187" t="s">
        <v>4872</v>
      </c>
    </row>
    <row r="188" spans="1:10" x14ac:dyDescent="0.2">
      <c r="A188" t="s">
        <v>884</v>
      </c>
      <c r="B188" t="s">
        <v>885</v>
      </c>
      <c r="C188" t="s">
        <v>25</v>
      </c>
      <c r="D188" t="s">
        <v>887</v>
      </c>
      <c r="E188" t="str">
        <f>HYPERLINK("/pdf/2023_10_1109_ijcnn54540_2023_10191926_online_automated_machine_learning_for_class_imbalanced_data_streams.pdf","open")</f>
        <v>open</v>
      </c>
      <c r="F188" t="s">
        <v>4873</v>
      </c>
      <c r="G188" t="s">
        <v>4874</v>
      </c>
      <c r="H188" t="s">
        <v>4875</v>
      </c>
      <c r="I188" t="s">
        <v>4876</v>
      </c>
      <c r="J188" t="s">
        <v>4877</v>
      </c>
    </row>
    <row r="189" spans="1:10" x14ac:dyDescent="0.2">
      <c r="A189" t="s">
        <v>889</v>
      </c>
      <c r="B189" t="s">
        <v>890</v>
      </c>
      <c r="C189" t="s">
        <v>19</v>
      </c>
      <c r="D189" t="s">
        <v>891</v>
      </c>
      <c r="E189" t="str">
        <f>HYPERLINK("/pdf/2025_10.1007_s11042-024-18349-y_Ensemble_framework_for_concept_drift_detection_and_class_imbalance_in_data_streams.pdf","open")</f>
        <v>open</v>
      </c>
      <c r="F189" t="s">
        <v>4878</v>
      </c>
      <c r="G189" t="s">
        <v>4879</v>
      </c>
      <c r="H189" t="s">
        <v>4880</v>
      </c>
      <c r="I189" t="s">
        <v>4881</v>
      </c>
      <c r="J189" t="s">
        <v>4882</v>
      </c>
    </row>
    <row r="190" spans="1:10" x14ac:dyDescent="0.2">
      <c r="A190" t="s">
        <v>893</v>
      </c>
      <c r="B190" t="s">
        <v>894</v>
      </c>
      <c r="C190" t="s">
        <v>60</v>
      </c>
      <c r="D190" t="s">
        <v>896</v>
      </c>
      <c r="E190" t="str">
        <f>HYPERLINK("/pdf/2024_10_3390_fi16110410_design_and_evaluation_of_steganographic_channels_in_fifth_generation_new_radio.pdf","open")</f>
        <v>open</v>
      </c>
      <c r="F190" t="s">
        <v>4883</v>
      </c>
      <c r="G190" t="s">
        <v>4884</v>
      </c>
      <c r="H190" t="s">
        <v>4885</v>
      </c>
      <c r="I190" t="s">
        <v>4886</v>
      </c>
      <c r="J190" t="s">
        <v>4887</v>
      </c>
    </row>
    <row r="191" spans="1:10" x14ac:dyDescent="0.2">
      <c r="A191" t="s">
        <v>898</v>
      </c>
      <c r="B191" t="s">
        <v>898</v>
      </c>
      <c r="C191" t="s">
        <v>215</v>
      </c>
      <c r="D191" t="s">
        <v>900</v>
      </c>
      <c r="E191" t="str">
        <f>HYPERLINK("/pdf/2014_10.1145_2671491.2671499_DAVAST__Data-centric_system_level_activity_visualization.pdf","open")</f>
        <v>open</v>
      </c>
      <c r="F191" t="s">
        <v>4888</v>
      </c>
      <c r="G191" t="s">
        <v>4889</v>
      </c>
      <c r="H191" t="s">
        <v>4890</v>
      </c>
      <c r="I191" t="s">
        <v>4891</v>
      </c>
      <c r="J191" t="s">
        <v>4892</v>
      </c>
    </row>
    <row r="192" spans="1:10" x14ac:dyDescent="0.2">
      <c r="A192" t="s">
        <v>902</v>
      </c>
      <c r="B192" t="s">
        <v>903</v>
      </c>
      <c r="C192" t="s">
        <v>25</v>
      </c>
      <c r="D192" t="s">
        <v>905</v>
      </c>
      <c r="E192" t="str">
        <f>HYPERLINK("/pdf/2023_10.1109_cscloud-edgecom58631.2023.00043_Federated_Learning-Based_Intrusion_Detection_System_for_IoT_Environments_with_Locally_Adapted_Model.pdf","open")</f>
        <v>open</v>
      </c>
      <c r="F192" t="s">
        <v>4893</v>
      </c>
      <c r="G192" t="s">
        <v>4894</v>
      </c>
      <c r="H192" t="s">
        <v>4895</v>
      </c>
      <c r="I192" t="s">
        <v>4896</v>
      </c>
      <c r="J192" t="s">
        <v>4897</v>
      </c>
    </row>
    <row r="193" spans="1:10" x14ac:dyDescent="0.2">
      <c r="A193" t="s">
        <v>907</v>
      </c>
      <c r="B193" t="s">
        <v>908</v>
      </c>
      <c r="C193" t="s">
        <v>60</v>
      </c>
      <c r="D193" t="s">
        <v>910</v>
      </c>
      <c r="E193" t="str">
        <f>HYPERLINK("/pdf/2024_10.1109_ict4da62874.2024.10777078_Long_Short-Term_Memory_and_Synthetic_Minority_Over_Sampling_Technique-Based_Network_Traffic_Classification.pdf","open")</f>
        <v>open</v>
      </c>
      <c r="F193" t="s">
        <v>4898</v>
      </c>
      <c r="G193" t="s">
        <v>4899</v>
      </c>
      <c r="H193" t="s">
        <v>4900</v>
      </c>
      <c r="I193" t="s">
        <v>4901</v>
      </c>
      <c r="J193" t="s">
        <v>4902</v>
      </c>
    </row>
    <row r="194" spans="1:10" x14ac:dyDescent="0.2">
      <c r="A194" t="s">
        <v>912</v>
      </c>
      <c r="B194" t="s">
        <v>913</v>
      </c>
      <c r="C194" t="s">
        <v>25</v>
      </c>
      <c r="D194" t="s">
        <v>912</v>
      </c>
      <c r="E194" t="str">
        <f>HYPERLINK("/pdf/2023_10.1109_cosite60233.2023.10249650_Evaluation_of_CyPACH__A_Cyber_Privacy_Advisor_Chatbot.pdf","open")</f>
        <v>open</v>
      </c>
      <c r="F194" t="s">
        <v>4903</v>
      </c>
      <c r="G194" t="s">
        <v>4904</v>
      </c>
      <c r="H194" t="s">
        <v>148</v>
      </c>
      <c r="I194" t="s">
        <v>4905</v>
      </c>
      <c r="J194" t="s">
        <v>4906</v>
      </c>
    </row>
    <row r="195" spans="1:10" x14ac:dyDescent="0.2">
      <c r="B195" t="s">
        <v>916</v>
      </c>
      <c r="C195" t="s">
        <v>100</v>
      </c>
      <c r="D195" t="s">
        <v>918</v>
      </c>
      <c r="E195" t="str">
        <f>HYPERLINK("/pdf/2022_10.1109_ipsn54338.2022.00055_Demo_Abstract__A_Distributed_Power_Side-channel_Auditing_System_for_Online_loT_Intrusion_Detection.pdf","open")</f>
        <v>open</v>
      </c>
      <c r="F195" t="s">
        <v>4907</v>
      </c>
      <c r="G195" t="s">
        <v>4908</v>
      </c>
      <c r="H195" t="s">
        <v>4909</v>
      </c>
      <c r="I195" t="s">
        <v>4910</v>
      </c>
      <c r="J195" t="s">
        <v>4911</v>
      </c>
    </row>
    <row r="196" spans="1:10" x14ac:dyDescent="0.2">
      <c r="A196" t="s">
        <v>920</v>
      </c>
      <c r="B196" t="s">
        <v>921</v>
      </c>
      <c r="C196" t="s">
        <v>60</v>
      </c>
      <c r="D196" t="s">
        <v>923</v>
      </c>
      <c r="E196" t="str">
        <f>HYPERLINK("/pdf/2024_10.1016_j.prime.2024.100590_An_empirical_assessment_of_ML_models_for_5G_network_intrusion_detection__A_data_leakage-free_approach.pdf","open")</f>
        <v>open</v>
      </c>
      <c r="F196" t="s">
        <v>4912</v>
      </c>
      <c r="G196" t="s">
        <v>4913</v>
      </c>
      <c r="H196" t="s">
        <v>4914</v>
      </c>
      <c r="I196" t="s">
        <v>4915</v>
      </c>
      <c r="J196" t="s">
        <v>4916</v>
      </c>
    </row>
    <row r="197" spans="1:10" x14ac:dyDescent="0.2">
      <c r="A197" t="s">
        <v>925</v>
      </c>
      <c r="B197" t="s">
        <v>926</v>
      </c>
      <c r="C197" t="s">
        <v>268</v>
      </c>
      <c r="D197" t="s">
        <v>148</v>
      </c>
      <c r="E197" t="str">
        <f>HYPERLINK("/pdf/2010_10_14778_1920841_1920849_building_disclosure_risk_aware_query_optimizers_for_relational_databases.pdf","open")</f>
        <v>open</v>
      </c>
      <c r="F197" t="s">
        <v>4917</v>
      </c>
      <c r="G197" t="s">
        <v>4918</v>
      </c>
      <c r="H197" t="s">
        <v>4919</v>
      </c>
      <c r="I197" t="s">
        <v>148</v>
      </c>
      <c r="J197" t="s">
        <v>4920</v>
      </c>
    </row>
    <row r="198" spans="1:10" x14ac:dyDescent="0.2">
      <c r="A198" t="s">
        <v>929</v>
      </c>
      <c r="B198" t="s">
        <v>930</v>
      </c>
      <c r="C198" t="s">
        <v>48</v>
      </c>
      <c r="D198" t="s">
        <v>929</v>
      </c>
      <c r="E198" t="str">
        <f>HYPERLINK("/pdf/2026_10.1109_tcss.2025.3642006_A_Verifiable_Federated_Learning_Mechanism_for_Digital_Museum_Collection_Based_on_Homomorphic_Proxy_Re-Authenti.pdf","open")</f>
        <v>open</v>
      </c>
      <c r="F198" t="s">
        <v>4921</v>
      </c>
      <c r="G198" t="s">
        <v>4922</v>
      </c>
      <c r="H198" t="s">
        <v>4923</v>
      </c>
      <c r="I198" t="s">
        <v>4924</v>
      </c>
      <c r="J198" t="s">
        <v>4925</v>
      </c>
    </row>
    <row r="199" spans="1:10" x14ac:dyDescent="0.2">
      <c r="A199" t="s">
        <v>933</v>
      </c>
      <c r="B199" t="s">
        <v>934</v>
      </c>
      <c r="C199" t="s">
        <v>19</v>
      </c>
      <c r="D199" t="s">
        <v>936</v>
      </c>
      <c r="E199" t="str">
        <f>HYPERLINK("/pdf/2025_10.1007_s11227-025-07116-x_GDT-IDS__graph-based_decision_tree_intrusion_detection_system_for_controller_area_network.pdf.pdf","open")</f>
        <v>open</v>
      </c>
      <c r="F199" t="s">
        <v>4926</v>
      </c>
      <c r="G199" t="s">
        <v>4927</v>
      </c>
      <c r="H199" t="s">
        <v>4928</v>
      </c>
      <c r="I199" t="s">
        <v>4929</v>
      </c>
      <c r="J199" t="s">
        <v>4930</v>
      </c>
    </row>
    <row r="200" spans="1:10" x14ac:dyDescent="0.2">
      <c r="A200" t="s">
        <v>938</v>
      </c>
      <c r="B200" t="s">
        <v>939</v>
      </c>
      <c r="C200" t="s">
        <v>940</v>
      </c>
      <c r="D200" t="s">
        <v>148</v>
      </c>
      <c r="E200" t="str">
        <f>HYPERLINK("/pdf/2011_Towards_next-generation_intrusion_detection.pdf","open")</f>
        <v>open</v>
      </c>
      <c r="F200" t="s">
        <v>4931</v>
      </c>
      <c r="G200" t="s">
        <v>4932</v>
      </c>
      <c r="H200" t="s">
        <v>4933</v>
      </c>
      <c r="I200" t="s">
        <v>4934</v>
      </c>
      <c r="J200" t="s">
        <v>4935</v>
      </c>
    </row>
    <row r="201" spans="1:10" x14ac:dyDescent="0.2">
      <c r="A201" t="s">
        <v>943</v>
      </c>
      <c r="B201" t="s">
        <v>944</v>
      </c>
      <c r="C201" t="s">
        <v>100</v>
      </c>
      <c r="D201" t="s">
        <v>946</v>
      </c>
      <c r="E201" t="str">
        <f>HYPERLINK("/pdf/2022_10.1109_tce.2021.3129155_Fortified-NoC__A_Robust_Approach_for_Trojan-Resilient_Network-on-Chips_to_Fortify_Multicore-Based_Consumer_Ele.pdf","open")</f>
        <v>open</v>
      </c>
      <c r="F201" t="s">
        <v>4936</v>
      </c>
      <c r="G201" t="s">
        <v>4937</v>
      </c>
      <c r="H201" t="s">
        <v>4938</v>
      </c>
      <c r="I201" t="s">
        <v>4939</v>
      </c>
      <c r="J201" t="s">
        <v>4940</v>
      </c>
    </row>
    <row r="202" spans="1:10" x14ac:dyDescent="0.2">
      <c r="A202" t="s">
        <v>948</v>
      </c>
      <c r="B202" t="s">
        <v>949</v>
      </c>
      <c r="C202" t="s">
        <v>363</v>
      </c>
      <c r="D202" t="s">
        <v>951</v>
      </c>
      <c r="E202" t="str">
        <f>HYPERLINK("/pdf/2016_10.1145_2897073.2897077_Cognitive_mobile_security.pdf","open")</f>
        <v>open</v>
      </c>
      <c r="F202" t="s">
        <v>4941</v>
      </c>
      <c r="G202" t="s">
        <v>4942</v>
      </c>
      <c r="H202" t="s">
        <v>4943</v>
      </c>
      <c r="I202" t="s">
        <v>4944</v>
      </c>
      <c r="J202" t="s">
        <v>4945</v>
      </c>
    </row>
    <row r="203" spans="1:10" x14ac:dyDescent="0.2">
      <c r="A203" t="s">
        <v>953</v>
      </c>
      <c r="B203" t="s">
        <v>954</v>
      </c>
      <c r="C203" t="s">
        <v>19</v>
      </c>
      <c r="D203" t="s">
        <v>956</v>
      </c>
      <c r="E203" t="str">
        <f>HYPERLINK("/pdf/2025_10.1109_icoa66896.2025.11236897_Federated_Learning_for_Privacy-Preserving_Intrusion_Detection_in_IoT_using_Edge_and_Cloud_Infrastructure.pdf","open")</f>
        <v>open</v>
      </c>
      <c r="F203" t="s">
        <v>4946</v>
      </c>
      <c r="G203" t="s">
        <v>4947</v>
      </c>
      <c r="H203" t="s">
        <v>4948</v>
      </c>
      <c r="I203" t="s">
        <v>4949</v>
      </c>
      <c r="J203" t="s">
        <v>4950</v>
      </c>
    </row>
    <row r="204" spans="1:10" x14ac:dyDescent="0.2">
      <c r="A204" t="s">
        <v>959</v>
      </c>
      <c r="B204" t="s">
        <v>960</v>
      </c>
      <c r="C204" t="s">
        <v>12</v>
      </c>
      <c r="D204" t="s">
        <v>962</v>
      </c>
      <c r="E204" t="str">
        <f>HYPERLINK("/pdf/2018_10.1109_qrs.2018.00029_Hypervisor-based_sensitive_data_leakage_detector.pdf","open")</f>
        <v>open</v>
      </c>
      <c r="F204" t="s">
        <v>4951</v>
      </c>
      <c r="G204" t="s">
        <v>4952</v>
      </c>
      <c r="H204" t="s">
        <v>4953</v>
      </c>
      <c r="I204" t="s">
        <v>4954</v>
      </c>
      <c r="J204" t="s">
        <v>4955</v>
      </c>
    </row>
    <row r="205" spans="1:10" x14ac:dyDescent="0.2">
      <c r="A205" t="s">
        <v>964</v>
      </c>
      <c r="B205" t="s">
        <v>965</v>
      </c>
      <c r="C205" t="s">
        <v>100</v>
      </c>
      <c r="D205" t="s">
        <v>148</v>
      </c>
      <c r="E205" t="str">
        <f>HYPERLINK("/pdf/2022_Data_Leakage_Detection_in_Cloud_Computing_Environment_Using_Classification_Based_on_Deep_Learning_Architecture.pdf","open")</f>
        <v>open</v>
      </c>
      <c r="F205" t="s">
        <v>4956</v>
      </c>
      <c r="G205" t="s">
        <v>4957</v>
      </c>
      <c r="H205" t="s">
        <v>4958</v>
      </c>
      <c r="I205" t="s">
        <v>4959</v>
      </c>
      <c r="J205" t="s">
        <v>4960</v>
      </c>
    </row>
    <row r="206" spans="1:10" x14ac:dyDescent="0.2">
      <c r="A206" t="s">
        <v>968</v>
      </c>
      <c r="B206" t="s">
        <v>969</v>
      </c>
      <c r="C206" t="s">
        <v>25</v>
      </c>
      <c r="D206" t="s">
        <v>971</v>
      </c>
      <c r="E206" t="str">
        <f>HYPERLINK("/pdf/2023_10.1109_smc53992.2023.10393972_A_New_Federated_Learning_Model_for_Host_Intrusion_Detection_System_Under_Non-IID_Data.pdf","open")</f>
        <v>open</v>
      </c>
      <c r="F206" t="s">
        <v>4961</v>
      </c>
      <c r="G206" t="s">
        <v>4962</v>
      </c>
      <c r="H206" t="s">
        <v>4963</v>
      </c>
      <c r="I206" t="s">
        <v>4964</v>
      </c>
      <c r="J206" t="s">
        <v>4965</v>
      </c>
    </row>
    <row r="207" spans="1:10" x14ac:dyDescent="0.2">
      <c r="A207" t="s">
        <v>973</v>
      </c>
      <c r="B207" t="s">
        <v>974</v>
      </c>
      <c r="C207" t="s">
        <v>598</v>
      </c>
      <c r="D207" t="s">
        <v>976</v>
      </c>
      <c r="E207" t="str">
        <f>HYPERLINK("/pdf/2012_10.1109_eidwt.2012.43_A_proposed_framework_for_the_active_detection_of_security_vulnerabilities_in_multi-tenancy_cloud_systems.pdf","open")</f>
        <v>open</v>
      </c>
      <c r="F207" t="s">
        <v>4966</v>
      </c>
      <c r="G207" t="s">
        <v>4967</v>
      </c>
      <c r="H207" t="s">
        <v>4968</v>
      </c>
      <c r="I207" t="s">
        <v>4969</v>
      </c>
      <c r="J207" t="s">
        <v>4970</v>
      </c>
    </row>
    <row r="208" spans="1:10" x14ac:dyDescent="0.2">
      <c r="A208" t="s">
        <v>978</v>
      </c>
      <c r="B208" t="s">
        <v>979</v>
      </c>
      <c r="C208" t="s">
        <v>12</v>
      </c>
      <c r="D208" t="s">
        <v>148</v>
      </c>
      <c r="E208" t="str">
        <f>HYPERLINK("/pdf/2021_10_1109_tcc_2019_2905605_a_game_theoretic_framework_for_the_virtual_machines_migration_timing_problem.pdf","open")</f>
        <v>open</v>
      </c>
      <c r="F208" t="s">
        <v>4971</v>
      </c>
      <c r="G208" t="s">
        <v>4972</v>
      </c>
      <c r="H208" t="s">
        <v>4973</v>
      </c>
      <c r="I208" t="s">
        <v>4974</v>
      </c>
      <c r="J208" t="s">
        <v>4975</v>
      </c>
    </row>
    <row r="209" spans="1:10" x14ac:dyDescent="0.2">
      <c r="A209" t="s">
        <v>981</v>
      </c>
      <c r="B209" t="s">
        <v>982</v>
      </c>
      <c r="C209" t="s">
        <v>19</v>
      </c>
      <c r="D209" t="s">
        <v>984</v>
      </c>
      <c r="E209" t="str">
        <f>HYPERLINK("/pdf/2025_10_3390_jcp5040092_hashing_in_the_fight_against_csam_technology_at_the_crossroads_of_law_and_ethics.pdf","open")</f>
        <v>open</v>
      </c>
      <c r="F209" t="s">
        <v>4976</v>
      </c>
      <c r="G209" t="s">
        <v>4977</v>
      </c>
      <c r="H209" t="s">
        <v>4978</v>
      </c>
      <c r="I209" t="s">
        <v>4979</v>
      </c>
      <c r="J209" t="s">
        <v>4980</v>
      </c>
    </row>
    <row r="210" spans="1:10" x14ac:dyDescent="0.2">
      <c r="A210" t="s">
        <v>986</v>
      </c>
      <c r="B210" t="s">
        <v>319</v>
      </c>
      <c r="C210" t="s">
        <v>25</v>
      </c>
      <c r="D210" t="s">
        <v>321</v>
      </c>
      <c r="E210" t="str">
        <f>HYPERLINK("/pdf/2023_10_1007_s40747_021_00456_0_deep_learning_framework_for_handling_concept_drift_and_class_imbalanced_complex.pdf","open")</f>
        <v>open</v>
      </c>
      <c r="F210" t="s">
        <v>4981</v>
      </c>
      <c r="G210" t="s">
        <v>4982</v>
      </c>
      <c r="H210" t="s">
        <v>4983</v>
      </c>
      <c r="I210" t="s">
        <v>4984</v>
      </c>
      <c r="J210" t="s">
        <v>4985</v>
      </c>
    </row>
    <row r="211" spans="1:10" x14ac:dyDescent="0.2">
      <c r="A211" t="s">
        <v>988</v>
      </c>
      <c r="B211" t="s">
        <v>989</v>
      </c>
      <c r="C211" t="s">
        <v>60</v>
      </c>
      <c r="D211" t="s">
        <v>990</v>
      </c>
      <c r="E211" t="str">
        <f>HYPERLINK("/pdf/2024_10.1109_sces61914.2024.10652285_Detecting_Deceptive_URLs__Exploring_Logistic_Regression_and_Decision_Tree_Models.pdf","open")</f>
        <v>open</v>
      </c>
      <c r="F211" t="s">
        <v>4986</v>
      </c>
      <c r="G211" t="s">
        <v>4987</v>
      </c>
      <c r="H211" t="s">
        <v>4988</v>
      </c>
      <c r="I211" t="s">
        <v>4989</v>
      </c>
      <c r="J211" t="s">
        <v>4990</v>
      </c>
    </row>
    <row r="212" spans="1:10" x14ac:dyDescent="0.2">
      <c r="A212" t="s">
        <v>992</v>
      </c>
      <c r="B212" t="s">
        <v>993</v>
      </c>
      <c r="C212" t="s">
        <v>60</v>
      </c>
      <c r="D212" t="s">
        <v>994</v>
      </c>
      <c r="E212" t="str">
        <f>HYPERLINK("/pdf/2025_10.1007_s11042-024-19916-z_Towards_robust_and_efficient_intrusion_detection_in_IoMT__a_deep_learning_approach_addressing_data_leakage_and.pdf","open")</f>
        <v>open</v>
      </c>
      <c r="F212" t="s">
        <v>4991</v>
      </c>
      <c r="G212" t="s">
        <v>4992</v>
      </c>
      <c r="H212" t="s">
        <v>4993</v>
      </c>
      <c r="I212" t="s">
        <v>4994</v>
      </c>
      <c r="J212" t="s">
        <v>4995</v>
      </c>
    </row>
    <row r="213" spans="1:10" x14ac:dyDescent="0.2">
      <c r="A213" t="s">
        <v>996</v>
      </c>
      <c r="B213" t="s">
        <v>603</v>
      </c>
      <c r="C213" t="s">
        <v>19</v>
      </c>
      <c r="D213" t="s">
        <v>605</v>
      </c>
      <c r="E213" t="str">
        <f>HYPERLINK("/pdf/2025_10_1007_s43926_025_00185_7_a_feature_level_ensemble_machine_learning_approach_for_attack_detection_in_iot_n.pdf","open")</f>
        <v>open</v>
      </c>
      <c r="F213" t="s">
        <v>4996</v>
      </c>
      <c r="G213" t="s">
        <v>4997</v>
      </c>
      <c r="H213" t="s">
        <v>4998</v>
      </c>
      <c r="I213" t="s">
        <v>4999</v>
      </c>
      <c r="J213" t="s">
        <v>5000</v>
      </c>
    </row>
    <row r="214" spans="1:10" x14ac:dyDescent="0.2">
      <c r="A214" t="s">
        <v>998</v>
      </c>
      <c r="B214" t="s">
        <v>999</v>
      </c>
      <c r="C214" t="s">
        <v>19</v>
      </c>
      <c r="D214" t="s">
        <v>1000</v>
      </c>
      <c r="E214" t="str">
        <f>HYPERLINK("/pdf/2025_10_1038_s41598_025_89794_4_revolutionary_hybrid_ensembled_deep_learning_model_for_accurate_and_robust_side.pdf","open")</f>
        <v>open</v>
      </c>
      <c r="F214" t="s">
        <v>5001</v>
      </c>
      <c r="G214" t="s">
        <v>5002</v>
      </c>
      <c r="H214" t="s">
        <v>5003</v>
      </c>
      <c r="I214" t="s">
        <v>5004</v>
      </c>
      <c r="J214" t="s">
        <v>5005</v>
      </c>
    </row>
    <row r="215" spans="1:10" x14ac:dyDescent="0.2">
      <c r="A215" t="s">
        <v>1002</v>
      </c>
      <c r="B215" t="s">
        <v>1003</v>
      </c>
      <c r="C215" t="s">
        <v>25</v>
      </c>
      <c r="D215" t="s">
        <v>1005</v>
      </c>
      <c r="E215" t="str">
        <f>HYPERLINK("/pdf/2023_10.1109_taes.2023.3306336_ADS-Bchain__A_Blockchain-Based_Trusted_Service_Scheme_for_Automatic_Dependent_Surveillance_Broadcast.pdf","open")</f>
        <v>open</v>
      </c>
      <c r="F215" t="s">
        <v>5006</v>
      </c>
      <c r="G215" t="s">
        <v>5007</v>
      </c>
      <c r="H215" t="s">
        <v>5008</v>
      </c>
      <c r="I215" t="s">
        <v>5009</v>
      </c>
      <c r="J215" t="s">
        <v>5010</v>
      </c>
    </row>
    <row r="216" spans="1:10" x14ac:dyDescent="0.2">
      <c r="A216" t="s">
        <v>1007</v>
      </c>
      <c r="B216" t="s">
        <v>1008</v>
      </c>
      <c r="C216" t="s">
        <v>19</v>
      </c>
      <c r="D216" t="s">
        <v>1007</v>
      </c>
      <c r="E216" t="str">
        <f>HYPERLINK("/pdf/2025_10.1109_iciccs65191.2025.10984995_SDN_based_Firewall_with_Real_Time_Policy_Updates.pdf","open")</f>
        <v>open</v>
      </c>
      <c r="F216" t="s">
        <v>5011</v>
      </c>
      <c r="G216" t="s">
        <v>5012</v>
      </c>
      <c r="H216" t="s">
        <v>5013</v>
      </c>
      <c r="I216" t="s">
        <v>5014</v>
      </c>
      <c r="J216" t="s">
        <v>5015</v>
      </c>
    </row>
    <row r="217" spans="1:10" x14ac:dyDescent="0.2">
      <c r="A217" t="s">
        <v>1011</v>
      </c>
      <c r="B217" t="s">
        <v>1012</v>
      </c>
      <c r="C217" t="s">
        <v>25</v>
      </c>
      <c r="D217" t="s">
        <v>1014</v>
      </c>
      <c r="E217" t="str">
        <f>HYPERLINK("/pdf/2023_10_3390_app13031977_ai_assisted_security_alert_data_analysis_with_imbalanced_learning_methods.pdf","open")</f>
        <v>open</v>
      </c>
      <c r="F217" t="s">
        <v>5016</v>
      </c>
      <c r="G217" t="s">
        <v>5017</v>
      </c>
      <c r="H217" t="s">
        <v>5018</v>
      </c>
      <c r="I217" t="s">
        <v>5019</v>
      </c>
      <c r="J217" t="s">
        <v>5020</v>
      </c>
    </row>
    <row r="218" spans="1:10" x14ac:dyDescent="0.2">
      <c r="A218" t="s">
        <v>1016</v>
      </c>
      <c r="B218" t="s">
        <v>1017</v>
      </c>
      <c r="C218" t="s">
        <v>215</v>
      </c>
      <c r="D218" t="s">
        <v>1019</v>
      </c>
      <c r="E218" t="str">
        <f>HYPERLINK("/pdf/2014_10.1145_2656434.2656448_Analysis_of_mobile_malware_based_on_user_awareness.pdf","open")</f>
        <v>open</v>
      </c>
      <c r="F218" t="s">
        <v>5021</v>
      </c>
      <c r="G218" t="s">
        <v>5022</v>
      </c>
      <c r="H218" t="s">
        <v>148</v>
      </c>
      <c r="I218" t="s">
        <v>148</v>
      </c>
      <c r="J218" t="s">
        <v>5023</v>
      </c>
    </row>
    <row r="219" spans="1:10" x14ac:dyDescent="0.2">
      <c r="A219" t="s">
        <v>1021</v>
      </c>
      <c r="B219" t="s">
        <v>1022</v>
      </c>
      <c r="C219" t="s">
        <v>12</v>
      </c>
      <c r="D219" t="s">
        <v>1024</v>
      </c>
      <c r="E219" t="str">
        <f>HYPERLINK("/pdf/2018_10_1109_noms_2018_8406122_synaptic_a_formal_checker_for_sdn_based_security_policies.pdf","open")</f>
        <v>open</v>
      </c>
      <c r="F219" t="s">
        <v>5024</v>
      </c>
      <c r="G219" t="s">
        <v>5025</v>
      </c>
      <c r="H219" t="s">
        <v>148</v>
      </c>
      <c r="I219" t="s">
        <v>5026</v>
      </c>
      <c r="J219" t="s">
        <v>5027</v>
      </c>
    </row>
    <row r="220" spans="1:10" x14ac:dyDescent="0.2">
      <c r="A220" t="s">
        <v>1026</v>
      </c>
      <c r="B220" t="s">
        <v>1027</v>
      </c>
      <c r="C220" t="s">
        <v>136</v>
      </c>
      <c r="D220" t="s">
        <v>148</v>
      </c>
      <c r="E220" t="str">
        <f>HYPERLINK("/pdf/2019_Automated_factorization_of_security_chains_in_software-defined_networks.pdf","open")</f>
        <v>open</v>
      </c>
      <c r="F220" t="s">
        <v>5028</v>
      </c>
      <c r="G220" t="s">
        <v>5029</v>
      </c>
      <c r="H220" t="s">
        <v>5030</v>
      </c>
      <c r="I220" t="s">
        <v>5031</v>
      </c>
      <c r="J220" t="s">
        <v>5032</v>
      </c>
    </row>
    <row r="221" spans="1:10" x14ac:dyDescent="0.2">
      <c r="A221" t="s">
        <v>1030</v>
      </c>
      <c r="B221" t="s">
        <v>1031</v>
      </c>
      <c r="C221" t="s">
        <v>100</v>
      </c>
      <c r="D221" t="s">
        <v>148</v>
      </c>
      <c r="E221" t="str">
        <f>HYPERLINK("/pdf/2023_10_1109_icc45041_2023_10278951_a_lightweight_moving_target_defense_framework_for_multi_purpose_malware_affecting_iot_devi.pdf","open")</f>
        <v>open</v>
      </c>
      <c r="F221" t="s">
        <v>5033</v>
      </c>
      <c r="G221" t="s">
        <v>5034</v>
      </c>
      <c r="H221" t="s">
        <v>5035</v>
      </c>
      <c r="I221" t="s">
        <v>5036</v>
      </c>
      <c r="J221" t="s">
        <v>5037</v>
      </c>
    </row>
    <row r="222" spans="1:10" x14ac:dyDescent="0.2">
      <c r="A222" t="s">
        <v>1033</v>
      </c>
      <c r="B222" t="s">
        <v>1034</v>
      </c>
      <c r="C222" t="s">
        <v>100</v>
      </c>
      <c r="D222" t="s">
        <v>1036</v>
      </c>
      <c r="E222" t="str">
        <f>HYPERLINK("/pdf/2022_10.1016_j.knosys.2022.109557_A_FKPCA-GWO_WDBiLSTM_classifier_for_intrusion_detection_system_in_cloud_environments.pdf","open")</f>
        <v>open</v>
      </c>
      <c r="F222" t="s">
        <v>5038</v>
      </c>
      <c r="G222" t="s">
        <v>5039</v>
      </c>
      <c r="H222" t="s">
        <v>5040</v>
      </c>
      <c r="I222" t="s">
        <v>5041</v>
      </c>
      <c r="J222" t="s">
        <v>5042</v>
      </c>
    </row>
    <row r="223" spans="1:10" x14ac:dyDescent="0.2">
      <c r="A223" t="s">
        <v>1038</v>
      </c>
      <c r="B223" t="s">
        <v>1039</v>
      </c>
      <c r="C223" t="s">
        <v>268</v>
      </c>
      <c r="D223" t="s">
        <v>148</v>
      </c>
      <c r="E223" t="str">
        <f>HYPERLINK("/pdf/2010_10.1109_glocom.2010.5683165_Skip_finite_automaton__A_content_scanning_engine_to_secure_enterprise_networks.pdf","open")</f>
        <v>open</v>
      </c>
      <c r="F223" t="s">
        <v>5043</v>
      </c>
      <c r="G223" t="s">
        <v>5044</v>
      </c>
      <c r="H223" t="s">
        <v>5045</v>
      </c>
      <c r="I223" t="s">
        <v>5046</v>
      </c>
      <c r="J223" t="s">
        <v>5047</v>
      </c>
    </row>
    <row r="224" spans="1:10" x14ac:dyDescent="0.2">
      <c r="A224" t="s">
        <v>1042</v>
      </c>
      <c r="B224" t="s">
        <v>1043</v>
      </c>
      <c r="C224" t="s">
        <v>210</v>
      </c>
      <c r="D224" t="s">
        <v>148</v>
      </c>
      <c r="E224" t="str">
        <f>HYPERLINK("/pdf/2016_10.1007_978-981-10-0557-2_68_Android_security_analysis_based_on_inter-application_relationships.pdf","open")</f>
        <v>open</v>
      </c>
      <c r="F224" t="s">
        <v>5048</v>
      </c>
      <c r="G224" t="s">
        <v>5049</v>
      </c>
      <c r="H224" t="s">
        <v>5050</v>
      </c>
      <c r="I224" t="s">
        <v>148</v>
      </c>
      <c r="J224" t="s">
        <v>5051</v>
      </c>
    </row>
    <row r="225" spans="1:10" x14ac:dyDescent="0.2">
      <c r="A225" t="s">
        <v>1046</v>
      </c>
      <c r="B225" t="s">
        <v>1047</v>
      </c>
      <c r="C225" t="s">
        <v>25</v>
      </c>
      <c r="D225" t="s">
        <v>148</v>
      </c>
      <c r="E225" t="str">
        <f>HYPERLINK("/pdf/2023_10_1109_lanman58293_2023_10189424_federated_learning_based_vehicle_trajectory_prediction_against_cyberattacks.pdf","open")</f>
        <v>open</v>
      </c>
      <c r="F225" t="s">
        <v>5052</v>
      </c>
      <c r="G225" t="s">
        <v>5053</v>
      </c>
      <c r="H225" t="s">
        <v>5054</v>
      </c>
      <c r="I225" t="s">
        <v>5055</v>
      </c>
      <c r="J225" t="s">
        <v>5056</v>
      </c>
    </row>
    <row r="226" spans="1:10" x14ac:dyDescent="0.2">
      <c r="B226" t="s">
        <v>1050</v>
      </c>
      <c r="C226" t="s">
        <v>100</v>
      </c>
      <c r="D226" t="s">
        <v>1052</v>
      </c>
      <c r="E226" t="str">
        <f>HYPERLINK("/pdf/2022_10.1109_iccci55554.2022.9850265_Analyzing_SocialArks_Data_Leak_-_A_Brute_Force_Web_Login_Attack.pdf","open")</f>
        <v>open</v>
      </c>
      <c r="F226" t="s">
        <v>5057</v>
      </c>
      <c r="G226" t="s">
        <v>5058</v>
      </c>
      <c r="H226" t="s">
        <v>5059</v>
      </c>
      <c r="I226" t="s">
        <v>148</v>
      </c>
      <c r="J226" t="s">
        <v>148</v>
      </c>
    </row>
    <row r="227" spans="1:10" x14ac:dyDescent="0.2">
      <c r="A227" t="s">
        <v>1054</v>
      </c>
      <c r="B227" t="s">
        <v>1055</v>
      </c>
      <c r="C227" t="s">
        <v>148</v>
      </c>
      <c r="D227" t="s">
        <v>148</v>
      </c>
      <c r="E227" t="str">
        <f>HYPERLINK("/pdf/2021_10.1049_icp.2021.2407_Management_Challenges_in_the_Implementation_of_an_Email_Boundary_Control_for_Data_Leakage_Prevention.pdf","open")</f>
        <v>open</v>
      </c>
      <c r="F227" t="s">
        <v>5060</v>
      </c>
      <c r="G227" t="s">
        <v>5061</v>
      </c>
      <c r="H227" t="s">
        <v>5062</v>
      </c>
      <c r="I227" t="s">
        <v>148</v>
      </c>
      <c r="J227" t="s">
        <v>148</v>
      </c>
    </row>
    <row r="228" spans="1:10" x14ac:dyDescent="0.2">
      <c r="A228" t="s">
        <v>1057</v>
      </c>
      <c r="B228" t="s">
        <v>1058</v>
      </c>
      <c r="C228" t="s">
        <v>19</v>
      </c>
      <c r="D228" t="s">
        <v>1060</v>
      </c>
      <c r="E228" t="str">
        <f>HYPERLINK("/pdf/2025_10.1016_j.eij.2025.100684_Towards_lightweight_model_using_non-local-based_graph_convolution_neural_network_for_SQL_injection_detection.pdf","open")</f>
        <v>open</v>
      </c>
      <c r="F228" t="s">
        <v>5063</v>
      </c>
      <c r="G228" t="s">
        <v>5064</v>
      </c>
      <c r="H228" t="s">
        <v>5065</v>
      </c>
      <c r="I228" t="s">
        <v>5066</v>
      </c>
      <c r="J228" t="s">
        <v>5067</v>
      </c>
    </row>
    <row r="229" spans="1:10" x14ac:dyDescent="0.2">
      <c r="A229" t="s">
        <v>1062</v>
      </c>
      <c r="B229" t="s">
        <v>1063</v>
      </c>
      <c r="C229" t="s">
        <v>54</v>
      </c>
      <c r="D229" t="s">
        <v>1065</v>
      </c>
      <c r="E229" t="str">
        <f>HYPERLINK("/pdf/2020_10.1109_bigdia51454.2020.00035_Analyzing_network_traffic_for_protocol_identification__An_ensemble_online_active_learning_method.pdf","open")</f>
        <v>open</v>
      </c>
      <c r="F229" t="s">
        <v>5068</v>
      </c>
      <c r="G229" t="s">
        <v>5069</v>
      </c>
      <c r="H229" t="s">
        <v>5070</v>
      </c>
      <c r="I229" t="s">
        <v>5071</v>
      </c>
      <c r="J229" t="s">
        <v>5072</v>
      </c>
    </row>
    <row r="230" spans="1:10" x14ac:dyDescent="0.2">
      <c r="A230" t="s">
        <v>1067</v>
      </c>
      <c r="B230" t="s">
        <v>1068</v>
      </c>
      <c r="C230" t="s">
        <v>363</v>
      </c>
      <c r="D230" t="s">
        <v>1070</v>
      </c>
      <c r="E230" t="str">
        <f>HYPERLINK("/pdf/2016_10.1145_2995959.2995967_Pragmatic_security__Modelling_it_security_management_responsibilities_for_SME_archetypes.pdf","open")</f>
        <v>open</v>
      </c>
      <c r="F230" t="s">
        <v>5073</v>
      </c>
      <c r="G230" t="s">
        <v>5074</v>
      </c>
      <c r="H230" t="s">
        <v>5075</v>
      </c>
      <c r="I230" t="s">
        <v>5076</v>
      </c>
      <c r="J230" t="s">
        <v>5077</v>
      </c>
    </row>
    <row r="231" spans="1:10" x14ac:dyDescent="0.2">
      <c r="A231" t="s">
        <v>538</v>
      </c>
      <c r="B231" t="s">
        <v>536</v>
      </c>
      <c r="C231" t="s">
        <v>25</v>
      </c>
      <c r="D231" t="s">
        <v>538</v>
      </c>
      <c r="E231" t="str">
        <f>HYPERLINK("/pdf/2023_10_32604_cmes_2023_044169_enhancing_healthcare_data_security_and_disease_detection_using_crossover_based_multilayer.pdf","open")</f>
        <v>open</v>
      </c>
      <c r="F231" t="s">
        <v>5078</v>
      </c>
      <c r="G231" t="s">
        <v>5079</v>
      </c>
      <c r="H231" t="s">
        <v>5080</v>
      </c>
      <c r="I231" t="s">
        <v>5081</v>
      </c>
      <c r="J231" t="s">
        <v>5082</v>
      </c>
    </row>
    <row r="232" spans="1:10" x14ac:dyDescent="0.2">
      <c r="A232" t="s">
        <v>1073</v>
      </c>
      <c r="B232" t="s">
        <v>1074</v>
      </c>
      <c r="C232" t="s">
        <v>210</v>
      </c>
      <c r="D232" t="s">
        <v>148</v>
      </c>
      <c r="E232" t="str">
        <f>HYPERLINK("/pdf/2015_10.1109_icscn.2015.7219827_Complex_Event_Processing_based_Hybrid_Intrusion_Detection_System.pdf","open")</f>
        <v>open</v>
      </c>
      <c r="F232" t="s">
        <v>5083</v>
      </c>
      <c r="G232" t="s">
        <v>5084</v>
      </c>
      <c r="H232" t="s">
        <v>5085</v>
      </c>
      <c r="I232" t="s">
        <v>5086</v>
      </c>
      <c r="J232" t="s">
        <v>5087</v>
      </c>
    </row>
    <row r="233" spans="1:10" x14ac:dyDescent="0.2">
      <c r="A233" t="s">
        <v>1077</v>
      </c>
      <c r="B233" t="s">
        <v>1078</v>
      </c>
      <c r="C233" t="s">
        <v>190</v>
      </c>
      <c r="D233" t="s">
        <v>1080</v>
      </c>
      <c r="E233" t="str">
        <f>HYPERLINK("/pdf/2017_10.1007_s11277-017-4229-9_The_Vulnerability_Exploitation_Conveying_Digital_Data_Over_Mobile_Voice_Call_Channels.pdf","open")</f>
        <v>open</v>
      </c>
      <c r="F233" t="s">
        <v>5088</v>
      </c>
      <c r="G233" t="s">
        <v>5089</v>
      </c>
      <c r="H233" t="s">
        <v>5090</v>
      </c>
      <c r="I233" t="s">
        <v>5091</v>
      </c>
      <c r="J233" t="s">
        <v>5092</v>
      </c>
    </row>
    <row r="234" spans="1:10" x14ac:dyDescent="0.2">
      <c r="A234" t="s">
        <v>1082</v>
      </c>
      <c r="B234" t="s">
        <v>1083</v>
      </c>
      <c r="C234" t="s">
        <v>25</v>
      </c>
      <c r="D234" t="s">
        <v>1085</v>
      </c>
      <c r="E234" t="str">
        <f>HYPERLINK("/pdf/2023_10.1109_comsci59259.2023.10315901_Zero-Trust_in_Instant_Messaging.pdf","open")</f>
        <v>open</v>
      </c>
      <c r="F234" t="s">
        <v>5093</v>
      </c>
      <c r="G234" t="s">
        <v>5094</v>
      </c>
      <c r="H234" t="s">
        <v>5095</v>
      </c>
      <c r="I234" t="s">
        <v>148</v>
      </c>
      <c r="J234" t="s">
        <v>5096</v>
      </c>
    </row>
    <row r="235" spans="1:10" x14ac:dyDescent="0.2">
      <c r="A235" t="s">
        <v>1087</v>
      </c>
      <c r="B235" t="s">
        <v>1088</v>
      </c>
      <c r="C235" t="s">
        <v>19</v>
      </c>
      <c r="D235" t="s">
        <v>1087</v>
      </c>
      <c r="E235" t="str">
        <f>HYPERLINK("/pdf/2025_10_11591_ijai_v14_i6_pp4913_4922_comparative_evaluation_of_machine_learning_models_for_intrusion_detection_in_wsns_using_th.pdf","open")</f>
        <v>open</v>
      </c>
      <c r="F235" t="s">
        <v>5097</v>
      </c>
      <c r="G235" t="s">
        <v>5098</v>
      </c>
      <c r="H235" t="s">
        <v>5099</v>
      </c>
      <c r="I235" t="s">
        <v>5100</v>
      </c>
      <c r="J235" t="s">
        <v>5101</v>
      </c>
    </row>
    <row r="236" spans="1:10" x14ac:dyDescent="0.2">
      <c r="A236" t="s">
        <v>1091</v>
      </c>
      <c r="B236" t="s">
        <v>1092</v>
      </c>
      <c r="C236" t="s">
        <v>60</v>
      </c>
      <c r="D236" t="s">
        <v>1094</v>
      </c>
      <c r="E236" t="str">
        <f>HYPERLINK("/pdf/2025_10.1108_ics-03-2024-0059_Data_breach_announcements__evaluating_the_content_and_timing_of_breach_announcements_and_their_effect_on_firm_.pdf","open")</f>
        <v>open</v>
      </c>
      <c r="F236" t="s">
        <v>5102</v>
      </c>
      <c r="G236" t="s">
        <v>5103</v>
      </c>
      <c r="H236" t="s">
        <v>5104</v>
      </c>
      <c r="I236" t="s">
        <v>5105</v>
      </c>
      <c r="J236" t="s">
        <v>5106</v>
      </c>
    </row>
    <row r="237" spans="1:10" x14ac:dyDescent="0.2">
      <c r="A237" t="s">
        <v>1096</v>
      </c>
      <c r="B237" t="s">
        <v>1097</v>
      </c>
      <c r="C237" t="s">
        <v>48</v>
      </c>
      <c r="D237" t="s">
        <v>1099</v>
      </c>
      <c r="E237" t="str">
        <f>HYPERLINK("/pdf/2026_10.1007_s12243-026-01154-z_Intrusion_detection_in_CAN_protocol_using_novel_spatial-temporal_deep_learning_model_for_secure_autonomous_veh.pdf","open")</f>
        <v>open</v>
      </c>
      <c r="F237" t="s">
        <v>5107</v>
      </c>
      <c r="G237" t="s">
        <v>5108</v>
      </c>
      <c r="H237" t="s">
        <v>5109</v>
      </c>
      <c r="I237" t="s">
        <v>5110</v>
      </c>
      <c r="J237" t="s">
        <v>5111</v>
      </c>
    </row>
    <row r="238" spans="1:10" x14ac:dyDescent="0.2">
      <c r="A238" t="s">
        <v>1101</v>
      </c>
      <c r="B238" t="s">
        <v>1102</v>
      </c>
      <c r="C238" t="s">
        <v>12</v>
      </c>
      <c r="D238" t="s">
        <v>148</v>
      </c>
      <c r="E238" t="str">
        <f>HYPERLINK("/pdf/2018_Propagation_misclassified_instances_to_handle_nonstationary_imbalanced_data_stream.pdf","open")</f>
        <v>open</v>
      </c>
      <c r="F238" t="s">
        <v>5112</v>
      </c>
      <c r="G238" t="s">
        <v>5113</v>
      </c>
      <c r="H238" t="s">
        <v>5114</v>
      </c>
      <c r="I238" t="s">
        <v>5115</v>
      </c>
      <c r="J238" t="s">
        <v>5116</v>
      </c>
    </row>
    <row r="239" spans="1:10" x14ac:dyDescent="0.2">
      <c r="A239" t="s">
        <v>1105</v>
      </c>
      <c r="B239" t="s">
        <v>1106</v>
      </c>
      <c r="C239" t="s">
        <v>363</v>
      </c>
      <c r="D239" t="s">
        <v>148</v>
      </c>
      <c r="E239" t="str">
        <f>HYPERLINK("/pdf/2016_10.1109_uemcon.2016.7777821_A_hybrid_analysis_for_mobile_security_threat_detection.pdf","open")</f>
        <v>open</v>
      </c>
      <c r="F239" t="s">
        <v>5117</v>
      </c>
      <c r="G239" t="s">
        <v>5118</v>
      </c>
      <c r="H239" t="s">
        <v>5119</v>
      </c>
      <c r="I239" t="s">
        <v>5120</v>
      </c>
      <c r="J239" t="s">
        <v>5121</v>
      </c>
    </row>
    <row r="240" spans="1:10" x14ac:dyDescent="0.2">
      <c r="A240" t="s">
        <v>1108</v>
      </c>
      <c r="B240" t="s">
        <v>1109</v>
      </c>
      <c r="C240" t="s">
        <v>190</v>
      </c>
      <c r="D240" t="s">
        <v>1108</v>
      </c>
      <c r="E240" t="str">
        <f>HYPERLINK("/pdf/2017_10.1155_2017_7397812_Selecting_Critical_Data_Flows_in_Android_Applications_for_Abnormal_Behavior_Detection.pdf","open")</f>
        <v>open</v>
      </c>
      <c r="F240" t="s">
        <v>5122</v>
      </c>
      <c r="G240" t="s">
        <v>5123</v>
      </c>
      <c r="H240" t="s">
        <v>5124</v>
      </c>
      <c r="I240" t="s">
        <v>5125</v>
      </c>
      <c r="J240" t="s">
        <v>5126</v>
      </c>
    </row>
    <row r="241" spans="1:10" x14ac:dyDescent="0.2">
      <c r="A241" t="s">
        <v>1112</v>
      </c>
      <c r="B241" t="s">
        <v>1113</v>
      </c>
      <c r="C241" t="s">
        <v>100</v>
      </c>
      <c r="D241" t="s">
        <v>1115</v>
      </c>
      <c r="E241" t="str">
        <f>HYPERLINK("/pdf/2022_10.1109_iccwamtip56608.2022.10016605_A_Novel_and_Efficient_Sequential_Learning-Based_Malware_Classification_Model.pdf","open")</f>
        <v>open</v>
      </c>
      <c r="F241" t="s">
        <v>5127</v>
      </c>
      <c r="G241" t="s">
        <v>5128</v>
      </c>
      <c r="H241" t="s">
        <v>5129</v>
      </c>
      <c r="I241" t="s">
        <v>5130</v>
      </c>
      <c r="J241" t="s">
        <v>5131</v>
      </c>
    </row>
    <row r="242" spans="1:10" x14ac:dyDescent="0.2">
      <c r="A242" t="s">
        <v>1117</v>
      </c>
      <c r="B242" t="s">
        <v>1118</v>
      </c>
      <c r="C242" t="s">
        <v>48</v>
      </c>
      <c r="D242" t="s">
        <v>1120</v>
      </c>
      <c r="E242" t="str">
        <f>HYPERLINK("/pdf/2026_10_30598_barekengvol20iss2pp1675_1692_a_comparative_study_of_pipeline_validated_machine_learning_classifiers_for_permission_base.pdf","open")</f>
        <v>open</v>
      </c>
      <c r="F242" t="s">
        <v>5132</v>
      </c>
      <c r="G242" t="s">
        <v>5133</v>
      </c>
      <c r="H242" t="s">
        <v>5134</v>
      </c>
      <c r="I242" t="s">
        <v>5135</v>
      </c>
      <c r="J242" t="s">
        <v>5136</v>
      </c>
    </row>
    <row r="243" spans="1:10" x14ac:dyDescent="0.2">
      <c r="A243" t="s">
        <v>1122</v>
      </c>
      <c r="B243" t="s">
        <v>1123</v>
      </c>
      <c r="C243" t="s">
        <v>19</v>
      </c>
      <c r="D243" t="s">
        <v>148</v>
      </c>
      <c r="E243" t="str">
        <f>HYPERLINK("/pdf/2025_10_34190_eccws_24_1_3542_cybersecurity_challenges_and_mitigations_for_llms_in_dod_applications.pdf","open")</f>
        <v>open</v>
      </c>
      <c r="F243" t="s">
        <v>5137</v>
      </c>
      <c r="G243" t="s">
        <v>5138</v>
      </c>
      <c r="H243" t="s">
        <v>5139</v>
      </c>
      <c r="I243" t="s">
        <v>148</v>
      </c>
      <c r="J243" t="s">
        <v>148</v>
      </c>
    </row>
    <row r="244" spans="1:10" x14ac:dyDescent="0.2">
      <c r="A244" t="s">
        <v>1126</v>
      </c>
      <c r="B244" t="s">
        <v>1127</v>
      </c>
      <c r="C244" t="s">
        <v>25</v>
      </c>
      <c r="D244" t="s">
        <v>1128</v>
      </c>
      <c r="E244" t="str">
        <f>HYPERLINK("/pdf/2023_10_1007_978_3_031_33488_7_20_efficient_network_representation_for_gnn_based_intrusion_detection.pdf","open")</f>
        <v>open</v>
      </c>
      <c r="F244" t="s">
        <v>5140</v>
      </c>
      <c r="G244" t="s">
        <v>5141</v>
      </c>
      <c r="H244" t="s">
        <v>5142</v>
      </c>
      <c r="I244" t="s">
        <v>5143</v>
      </c>
      <c r="J244" t="s">
        <v>5144</v>
      </c>
    </row>
    <row r="245" spans="1:10" x14ac:dyDescent="0.2">
      <c r="A245" t="s">
        <v>1130</v>
      </c>
      <c r="B245" t="s">
        <v>710</v>
      </c>
      <c r="C245" t="s">
        <v>19</v>
      </c>
      <c r="D245" t="s">
        <v>711</v>
      </c>
      <c r="E245" t="str">
        <f>HYPERLINK("/pdf/2025_10_1038_s41598_025_17799_0_multi_resolution_transfer_learning_for_tampered_image_classification_using_se_enhanced_fus.pdf","open")</f>
        <v>open</v>
      </c>
      <c r="F245" t="s">
        <v>5145</v>
      </c>
      <c r="G245" t="s">
        <v>5146</v>
      </c>
      <c r="H245" t="s">
        <v>5147</v>
      </c>
      <c r="I245" t="s">
        <v>5148</v>
      </c>
      <c r="J245" t="s">
        <v>5149</v>
      </c>
    </row>
    <row r="246" spans="1:10" x14ac:dyDescent="0.2">
      <c r="A246" t="s">
        <v>1132</v>
      </c>
      <c r="B246" t="s">
        <v>1133</v>
      </c>
      <c r="C246" t="s">
        <v>363</v>
      </c>
      <c r="D246" t="s">
        <v>1135</v>
      </c>
      <c r="E246" t="str">
        <f>HYPERLINK("/pdf/2016_10.1016_j.infsof.2016.03.004_Effective_detection_of_android_malware_based_on_the_usage_of_data_flow_APIs_and_machine_learning.pdf","open")</f>
        <v>open</v>
      </c>
      <c r="F246" t="s">
        <v>5150</v>
      </c>
      <c r="G246" t="s">
        <v>5151</v>
      </c>
      <c r="H246" t="s">
        <v>5152</v>
      </c>
      <c r="I246" t="s">
        <v>5153</v>
      </c>
      <c r="J246" t="s">
        <v>5154</v>
      </c>
    </row>
    <row r="247" spans="1:10" x14ac:dyDescent="0.2">
      <c r="A247" t="s">
        <v>1137</v>
      </c>
      <c r="B247" t="s">
        <v>1138</v>
      </c>
      <c r="C247" t="s">
        <v>25</v>
      </c>
      <c r="D247" t="s">
        <v>1140</v>
      </c>
      <c r="E247" t="str">
        <f>HYPERLINK("/pdf/2023_10.1109_iceei59426.2023.10346644_Managing_Security_Hazards_in_BYOD__A_Comparative_Analysis_of_Artificial_Intelligent_Techniques.pdf","open")</f>
        <v>open</v>
      </c>
      <c r="F247" t="s">
        <v>5155</v>
      </c>
      <c r="G247" t="s">
        <v>5156</v>
      </c>
      <c r="H247" t="s">
        <v>5157</v>
      </c>
      <c r="I247" t="s">
        <v>148</v>
      </c>
      <c r="J247" t="s">
        <v>5158</v>
      </c>
    </row>
    <row r="248" spans="1:10" x14ac:dyDescent="0.2">
      <c r="A248" t="s">
        <v>1142</v>
      </c>
      <c r="B248" t="s">
        <v>1143</v>
      </c>
      <c r="C248" t="s">
        <v>25</v>
      </c>
      <c r="D248" t="s">
        <v>1142</v>
      </c>
      <c r="E248" t="str">
        <f>HYPERLINK("/pdf/2023_10.1145_3577923.3583650_Infotainment_System_Matters__Understanding_the_Impact_and_Implications_of_In-Vehicle_Infotainment_System_Hacki.pdf","open")</f>
        <v>open</v>
      </c>
      <c r="F248" t="s">
        <v>5159</v>
      </c>
      <c r="G248" t="s">
        <v>5160</v>
      </c>
      <c r="H248" t="s">
        <v>5161</v>
      </c>
      <c r="I248" t="s">
        <v>148</v>
      </c>
      <c r="J248" t="s">
        <v>148</v>
      </c>
    </row>
    <row r="249" spans="1:10" x14ac:dyDescent="0.2">
      <c r="A249" t="s">
        <v>1146</v>
      </c>
      <c r="B249" t="s">
        <v>1147</v>
      </c>
      <c r="C249" t="s">
        <v>60</v>
      </c>
      <c r="D249" t="s">
        <v>1149</v>
      </c>
      <c r="E249" t="str">
        <f>HYPERLINK("/pdf/2025_10_3390_virtualworlds4010001_cybersecurity_and_privacy_challenges_in_extended_reality_threats_solutions_and_risk_mit.pdf","open")</f>
        <v>open</v>
      </c>
      <c r="F249" t="s">
        <v>5162</v>
      </c>
      <c r="G249" t="s">
        <v>5163</v>
      </c>
      <c r="H249" t="s">
        <v>5164</v>
      </c>
      <c r="I249" t="s">
        <v>5165</v>
      </c>
      <c r="J249" t="s">
        <v>5166</v>
      </c>
    </row>
    <row r="250" spans="1:10" x14ac:dyDescent="0.2">
      <c r="A250" t="s">
        <v>1151</v>
      </c>
      <c r="B250" t="s">
        <v>1152</v>
      </c>
      <c r="C250" t="s">
        <v>60</v>
      </c>
      <c r="D250" t="s">
        <v>1154</v>
      </c>
      <c r="E250" t="str">
        <f>HYPERLINK("/pdf/2024_10.1109_dicct61038.2024.10532908_Malware_Detection_Using_Control_Flow_Graphs.pdf","open")</f>
        <v>open</v>
      </c>
      <c r="F250" t="s">
        <v>5167</v>
      </c>
      <c r="G250" t="s">
        <v>5168</v>
      </c>
      <c r="H250" t="s">
        <v>5169</v>
      </c>
      <c r="I250" t="s">
        <v>5170</v>
      </c>
      <c r="J250" t="s">
        <v>5171</v>
      </c>
    </row>
    <row r="251" spans="1:10" x14ac:dyDescent="0.2">
      <c r="A251" t="s">
        <v>1156</v>
      </c>
      <c r="B251" t="s">
        <v>1157</v>
      </c>
      <c r="C251" t="s">
        <v>54</v>
      </c>
      <c r="D251" t="s">
        <v>1159</v>
      </c>
      <c r="E251" t="str">
        <f>HYPERLINK("/pdf/2020_10.1109_icin48450.2020.9059472_Cache-Property-Aware_Features_for_DNS_Tunneling_Detection.pdf","open")</f>
        <v>open</v>
      </c>
      <c r="F251" t="s">
        <v>5172</v>
      </c>
      <c r="G251" t="s">
        <v>5173</v>
      </c>
      <c r="H251" t="s">
        <v>5174</v>
      </c>
      <c r="I251" t="s">
        <v>5175</v>
      </c>
      <c r="J251" t="s">
        <v>5176</v>
      </c>
    </row>
    <row r="252" spans="1:10" x14ac:dyDescent="0.2">
      <c r="A252" t="s">
        <v>1161</v>
      </c>
      <c r="B252" t="s">
        <v>1162</v>
      </c>
      <c r="C252" t="s">
        <v>60</v>
      </c>
      <c r="D252" t="s">
        <v>1164</v>
      </c>
      <c r="E252" t="str">
        <f>HYPERLINK("/pdf/2024_10.1145_3649403.3656483_A_Privacy_Preserving_Context_Sensitive_Kernel.pdf","open")</f>
        <v>open</v>
      </c>
      <c r="F252" t="s">
        <v>5177</v>
      </c>
      <c r="G252" t="s">
        <v>5178</v>
      </c>
      <c r="H252" t="s">
        <v>5179</v>
      </c>
      <c r="I252" t="s">
        <v>5180</v>
      </c>
      <c r="J252" t="s">
        <v>5181</v>
      </c>
    </row>
    <row r="253" spans="1:10" x14ac:dyDescent="0.2">
      <c r="A253" t="s">
        <v>1166</v>
      </c>
      <c r="B253" t="s">
        <v>1167</v>
      </c>
      <c r="C253" t="s">
        <v>25</v>
      </c>
      <c r="D253" t="s">
        <v>1169</v>
      </c>
      <c r="E253" t="str">
        <f>HYPERLINK("/pdf/2023_10.1016_j.procs.2023.03.102_Broadening_the_Solution_Space_of_Feature_Selection_in_Time-interval-based_Malware_Detection.pdf","open")</f>
        <v>open</v>
      </c>
      <c r="F253" t="s">
        <v>5182</v>
      </c>
      <c r="G253" t="s">
        <v>5183</v>
      </c>
      <c r="H253" t="s">
        <v>5184</v>
      </c>
      <c r="I253" t="s">
        <v>5185</v>
      </c>
      <c r="J253" t="s">
        <v>5186</v>
      </c>
    </row>
    <row r="254" spans="1:10" x14ac:dyDescent="0.2">
      <c r="A254" t="s">
        <v>1171</v>
      </c>
      <c r="B254" t="s">
        <v>1172</v>
      </c>
      <c r="C254" t="s">
        <v>25</v>
      </c>
      <c r="D254" t="s">
        <v>1174</v>
      </c>
      <c r="E254" t="str">
        <f>HYPERLINK("/pdf/2023_10.1109_i-smac58438.2023.10290155_Efficient_Secured_Cloud_Storage_System_using_Dynamic_Multiple_Clouds_Cryptographic_Algorithm.pdf","open")</f>
        <v>open</v>
      </c>
      <c r="F254" t="s">
        <v>5187</v>
      </c>
      <c r="G254" t="s">
        <v>5188</v>
      </c>
      <c r="H254" t="s">
        <v>148</v>
      </c>
      <c r="I254" t="s">
        <v>148</v>
      </c>
      <c r="J254" t="s">
        <v>5189</v>
      </c>
    </row>
    <row r="255" spans="1:10" x14ac:dyDescent="0.2">
      <c r="A255" t="s">
        <v>1176</v>
      </c>
      <c r="B255" t="s">
        <v>1177</v>
      </c>
      <c r="C255" t="s">
        <v>136</v>
      </c>
      <c r="D255" t="s">
        <v>1178</v>
      </c>
      <c r="E255" t="str">
        <f>HYPERLINK("/pdf/2019_10_3390_electronics8090968_dynamic_deep_forest_an_ensemble_classification_method_for_network_intrusion_detection.pdf","open")</f>
        <v>open</v>
      </c>
      <c r="F255" t="s">
        <v>5190</v>
      </c>
      <c r="G255" t="s">
        <v>5191</v>
      </c>
      <c r="H255" t="s">
        <v>5192</v>
      </c>
      <c r="I255" t="s">
        <v>5193</v>
      </c>
      <c r="J255" t="s">
        <v>5194</v>
      </c>
    </row>
    <row r="256" spans="1:10" x14ac:dyDescent="0.2">
      <c r="A256" t="s">
        <v>1180</v>
      </c>
      <c r="B256" t="s">
        <v>1181</v>
      </c>
      <c r="C256" t="s">
        <v>60</v>
      </c>
      <c r="D256" t="s">
        <v>148</v>
      </c>
      <c r="E256" t="str">
        <f>HYPERLINK("/pdf/2024_10.7492_qcqm1g12_AI-Powered_Cyber_Threat_Detection__Leveraging_Machine_Learning_for_RealTime_Anomaly_Identification_and_Threat_.pdf","open")</f>
        <v>open</v>
      </c>
      <c r="F256" t="s">
        <v>5195</v>
      </c>
      <c r="G256" t="s">
        <v>5196</v>
      </c>
      <c r="H256" t="s">
        <v>5197</v>
      </c>
      <c r="I256" t="s">
        <v>5198</v>
      </c>
      <c r="J256" t="s">
        <v>5199</v>
      </c>
    </row>
    <row r="257" spans="1:10" x14ac:dyDescent="0.2">
      <c r="A257" t="s">
        <v>1184</v>
      </c>
      <c r="B257" t="s">
        <v>1185</v>
      </c>
      <c r="C257" t="s">
        <v>54</v>
      </c>
      <c r="D257" t="s">
        <v>1187</v>
      </c>
      <c r="E257" t="str">
        <f>HYPERLINK("/pdf/2020_10.1145_3365578_Hardware_Trojan_mitigation_in_pipelined_MPSoCs.pdf","open")</f>
        <v>open</v>
      </c>
      <c r="F257" t="s">
        <v>5200</v>
      </c>
      <c r="G257" t="s">
        <v>5201</v>
      </c>
      <c r="H257" t="s">
        <v>5202</v>
      </c>
      <c r="I257" t="s">
        <v>5203</v>
      </c>
      <c r="J257" t="s">
        <v>148</v>
      </c>
    </row>
    <row r="258" spans="1:10" x14ac:dyDescent="0.2">
      <c r="A258" t="s">
        <v>1189</v>
      </c>
      <c r="B258" t="s">
        <v>1190</v>
      </c>
      <c r="C258" t="s">
        <v>19</v>
      </c>
      <c r="D258" t="s">
        <v>1192</v>
      </c>
      <c r="E258" t="str">
        <f>HYPERLINK("/pdf/2025_10.1109_icoin63865.2025.10993160_Privacy-Preserving_Generative_Adversarial_Network-Based_Data_Synthesis_for_Intelligent_Intrusion_Detection_Sys.pdf","open")</f>
        <v>open</v>
      </c>
      <c r="F258" t="s">
        <v>5204</v>
      </c>
      <c r="G258" t="s">
        <v>5205</v>
      </c>
      <c r="H258" t="s">
        <v>5206</v>
      </c>
      <c r="I258" t="s">
        <v>5207</v>
      </c>
      <c r="J258" t="s">
        <v>5208</v>
      </c>
    </row>
    <row r="259" spans="1:10" x14ac:dyDescent="0.2">
      <c r="A259" t="s">
        <v>1194</v>
      </c>
      <c r="B259" t="s">
        <v>1195</v>
      </c>
      <c r="C259" t="s">
        <v>25</v>
      </c>
      <c r="D259" t="s">
        <v>1197</v>
      </c>
      <c r="E259" t="str">
        <f>HYPERLINK("/pdf/2023_10.1145_3603781.3603906_Detection_of_Network_Time_Covert_Channels_Based_on_Image_Processing.pdf","open")</f>
        <v>open</v>
      </c>
      <c r="F259" t="s">
        <v>5209</v>
      </c>
      <c r="G259" t="s">
        <v>5210</v>
      </c>
      <c r="H259" t="s">
        <v>5211</v>
      </c>
      <c r="I259" t="s">
        <v>5212</v>
      </c>
      <c r="J259" t="s">
        <v>5213</v>
      </c>
    </row>
    <row r="260" spans="1:10" x14ac:dyDescent="0.2">
      <c r="A260" t="s">
        <v>1199</v>
      </c>
      <c r="B260" t="s">
        <v>1200</v>
      </c>
      <c r="C260" t="s">
        <v>36</v>
      </c>
      <c r="D260" t="s">
        <v>148</v>
      </c>
      <c r="E260" t="str">
        <f>HYPERLINK("/pdf/2022_SECURE_ASPECTS_OF_DIGITALIZATION_IN_MANAGEMENT_ACCOUNTING_AND_FINANCES_OF_THE_SUBJECT_OF_THE_NATIONAL_ECONOMY_.pdf","open")</f>
        <v>open</v>
      </c>
      <c r="F260" t="s">
        <v>5214</v>
      </c>
      <c r="G260" t="s">
        <v>5215</v>
      </c>
      <c r="H260" t="s">
        <v>5216</v>
      </c>
      <c r="I260" t="s">
        <v>5217</v>
      </c>
      <c r="J260" t="s">
        <v>5218</v>
      </c>
    </row>
    <row r="261" spans="1:10" x14ac:dyDescent="0.2">
      <c r="B261" t="s">
        <v>1203</v>
      </c>
      <c r="C261" t="s">
        <v>148</v>
      </c>
      <c r="D261" t="s">
        <v>148</v>
      </c>
      <c r="E261" t="str">
        <f>HYPERLINK("/pdf/2014_10.1049_cp.2014.1340_Android's_sensitive_data_leakage_detection_based_on_API_monitoring.pdf","open")</f>
        <v>open</v>
      </c>
      <c r="F261" t="s">
        <v>5219</v>
      </c>
      <c r="G261" t="s">
        <v>5220</v>
      </c>
      <c r="H261" t="s">
        <v>5221</v>
      </c>
      <c r="I261" t="s">
        <v>5222</v>
      </c>
      <c r="J261" t="s">
        <v>5223</v>
      </c>
    </row>
    <row r="262" spans="1:10" x14ac:dyDescent="0.2">
      <c r="A262" t="s">
        <v>1205</v>
      </c>
      <c r="B262" t="s">
        <v>1206</v>
      </c>
      <c r="C262" t="s">
        <v>36</v>
      </c>
      <c r="D262" t="s">
        <v>1208</v>
      </c>
      <c r="E262" t="str">
        <f>HYPERLINK("/pdf/2021_10_1109_tnsm_2021_3078428_dns_tunneling_detection_by_cache_property_aware_features.pdf","open")</f>
        <v>open</v>
      </c>
      <c r="F262" t="s">
        <v>5224</v>
      </c>
      <c r="G262" t="s">
        <v>5225</v>
      </c>
      <c r="H262" t="s">
        <v>5226</v>
      </c>
      <c r="I262" t="s">
        <v>5227</v>
      </c>
      <c r="J262" t="s">
        <v>5228</v>
      </c>
    </row>
    <row r="263" spans="1:10" x14ac:dyDescent="0.2">
      <c r="A263" t="s">
        <v>1210</v>
      </c>
      <c r="B263" t="s">
        <v>760</v>
      </c>
      <c r="C263" t="s">
        <v>48</v>
      </c>
      <c r="D263" t="s">
        <v>761</v>
      </c>
      <c r="E263" t="str">
        <f>HYPERLINK("/pdf/2026_10.1038_s41598-026-36731-8_ASTRID-Net__SE-enhanced_triple_attention_deep_learning_framework_for_IoT_and_IIoT_security.pdf","open")</f>
        <v>open</v>
      </c>
      <c r="F263" t="s">
        <v>5229</v>
      </c>
      <c r="G263" t="s">
        <v>5230</v>
      </c>
      <c r="H263" t="s">
        <v>5231</v>
      </c>
      <c r="I263" t="s">
        <v>5232</v>
      </c>
      <c r="J263" t="s">
        <v>5233</v>
      </c>
    </row>
    <row r="264" spans="1:10" x14ac:dyDescent="0.2">
      <c r="A264" t="s">
        <v>1212</v>
      </c>
      <c r="B264" t="s">
        <v>1213</v>
      </c>
      <c r="C264" t="s">
        <v>19</v>
      </c>
      <c r="D264" t="s">
        <v>1215</v>
      </c>
      <c r="E264" t="str">
        <f>HYPERLINK("/pdf/2025_10.70389_pjs.100115_Psyche_Components_in_the_Organization_of_Safety_Systems__The_Role_of_a_Person_in_the_Protection_of_Facilities_.pdf","open")</f>
        <v>open</v>
      </c>
      <c r="F264" t="s">
        <v>5234</v>
      </c>
      <c r="G264" t="s">
        <v>5235</v>
      </c>
      <c r="H264" t="s">
        <v>5236</v>
      </c>
      <c r="I264" t="s">
        <v>148</v>
      </c>
      <c r="J264" t="s">
        <v>148</v>
      </c>
    </row>
    <row r="265" spans="1:10" x14ac:dyDescent="0.2">
      <c r="A265" t="s">
        <v>148</v>
      </c>
      <c r="B265" t="s">
        <v>1217</v>
      </c>
      <c r="C265" t="s">
        <v>25</v>
      </c>
      <c r="D265" t="s">
        <v>1219</v>
      </c>
      <c r="E265" t="str">
        <f>HYPERLINK("/pdf/2023_10.1109_iccasit58768.2023.10351717_Research_and_Application_of_Cybersecurity_Situation_Awareness_for_Smart_Grid_Power_Control_System.pdf","open")</f>
        <v>open</v>
      </c>
      <c r="F265" t="s">
        <v>5237</v>
      </c>
      <c r="G265" t="s">
        <v>5238</v>
      </c>
      <c r="H265" t="s">
        <v>5239</v>
      </c>
      <c r="I265" t="s">
        <v>148</v>
      </c>
      <c r="J265" t="s">
        <v>5240</v>
      </c>
    </row>
    <row r="266" spans="1:10" x14ac:dyDescent="0.2">
      <c r="A266" t="s">
        <v>1221</v>
      </c>
      <c r="B266" t="s">
        <v>1222</v>
      </c>
      <c r="C266" t="s">
        <v>25</v>
      </c>
      <c r="D266" t="s">
        <v>1224</v>
      </c>
      <c r="E266" t="str">
        <f>HYPERLINK("/pdf/2023_10_1109_fmec59375_2023_10305886_an_overview_of_using_of_artificial_intelligence_in_enhancing_security_and_privac.pdf","open")</f>
        <v>open</v>
      </c>
      <c r="F266" t="s">
        <v>5241</v>
      </c>
      <c r="G266" t="s">
        <v>5242</v>
      </c>
      <c r="H266" t="s">
        <v>5243</v>
      </c>
      <c r="I266" t="s">
        <v>5244</v>
      </c>
      <c r="J266" t="s">
        <v>5245</v>
      </c>
    </row>
    <row r="267" spans="1:10" x14ac:dyDescent="0.2">
      <c r="A267" t="s">
        <v>1226</v>
      </c>
      <c r="B267" t="s">
        <v>1227</v>
      </c>
      <c r="C267" t="s">
        <v>363</v>
      </c>
      <c r="D267" t="s">
        <v>1229</v>
      </c>
      <c r="E267" t="str">
        <f>HYPERLINK("/pdf/2016_10_13052_jcsm2245_1439_521_lazarus_data_leakage_with_pgp_and_resurrection_of_the_revoked_user.pdf","open")</f>
        <v>open</v>
      </c>
      <c r="F267" t="s">
        <v>5246</v>
      </c>
      <c r="G267" t="s">
        <v>5247</v>
      </c>
      <c r="H267" t="s">
        <v>5248</v>
      </c>
      <c r="I267" t="s">
        <v>148</v>
      </c>
      <c r="J267" t="s">
        <v>148</v>
      </c>
    </row>
    <row r="268" spans="1:10" x14ac:dyDescent="0.2">
      <c r="A268" t="s">
        <v>1231</v>
      </c>
      <c r="B268" t="s">
        <v>1232</v>
      </c>
      <c r="C268" t="s">
        <v>190</v>
      </c>
      <c r="D268" t="s">
        <v>1234</v>
      </c>
      <c r="E268" t="str">
        <f>HYPERLINK("/pdf/2017_10.1145_3171592.3171597_Network_behavioral_features_for_detecting_remote_access_trojans_in_the_early_stage.pdf","open")</f>
        <v>open</v>
      </c>
      <c r="F268" t="s">
        <v>5249</v>
      </c>
      <c r="G268" t="s">
        <v>5250</v>
      </c>
      <c r="H268" t="s">
        <v>5251</v>
      </c>
      <c r="I268" t="s">
        <v>5252</v>
      </c>
      <c r="J268" t="s">
        <v>5253</v>
      </c>
    </row>
    <row r="269" spans="1:10" x14ac:dyDescent="0.2">
      <c r="A269" t="s">
        <v>1236</v>
      </c>
      <c r="B269" t="s">
        <v>1237</v>
      </c>
      <c r="C269" t="s">
        <v>36</v>
      </c>
      <c r="D269" t="s">
        <v>1239</v>
      </c>
      <c r="E269" t="str">
        <f>HYPERLINK("/pdf/2021_10.1109_ent50460.2021.9681727_Specifics_of_Communication_Organization_and_Attacks_on_Medical_Cyber-physical_Devices.pdf","open")</f>
        <v>open</v>
      </c>
      <c r="F269" t="s">
        <v>5254</v>
      </c>
      <c r="G269" t="s">
        <v>5255</v>
      </c>
      <c r="H269" t="s">
        <v>5256</v>
      </c>
      <c r="I269" t="s">
        <v>148</v>
      </c>
      <c r="J269" t="s">
        <v>148</v>
      </c>
    </row>
    <row r="270" spans="1:10" x14ac:dyDescent="0.2">
      <c r="A270" t="s">
        <v>1241</v>
      </c>
      <c r="B270" t="s">
        <v>1043</v>
      </c>
      <c r="C270" t="s">
        <v>210</v>
      </c>
      <c r="D270" t="s">
        <v>148</v>
      </c>
      <c r="E270" t="str">
        <f>HYPERLINK("/pdf/2016_10.1109_ccst.2015.7389685_A_Digital_Triage_Forensics_framework_of_Window_malware_forensic_toolkit__Based_on_ISO_IEC_27037_2012.pdf","open")</f>
        <v>open</v>
      </c>
      <c r="F270" t="s">
        <v>5257</v>
      </c>
      <c r="G270" t="s">
        <v>5258</v>
      </c>
      <c r="H270" t="s">
        <v>5259</v>
      </c>
      <c r="I270" t="s">
        <v>5260</v>
      </c>
      <c r="J270" t="s">
        <v>5261</v>
      </c>
    </row>
    <row r="271" spans="1:10" x14ac:dyDescent="0.2">
      <c r="A271" t="s">
        <v>1243</v>
      </c>
      <c r="B271" t="s">
        <v>1244</v>
      </c>
      <c r="C271" t="s">
        <v>100</v>
      </c>
      <c r="D271" t="s">
        <v>148</v>
      </c>
      <c r="E271" t="str">
        <f>HYPERLINK("/pdf/2022_10.23919_apsipaasc55919.2022.9979923_A_Comparison_of_Feature_Selection_and_Feature_Extraction_in_Network_Intrusion_Detection_Systems.pdf","open")</f>
        <v>open</v>
      </c>
      <c r="F271" t="s">
        <v>5262</v>
      </c>
      <c r="G271" t="s">
        <v>5263</v>
      </c>
      <c r="H271" t="s">
        <v>5264</v>
      </c>
      <c r="I271" t="s">
        <v>5265</v>
      </c>
      <c r="J271" t="s">
        <v>5266</v>
      </c>
    </row>
    <row r="272" spans="1:10" x14ac:dyDescent="0.2">
      <c r="A272" t="s">
        <v>1247</v>
      </c>
      <c r="B272" t="s">
        <v>1248</v>
      </c>
      <c r="C272" t="s">
        <v>54</v>
      </c>
      <c r="D272" t="s">
        <v>1249</v>
      </c>
      <c r="E272" t="str">
        <f>HYPERLINK("/pdf/2020_10_1109_access_2020_2996214_a_machine_learning_security_framework_for_iot_systems.pdf","open")</f>
        <v>open</v>
      </c>
      <c r="F272" t="s">
        <v>5267</v>
      </c>
      <c r="G272" t="s">
        <v>5268</v>
      </c>
      <c r="H272" t="s">
        <v>5269</v>
      </c>
      <c r="I272" t="s">
        <v>5270</v>
      </c>
      <c r="J272" t="s">
        <v>5271</v>
      </c>
    </row>
    <row r="273" spans="1:10" x14ac:dyDescent="0.2">
      <c r="A273" t="s">
        <v>1251</v>
      </c>
      <c r="B273" t="s">
        <v>1252</v>
      </c>
      <c r="C273" t="s">
        <v>54</v>
      </c>
      <c r="D273" t="s">
        <v>1254</v>
      </c>
      <c r="E273" t="str">
        <f>HYPERLINK("/pdf/2020_10.1109_msn50589.2020.00060_Optimal_defense_strategy_against_evasion_attacks.pdf","open")</f>
        <v>open</v>
      </c>
      <c r="F273" t="s">
        <v>5272</v>
      </c>
      <c r="G273" t="s">
        <v>5273</v>
      </c>
      <c r="H273" t="s">
        <v>5274</v>
      </c>
      <c r="I273" t="s">
        <v>148</v>
      </c>
      <c r="J273" t="s">
        <v>5275</v>
      </c>
    </row>
    <row r="274" spans="1:10" x14ac:dyDescent="0.2">
      <c r="A274" t="s">
        <v>1256</v>
      </c>
      <c r="B274" t="s">
        <v>1257</v>
      </c>
      <c r="C274" t="s">
        <v>48</v>
      </c>
      <c r="D274" t="s">
        <v>1258</v>
      </c>
      <c r="E274" t="str">
        <f>HYPERLINK("/pdf/2026_10.1109_tcad.2025.3580649_Dynamic_Interposer_Obfuscation_Through_Distributed_Scramblers_in_Heterogeneously_Integrated_2.5D_ICs.pdf","open")</f>
        <v>open</v>
      </c>
      <c r="F274" t="s">
        <v>5276</v>
      </c>
      <c r="G274" t="s">
        <v>5277</v>
      </c>
      <c r="H274" t="s">
        <v>5278</v>
      </c>
      <c r="I274" t="s">
        <v>148</v>
      </c>
      <c r="J274" t="s">
        <v>148</v>
      </c>
    </row>
    <row r="275" spans="1:10" x14ac:dyDescent="0.2">
      <c r="A275" t="s">
        <v>1260</v>
      </c>
      <c r="B275" t="s">
        <v>1261</v>
      </c>
      <c r="C275" t="s">
        <v>25</v>
      </c>
      <c r="D275" t="s">
        <v>1263</v>
      </c>
      <c r="E275" t="str">
        <f>HYPERLINK("/pdf/2023_10.1109_rmkmate59243.2023.10369056_A_Survey_on_Cyber_Attack_Detection__Techniques,_Datasets,_and_Challenge.pdf","open")</f>
        <v>open</v>
      </c>
      <c r="F275" t="s">
        <v>5279</v>
      </c>
      <c r="G275" t="s">
        <v>5280</v>
      </c>
      <c r="H275" t="s">
        <v>5281</v>
      </c>
      <c r="I275" t="s">
        <v>5282</v>
      </c>
      <c r="J275" t="s">
        <v>5283</v>
      </c>
    </row>
    <row r="276" spans="1:10" x14ac:dyDescent="0.2">
      <c r="A276" t="s">
        <v>1265</v>
      </c>
      <c r="B276" t="s">
        <v>1266</v>
      </c>
      <c r="C276" t="s">
        <v>60</v>
      </c>
      <c r="D276" t="s">
        <v>1268</v>
      </c>
      <c r="E276" t="str">
        <f>HYPERLINK("/pdf/2024_10.1109_dcoss-iot61029.2024.00041_SAfER__Simplified_Auto-encoder_for_(Anomalous)_Event_Recognition.pdf","open")</f>
        <v>open</v>
      </c>
      <c r="F276" t="s">
        <v>5284</v>
      </c>
      <c r="G276" t="s">
        <v>5285</v>
      </c>
      <c r="H276" t="s">
        <v>5286</v>
      </c>
      <c r="I276" t="s">
        <v>5287</v>
      </c>
      <c r="J276" t="s">
        <v>5288</v>
      </c>
    </row>
    <row r="277" spans="1:10" x14ac:dyDescent="0.2">
      <c r="A277" t="s">
        <v>1270</v>
      </c>
      <c r="B277" t="s">
        <v>1271</v>
      </c>
      <c r="C277" t="s">
        <v>156</v>
      </c>
      <c r="D277" t="s">
        <v>1273</v>
      </c>
      <c r="E277" t="str">
        <f>HYPERLINK("/pdf/2013_10.1145_2484313.2484378_Horizon_extender__Long-term_preservation_of_data_leakage_evidence_in_web_traffic.pdf","open")</f>
        <v>open</v>
      </c>
      <c r="F277" t="s">
        <v>5289</v>
      </c>
      <c r="G277" t="s">
        <v>5290</v>
      </c>
      <c r="H277" t="s">
        <v>5291</v>
      </c>
      <c r="I277" t="s">
        <v>5292</v>
      </c>
      <c r="J277" t="s">
        <v>5293</v>
      </c>
    </row>
    <row r="278" spans="1:10" x14ac:dyDescent="0.2">
      <c r="A278" t="s">
        <v>1275</v>
      </c>
      <c r="B278" t="s">
        <v>314</v>
      </c>
      <c r="C278" t="s">
        <v>36</v>
      </c>
      <c r="D278" t="s">
        <v>316</v>
      </c>
      <c r="E278" t="str">
        <f>HYPERLINK("/pdf/2022_10_1080_0144929x_2021_1953597_the_relationship_between_online_political_participation_and_privacy_protection.pdf","open")</f>
        <v>open</v>
      </c>
      <c r="F278" t="s">
        <v>5294</v>
      </c>
      <c r="G278" t="s">
        <v>5295</v>
      </c>
      <c r="H278" t="s">
        <v>5296</v>
      </c>
      <c r="I278" t="s">
        <v>5297</v>
      </c>
      <c r="J278" t="s">
        <v>5298</v>
      </c>
    </row>
    <row r="279" spans="1:10" x14ac:dyDescent="0.2">
      <c r="A279" t="s">
        <v>1278</v>
      </c>
      <c r="B279" t="s">
        <v>1279</v>
      </c>
      <c r="C279" t="s">
        <v>60</v>
      </c>
      <c r="D279" t="s">
        <v>1280</v>
      </c>
      <c r="E279" t="str">
        <f>HYPERLINK("/pdf/2024_10_3390_jcp4020009_on_data_leakage_prevention_maturity_adapting_the_c2m2_framework.pdf","open")</f>
        <v>open</v>
      </c>
      <c r="F279" t="s">
        <v>5299</v>
      </c>
      <c r="G279" t="s">
        <v>5300</v>
      </c>
      <c r="H279" t="s">
        <v>5301</v>
      </c>
      <c r="I279" t="s">
        <v>148</v>
      </c>
      <c r="J279" t="s">
        <v>148</v>
      </c>
    </row>
    <row r="280" spans="1:10" x14ac:dyDescent="0.2">
      <c r="A280" t="s">
        <v>1282</v>
      </c>
      <c r="B280" t="s">
        <v>1283</v>
      </c>
      <c r="C280" t="s">
        <v>100</v>
      </c>
      <c r="D280" t="s">
        <v>1285</v>
      </c>
      <c r="E280" t="str">
        <f>HYPERLINK("/pdf/2022_10_17341_gazimmfd_641580_a_new_document_classification_algorithm_against_malicious_data_leakage_attacks_zararli_ya.pdf","open")</f>
        <v>open</v>
      </c>
      <c r="F280" t="s">
        <v>5302</v>
      </c>
      <c r="G280" t="s">
        <v>5303</v>
      </c>
      <c r="H280" t="s">
        <v>5304</v>
      </c>
      <c r="I280" t="s">
        <v>5305</v>
      </c>
      <c r="J280" t="s">
        <v>5306</v>
      </c>
    </row>
    <row r="281" spans="1:10" x14ac:dyDescent="0.2">
      <c r="A281" t="s">
        <v>1287</v>
      </c>
      <c r="B281" t="s">
        <v>1288</v>
      </c>
      <c r="C281" t="s">
        <v>48</v>
      </c>
      <c r="D281" t="s">
        <v>1290</v>
      </c>
      <c r="E281" t="str">
        <f>HYPERLINK("/pdf/2026_10.1109_tce.2026.3652563_QFedPhish__A_Quantum-Inspired_Federated_Learning_Approach_for_Detecting_AI-Generated_Phishing_Attacks.pdf","open")</f>
        <v>open</v>
      </c>
      <c r="F281" t="s">
        <v>5307</v>
      </c>
      <c r="G281" t="s">
        <v>5308</v>
      </c>
      <c r="H281" t="s">
        <v>5309</v>
      </c>
      <c r="I281" t="s">
        <v>5310</v>
      </c>
      <c r="J281" t="s">
        <v>5311</v>
      </c>
    </row>
    <row r="282" spans="1:10" x14ac:dyDescent="0.2">
      <c r="A282" t="s">
        <v>1292</v>
      </c>
      <c r="B282" t="s">
        <v>120</v>
      </c>
      <c r="C282" t="s">
        <v>19</v>
      </c>
      <c r="D282" t="s">
        <v>122</v>
      </c>
      <c r="E282" t="str">
        <f>HYPERLINK("/pdf/2025_10_14445_23488549_ijece_v12i10p115_qryptashield_quantum_inspired_feature_selection_and_rl_calibrated_federated_learning_for.pdf","open")</f>
        <v>open</v>
      </c>
      <c r="F282" t="s">
        <v>5312</v>
      </c>
      <c r="G282" t="s">
        <v>5313</v>
      </c>
      <c r="H282" t="s">
        <v>5314</v>
      </c>
      <c r="I282" t="s">
        <v>5315</v>
      </c>
      <c r="J282" t="s">
        <v>5316</v>
      </c>
    </row>
    <row r="283" spans="1:10" x14ac:dyDescent="0.2">
      <c r="A283" t="s">
        <v>1294</v>
      </c>
      <c r="B283" t="s">
        <v>1295</v>
      </c>
      <c r="C283" t="s">
        <v>25</v>
      </c>
      <c r="D283" t="s">
        <v>148</v>
      </c>
      <c r="E283" t="str">
        <f>HYPERLINK("/pdf/2024_10_1007_s10586_023_04089_5_machine_learning_based_intrusion_detection_feature_selection_versus_feature_extraction.pdf","open")</f>
        <v>open</v>
      </c>
      <c r="F283" t="s">
        <v>5317</v>
      </c>
      <c r="G283" t="s">
        <v>5318</v>
      </c>
      <c r="H283" t="s">
        <v>5319</v>
      </c>
      <c r="I283" t="s">
        <v>5320</v>
      </c>
      <c r="J283" t="s">
        <v>5321</v>
      </c>
    </row>
    <row r="284" spans="1:10" x14ac:dyDescent="0.2">
      <c r="A284" t="s">
        <v>1297</v>
      </c>
      <c r="B284" t="s">
        <v>680</v>
      </c>
      <c r="C284" t="s">
        <v>19</v>
      </c>
      <c r="D284" t="s">
        <v>682</v>
      </c>
      <c r="E284" t="str">
        <f>HYPERLINK("/pdf/2025_10_37934_araset_51_2_153176_detecting_wormhole_attack_in_environmental_monitoring_system_for_agriculture_using_deep_le.pdf","open")</f>
        <v>open</v>
      </c>
      <c r="F284" t="s">
        <v>5322</v>
      </c>
      <c r="G284" t="s">
        <v>5323</v>
      </c>
      <c r="H284" t="s">
        <v>5324</v>
      </c>
      <c r="I284" t="s">
        <v>5325</v>
      </c>
      <c r="J284" t="s">
        <v>5326</v>
      </c>
    </row>
    <row r="285" spans="1:10" x14ac:dyDescent="0.2">
      <c r="A285" t="s">
        <v>1299</v>
      </c>
      <c r="B285" t="s">
        <v>1118</v>
      </c>
      <c r="C285" t="s">
        <v>48</v>
      </c>
      <c r="D285" t="s">
        <v>1300</v>
      </c>
      <c r="E285" t="str">
        <f>HYPERLINK("/pdf/2026_10_30598_barekengvol20iss2pp1675_1692_a_comparative_study_of_pipeline_validated_machine_learning_classifiers_for_permi.pdf","open")</f>
        <v>open</v>
      </c>
      <c r="F285" t="s">
        <v>5327</v>
      </c>
      <c r="G285" t="s">
        <v>5328</v>
      </c>
      <c r="H285" t="s">
        <v>5329</v>
      </c>
      <c r="I285" t="s">
        <v>5330</v>
      </c>
      <c r="J285" t="s">
        <v>5331</v>
      </c>
    </row>
    <row r="286" spans="1:10" x14ac:dyDescent="0.2">
      <c r="A286" t="s">
        <v>1302</v>
      </c>
      <c r="B286" t="s">
        <v>1303</v>
      </c>
      <c r="C286" t="s">
        <v>60</v>
      </c>
      <c r="D286" t="s">
        <v>1302</v>
      </c>
      <c r="E286" t="str">
        <f>HYPERLINK("/pdf/2024_10.1145_3639821_TROP__TRust-aware_OPportunistic_Routing_in_NoC_with_Hardware_Trojans.pdf","open")</f>
        <v>open</v>
      </c>
      <c r="F286" t="s">
        <v>5332</v>
      </c>
      <c r="G286" t="s">
        <v>5333</v>
      </c>
      <c r="H286" t="s">
        <v>5334</v>
      </c>
      <c r="I286" t="s">
        <v>5335</v>
      </c>
      <c r="J286" t="s">
        <v>5336</v>
      </c>
    </row>
    <row r="287" spans="1:10" x14ac:dyDescent="0.2">
      <c r="A287" t="s">
        <v>1305</v>
      </c>
      <c r="B287" t="s">
        <v>1306</v>
      </c>
      <c r="C287" t="s">
        <v>19</v>
      </c>
      <c r="D287" t="s">
        <v>1307</v>
      </c>
      <c r="E287" t="str">
        <f>HYPERLINK("/pdf/2025_10.1109_iciccs65191.2025.10984918_Enhancing_Digital_Forensics_Security_Involves_the_Implementation_of_a_Robust_Storage_Framework_that_Employs_AE.pdf","open")</f>
        <v>open</v>
      </c>
      <c r="F287" t="s">
        <v>5337</v>
      </c>
      <c r="G287" t="s">
        <v>5338</v>
      </c>
      <c r="H287" t="s">
        <v>5339</v>
      </c>
      <c r="I287" t="s">
        <v>5340</v>
      </c>
      <c r="J287" t="s">
        <v>5341</v>
      </c>
    </row>
    <row r="288" spans="1:10" x14ac:dyDescent="0.2">
      <c r="A288" t="s">
        <v>1309</v>
      </c>
      <c r="B288" t="s">
        <v>719</v>
      </c>
      <c r="C288" t="s">
        <v>25</v>
      </c>
      <c r="D288" t="s">
        <v>721</v>
      </c>
      <c r="E288" t="str">
        <f>HYPERLINK("/pdf/2023_10.1109_ispa-bdcloud-socialcom-sustaincom59178.2023.00094_PE-FedAvg__A_Privacy-Enhanced_Federated_Learning_for_Distributed_Android_Malware_Detection.pdf","open")</f>
        <v>open</v>
      </c>
      <c r="F288" t="s">
        <v>5342</v>
      </c>
      <c r="G288" t="s">
        <v>5343</v>
      </c>
      <c r="H288" t="s">
        <v>5344</v>
      </c>
      <c r="I288" t="s">
        <v>5345</v>
      </c>
      <c r="J288" t="s">
        <v>5346</v>
      </c>
    </row>
    <row r="289" spans="1:10" x14ac:dyDescent="0.2">
      <c r="A289" t="s">
        <v>1312</v>
      </c>
      <c r="B289" t="s">
        <v>1313</v>
      </c>
      <c r="C289" t="s">
        <v>19</v>
      </c>
      <c r="D289" t="s">
        <v>1315</v>
      </c>
      <c r="E289" t="str">
        <f>HYPERLINK("/pdf/2025_10.1109_qpain66474.2025.11171834_Analyzing_Threats_in_Public_Wi-Fi__A_Study_of_Attack_Vectors,_Vulnerability_and_User_Awareness.pdf","open")</f>
        <v>open</v>
      </c>
      <c r="F289" t="s">
        <v>5347</v>
      </c>
      <c r="G289" t="s">
        <v>5348</v>
      </c>
      <c r="H289" t="s">
        <v>5349</v>
      </c>
      <c r="I289" t="s">
        <v>148</v>
      </c>
      <c r="J289" t="s">
        <v>148</v>
      </c>
    </row>
    <row r="290" spans="1:10" x14ac:dyDescent="0.2">
      <c r="B290" t="s">
        <v>1317</v>
      </c>
      <c r="C290" t="s">
        <v>36</v>
      </c>
      <c r="D290" t="s">
        <v>148</v>
      </c>
      <c r="E290" t="str">
        <f>HYPERLINK("/pdf/2021_10_1109_csr51186_2021_9527960_understanding_and_mitigating_banking_trojans_from_zeus_to_emotet.pdf","open")</f>
        <v>open</v>
      </c>
      <c r="F290" t="s">
        <v>5350</v>
      </c>
      <c r="G290" t="s">
        <v>5351</v>
      </c>
      <c r="H290" t="s">
        <v>5352</v>
      </c>
      <c r="I290" t="s">
        <v>5353</v>
      </c>
      <c r="J290" t="s">
        <v>5354</v>
      </c>
    </row>
    <row r="291" spans="1:10" x14ac:dyDescent="0.2">
      <c r="A291" t="s">
        <v>1320</v>
      </c>
      <c r="B291" t="s">
        <v>1321</v>
      </c>
      <c r="C291" t="s">
        <v>19</v>
      </c>
      <c r="D291" t="s">
        <v>1323</v>
      </c>
      <c r="E291" t="str">
        <f>HYPERLINK("/pdf/2025_10.1109_icoeca66273.2025.00049_Simulation,_Prevention_and_Mitigation_of_Ransomware,_DDOS_and_Advanced_Persistent_Threats.pdf","open")</f>
        <v>open</v>
      </c>
      <c r="F291" t="s">
        <v>5355</v>
      </c>
      <c r="G291" t="s">
        <v>5356</v>
      </c>
      <c r="H291" t="s">
        <v>5357</v>
      </c>
      <c r="I291" t="s">
        <v>5358</v>
      </c>
      <c r="J291" t="s">
        <v>5359</v>
      </c>
    </row>
    <row r="292" spans="1:10" x14ac:dyDescent="0.2">
      <c r="A292" t="s">
        <v>1325</v>
      </c>
      <c r="B292" t="s">
        <v>1326</v>
      </c>
      <c r="C292" t="s">
        <v>19</v>
      </c>
      <c r="D292" t="s">
        <v>1328</v>
      </c>
      <c r="E292" t="str">
        <f>HYPERLINK("/pdf/2025_10_3390_jcp5040095_ai_augmented_soc_a_survey_of_llms_and_agents_for_security_automation.pdf","open")</f>
        <v>open</v>
      </c>
      <c r="F292" t="s">
        <v>5360</v>
      </c>
      <c r="G292" t="s">
        <v>5361</v>
      </c>
      <c r="H292" t="s">
        <v>5362</v>
      </c>
      <c r="I292" t="s">
        <v>5363</v>
      </c>
      <c r="J292" t="s">
        <v>5364</v>
      </c>
    </row>
    <row r="293" spans="1:10" x14ac:dyDescent="0.2">
      <c r="A293" t="s">
        <v>1330</v>
      </c>
      <c r="B293" t="s">
        <v>1331</v>
      </c>
      <c r="C293" t="s">
        <v>25</v>
      </c>
      <c r="D293" t="s">
        <v>1333</v>
      </c>
      <c r="E293" t="str">
        <f>HYPERLINK("/pdf/2023_10.1109_icpics58376.2023.10235404_Detection_of_Data_Leakage_Based_on_DNS_Traffic.pdf","open")</f>
        <v>open</v>
      </c>
      <c r="F293" t="s">
        <v>5365</v>
      </c>
      <c r="G293" t="s">
        <v>5366</v>
      </c>
      <c r="H293" t="s">
        <v>5367</v>
      </c>
      <c r="I293" t="s">
        <v>5368</v>
      </c>
      <c r="J293" t="s">
        <v>5369</v>
      </c>
    </row>
    <row r="294" spans="1:10" x14ac:dyDescent="0.2">
      <c r="A294" t="s">
        <v>1335</v>
      </c>
      <c r="B294" t="s">
        <v>1336</v>
      </c>
      <c r="C294" t="s">
        <v>190</v>
      </c>
      <c r="D294" t="s">
        <v>1338</v>
      </c>
      <c r="E294" t="str">
        <f>HYPERLINK("/pdf/2017_10.5220_0006195803800388_Enhancing_accuracy_of_android_malware_detection_using_intent_instrumentation.pdf","open")</f>
        <v>open</v>
      </c>
      <c r="F294" t="s">
        <v>5370</v>
      </c>
      <c r="G294" t="s">
        <v>5371</v>
      </c>
      <c r="H294" t="s">
        <v>5372</v>
      </c>
      <c r="I294" t="s">
        <v>5373</v>
      </c>
      <c r="J294" t="s">
        <v>5374</v>
      </c>
    </row>
    <row r="295" spans="1:10" x14ac:dyDescent="0.2">
      <c r="A295" t="s">
        <v>1340</v>
      </c>
      <c r="B295" t="s">
        <v>1341</v>
      </c>
      <c r="C295" t="s">
        <v>19</v>
      </c>
      <c r="D295" t="s">
        <v>1343</v>
      </c>
      <c r="E295" t="str">
        <f>HYPERLINK("/pdf/2025_10.1007_978-981-96-2468-3_63_An_Approach_for_Malware_Classification_via_API_Call_Extraction_from_Disassembly_Code.pdf","open")</f>
        <v>open</v>
      </c>
      <c r="F295" t="s">
        <v>5375</v>
      </c>
      <c r="G295" t="s">
        <v>5376</v>
      </c>
      <c r="H295" t="s">
        <v>5377</v>
      </c>
      <c r="I295" t="s">
        <v>5378</v>
      </c>
      <c r="J295" t="s">
        <v>5379</v>
      </c>
    </row>
    <row r="296" spans="1:10" x14ac:dyDescent="0.2">
      <c r="A296" t="s">
        <v>1345</v>
      </c>
      <c r="B296" t="s">
        <v>1346</v>
      </c>
      <c r="C296" t="s">
        <v>12</v>
      </c>
      <c r="D296" t="s">
        <v>1347</v>
      </c>
      <c r="E296" t="str">
        <f>HYPERLINK("/pdf/2018_10_11591_ijece_v8i4_pp2247_2253_a_survey_data_leakage_detection_techniques.pdf","open")</f>
        <v>open</v>
      </c>
      <c r="F296" t="s">
        <v>5380</v>
      </c>
      <c r="G296" t="s">
        <v>5381</v>
      </c>
      <c r="H296" t="s">
        <v>5382</v>
      </c>
      <c r="I296" t="s">
        <v>5383</v>
      </c>
      <c r="J296" t="s">
        <v>5384</v>
      </c>
    </row>
    <row r="297" spans="1:10" x14ac:dyDescent="0.2">
      <c r="A297" t="s">
        <v>1349</v>
      </c>
      <c r="B297" t="s">
        <v>1350</v>
      </c>
      <c r="C297" t="s">
        <v>100</v>
      </c>
      <c r="D297" t="s">
        <v>148</v>
      </c>
      <c r="E297" t="str">
        <f>HYPERLINK("/pdf/2023_10_1109_tdsc_2022_3179698_blockchain_based_transparency_framework_for_privacy_preserving_third_party_services.pdf","open")</f>
        <v>open</v>
      </c>
      <c r="F297" t="s">
        <v>5385</v>
      </c>
      <c r="G297" t="s">
        <v>5386</v>
      </c>
      <c r="H297" t="s">
        <v>5387</v>
      </c>
      <c r="I297" t="s">
        <v>148</v>
      </c>
      <c r="J297" t="s">
        <v>5388</v>
      </c>
    </row>
    <row r="298" spans="1:10" x14ac:dyDescent="0.2">
      <c r="A298" t="s">
        <v>1352</v>
      </c>
      <c r="B298" t="s">
        <v>79</v>
      </c>
      <c r="C298" t="s">
        <v>19</v>
      </c>
      <c r="D298" t="s">
        <v>81</v>
      </c>
      <c r="E298" t="str">
        <f>HYPERLINK("/pdf/2025_10_26583_sv_17_5_11_performance_comparison_of_various_software_tools_in_photogrammetry_based_digitization_and.pdf","open")</f>
        <v>open</v>
      </c>
      <c r="F298" t="s">
        <v>5389</v>
      </c>
      <c r="G298" t="s">
        <v>5390</v>
      </c>
      <c r="H298" t="s">
        <v>5391</v>
      </c>
      <c r="I298" t="s">
        <v>148</v>
      </c>
      <c r="J298" t="s">
        <v>148</v>
      </c>
    </row>
    <row r="299" spans="1:10" x14ac:dyDescent="0.2">
      <c r="A299" t="s">
        <v>1354</v>
      </c>
      <c r="B299" t="s">
        <v>1341</v>
      </c>
      <c r="C299" t="s">
        <v>19</v>
      </c>
      <c r="D299" t="s">
        <v>1343</v>
      </c>
      <c r="E299" t="str">
        <f>HYPERLINK("/pdf/2025_10.1109_idciot64235.2025.10914826_Artificial_Intelligence_to_Enhance_the_Security_of_Internet_of_Things__A_Comprehensive_Review.pdf","open")</f>
        <v>open</v>
      </c>
      <c r="F299" t="s">
        <v>5392</v>
      </c>
      <c r="G299" t="s">
        <v>5393</v>
      </c>
      <c r="H299" t="s">
        <v>5394</v>
      </c>
      <c r="I299" t="s">
        <v>148</v>
      </c>
      <c r="J299" t="s">
        <v>148</v>
      </c>
    </row>
    <row r="300" spans="1:10" x14ac:dyDescent="0.2">
      <c r="A300" t="s">
        <v>1357</v>
      </c>
      <c r="B300" t="s">
        <v>1358</v>
      </c>
      <c r="C300" t="s">
        <v>19</v>
      </c>
      <c r="D300" t="s">
        <v>1359</v>
      </c>
      <c r="E300" t="str">
        <f>HYPERLINK("/pdf/2025_10_14445_23488549_ijece_v12i8p111_real_time_intrusion_detection_using_adaptive_sliding_windows_for_concept_drift.pdf","open")</f>
        <v>open</v>
      </c>
      <c r="F300" t="s">
        <v>5395</v>
      </c>
      <c r="G300" t="s">
        <v>5396</v>
      </c>
      <c r="H300" t="s">
        <v>5397</v>
      </c>
      <c r="I300" t="s">
        <v>5398</v>
      </c>
      <c r="J300" t="s">
        <v>5399</v>
      </c>
    </row>
    <row r="301" spans="1:10" x14ac:dyDescent="0.2">
      <c r="A301" t="s">
        <v>1361</v>
      </c>
      <c r="B301" t="s">
        <v>1362</v>
      </c>
      <c r="C301" t="s">
        <v>54</v>
      </c>
      <c r="D301" t="s">
        <v>148</v>
      </c>
      <c r="E301" t="str">
        <f>HYPERLINK("/pdf/2020_10_14569_ijacsa_2020_0111183_plusapps_towards_a_privacy_risk_analysis_for_android_plus_applications.pdf","open")</f>
        <v>open</v>
      </c>
      <c r="F301" t="s">
        <v>5400</v>
      </c>
      <c r="G301" t="s">
        <v>5401</v>
      </c>
      <c r="H301" t="s">
        <v>5402</v>
      </c>
      <c r="I301" t="s">
        <v>5403</v>
      </c>
      <c r="J301" t="s">
        <v>5404</v>
      </c>
    </row>
    <row r="302" spans="1:10" x14ac:dyDescent="0.2">
      <c r="A302" t="s">
        <v>1365</v>
      </c>
      <c r="B302" t="s">
        <v>1366</v>
      </c>
      <c r="C302" t="s">
        <v>60</v>
      </c>
      <c r="D302" t="s">
        <v>1367</v>
      </c>
      <c r="E302" t="str">
        <f>HYPERLINK("/pdf/2024_10.1016_j.neucom.2024.128010_A_review_of_deep_learning_based_malware_detection_techniques.pdf","open")</f>
        <v>open</v>
      </c>
      <c r="F302" t="s">
        <v>5405</v>
      </c>
      <c r="G302" t="s">
        <v>5406</v>
      </c>
      <c r="H302" t="s">
        <v>5407</v>
      </c>
      <c r="I302" t="s">
        <v>5408</v>
      </c>
      <c r="J302" t="s">
        <v>5409</v>
      </c>
    </row>
    <row r="303" spans="1:10" x14ac:dyDescent="0.2">
      <c r="A303" t="s">
        <v>1369</v>
      </c>
      <c r="B303" t="s">
        <v>1370</v>
      </c>
      <c r="C303" t="s">
        <v>19</v>
      </c>
      <c r="D303" t="s">
        <v>1371</v>
      </c>
      <c r="E303" t="str">
        <f>HYPERLINK("/pdf/2025_10.1007_s13198-025-03002-0_Artificial_intelligence_big_data_optimization_and_network_security_promote_rural_infrastructure_investment_dec.pdf","open")</f>
        <v>open</v>
      </c>
      <c r="F303" t="s">
        <v>5410</v>
      </c>
      <c r="G303" t="s">
        <v>5411</v>
      </c>
      <c r="H303" t="s">
        <v>5412</v>
      </c>
      <c r="I303" t="s">
        <v>5413</v>
      </c>
      <c r="J303" t="s">
        <v>5414</v>
      </c>
    </row>
    <row r="304" spans="1:10" x14ac:dyDescent="0.2">
      <c r="A304" t="s">
        <v>1373</v>
      </c>
      <c r="B304" t="s">
        <v>1374</v>
      </c>
      <c r="C304" t="s">
        <v>19</v>
      </c>
      <c r="D304" t="s">
        <v>1376</v>
      </c>
      <c r="E304" t="str">
        <f>HYPERLINK("/pdf/2025_10.1109_dapic66097.2025.00172_Design_of_Artificial_Intelligence_Aided_Network_Intrusion_Detection_System_for_Critical_Infrastructure.pdf.pdf","open")</f>
        <v>open</v>
      </c>
      <c r="F304" t="s">
        <v>5415</v>
      </c>
      <c r="G304" t="s">
        <v>5416</v>
      </c>
      <c r="H304" t="s">
        <v>5417</v>
      </c>
      <c r="I304" t="s">
        <v>5418</v>
      </c>
      <c r="J304" t="s">
        <v>5419</v>
      </c>
    </row>
    <row r="305" spans="1:10" x14ac:dyDescent="0.2">
      <c r="A305" t="s">
        <v>1378</v>
      </c>
      <c r="B305" t="s">
        <v>1379</v>
      </c>
      <c r="C305" t="s">
        <v>60</v>
      </c>
      <c r="D305" t="s">
        <v>148</v>
      </c>
      <c r="E305" t="str">
        <f>HYPERLINK("/pdf/2024_10_14569_ijacsa_2024_0150281_prominent_security_vulnerabilities_in_cloud_computing.pdf","open")</f>
        <v>open</v>
      </c>
      <c r="F305" t="s">
        <v>5420</v>
      </c>
      <c r="G305" t="s">
        <v>5421</v>
      </c>
      <c r="H305" t="s">
        <v>5422</v>
      </c>
      <c r="I305" t="s">
        <v>148</v>
      </c>
      <c r="J305" t="s">
        <v>148</v>
      </c>
    </row>
    <row r="306" spans="1:10" x14ac:dyDescent="0.2">
      <c r="A306" t="s">
        <v>1381</v>
      </c>
      <c r="B306" t="s">
        <v>1382</v>
      </c>
      <c r="C306" t="s">
        <v>36</v>
      </c>
      <c r="D306" t="s">
        <v>1384</v>
      </c>
      <c r="E306" t="str">
        <f>HYPERLINK("/pdf/2021_10.1109_icsc53193.2021.9673380_Detection_of_Tunneling_in_DNS_over_HTTPS.pdf","open")</f>
        <v>open</v>
      </c>
      <c r="F306" t="s">
        <v>5423</v>
      </c>
      <c r="G306" t="s">
        <v>5424</v>
      </c>
      <c r="H306" t="s">
        <v>5425</v>
      </c>
      <c r="I306" t="s">
        <v>5426</v>
      </c>
      <c r="J306" t="s">
        <v>5427</v>
      </c>
    </row>
    <row r="307" spans="1:10" x14ac:dyDescent="0.2">
      <c r="A307" t="s">
        <v>1386</v>
      </c>
      <c r="B307" t="s">
        <v>1387</v>
      </c>
      <c r="C307" t="s">
        <v>100</v>
      </c>
      <c r="D307" t="s">
        <v>1389</v>
      </c>
      <c r="E307" t="str">
        <f>HYPERLINK("/pdf/2022_10.1109_icecet55527.2022.9872999_Data_Privacy_on_using_Four_Models-_A_Review.pdf","open")</f>
        <v>open</v>
      </c>
      <c r="F307" t="s">
        <v>5428</v>
      </c>
      <c r="G307" t="s">
        <v>5429</v>
      </c>
      <c r="H307" t="s">
        <v>5430</v>
      </c>
      <c r="I307" t="s">
        <v>148</v>
      </c>
      <c r="J307" t="s">
        <v>148</v>
      </c>
    </row>
    <row r="308" spans="1:10" x14ac:dyDescent="0.2">
      <c r="A308" t="s">
        <v>1391</v>
      </c>
      <c r="B308" t="s">
        <v>1392</v>
      </c>
      <c r="C308" t="s">
        <v>156</v>
      </c>
      <c r="D308" t="s">
        <v>148</v>
      </c>
      <c r="E308" t="str">
        <f>HYPERLINK("/pdf/2013_10.1109_ijcnn.2013.6706768_Concept_drift_detection_for_online_class_imbalance_learning.pdf","open")</f>
        <v>open</v>
      </c>
      <c r="F308" t="s">
        <v>5431</v>
      </c>
      <c r="G308" t="s">
        <v>5432</v>
      </c>
      <c r="H308" t="s">
        <v>5433</v>
      </c>
      <c r="I308" t="s">
        <v>5434</v>
      </c>
      <c r="J308" t="s">
        <v>5435</v>
      </c>
    </row>
    <row r="309" spans="1:10" x14ac:dyDescent="0.2">
      <c r="A309" t="s">
        <v>1394</v>
      </c>
      <c r="B309" t="s">
        <v>1395</v>
      </c>
      <c r="C309" t="s">
        <v>19</v>
      </c>
      <c r="D309" t="s">
        <v>1397</v>
      </c>
      <c r="E309" t="str">
        <f>HYPERLINK("/pdf/2025_10.1016_j.csa.2025.100098_Leveraging_federated_learning_for_DoS_attack_detection_in_IoT_networks_based_on_ensemble_feature_selection_and.pdf","open")</f>
        <v>open</v>
      </c>
      <c r="F309" t="s">
        <v>5436</v>
      </c>
      <c r="G309" t="s">
        <v>5437</v>
      </c>
      <c r="H309" t="s">
        <v>5438</v>
      </c>
      <c r="I309" t="s">
        <v>5439</v>
      </c>
      <c r="J309" t="s">
        <v>5440</v>
      </c>
    </row>
    <row r="310" spans="1:10" x14ac:dyDescent="0.2">
      <c r="A310" t="s">
        <v>1399</v>
      </c>
      <c r="B310" t="s">
        <v>1400</v>
      </c>
      <c r="C310" t="s">
        <v>48</v>
      </c>
      <c r="D310" t="s">
        <v>1401</v>
      </c>
      <c r="E310" t="str">
        <f>HYPERLINK("/pdf/2026_10.32604_cmc.2025.069102_LightweightMulti-Agent_edge_framework_for_cybersecurity_and_resource_optimization_inmobile_sensor_networks.pdf","open")</f>
        <v>open</v>
      </c>
      <c r="F310" t="s">
        <v>5441</v>
      </c>
      <c r="G310" t="s">
        <v>5442</v>
      </c>
      <c r="H310" t="s">
        <v>5443</v>
      </c>
      <c r="I310" t="s">
        <v>5444</v>
      </c>
      <c r="J310" t="s">
        <v>5445</v>
      </c>
    </row>
    <row r="311" spans="1:10" x14ac:dyDescent="0.2">
      <c r="A311" t="s">
        <v>1403</v>
      </c>
      <c r="B311" t="s">
        <v>1350</v>
      </c>
      <c r="C311" t="s">
        <v>100</v>
      </c>
      <c r="D311" t="s">
        <v>148</v>
      </c>
      <c r="E311" t="str">
        <f>HYPERLINK("/pdf/2023_10_1109_tdsc_2022_3179698_blockchain_based_transparency_framework_for_privacy_preserving_third_party_servi.pdf","open")</f>
        <v>open</v>
      </c>
      <c r="F311" t="s">
        <v>5446</v>
      </c>
      <c r="G311" t="s">
        <v>5447</v>
      </c>
      <c r="H311" t="s">
        <v>5448</v>
      </c>
      <c r="I311" t="s">
        <v>5449</v>
      </c>
      <c r="J311" t="s">
        <v>5450</v>
      </c>
    </row>
    <row r="312" spans="1:10" x14ac:dyDescent="0.2">
      <c r="A312" t="s">
        <v>1405</v>
      </c>
      <c r="B312" t="s">
        <v>1406</v>
      </c>
      <c r="C312" t="s">
        <v>19</v>
      </c>
      <c r="D312" t="s">
        <v>1408</v>
      </c>
      <c r="E312" t="str">
        <f>HYPERLINK("/pdf/2025_10.18196_jrc.v6i1.24529_A_Customized_Temporal_Federated_Learning_Through_Adversarial_Networks_for_Cyber_Attack_Detection_in_IoT.pdf","open")</f>
        <v>open</v>
      </c>
      <c r="F312" t="s">
        <v>5451</v>
      </c>
      <c r="G312" t="s">
        <v>5452</v>
      </c>
      <c r="H312" t="s">
        <v>5453</v>
      </c>
      <c r="I312" t="s">
        <v>5454</v>
      </c>
      <c r="J312" t="s">
        <v>5455</v>
      </c>
    </row>
    <row r="313" spans="1:10" x14ac:dyDescent="0.2">
      <c r="A313" t="s">
        <v>1410</v>
      </c>
      <c r="B313" t="s">
        <v>1411</v>
      </c>
      <c r="C313" t="s">
        <v>12</v>
      </c>
      <c r="D313" t="s">
        <v>1412</v>
      </c>
      <c r="E313" t="str">
        <f>HYPERLINK("/pdf/2018_10_1109_noms_2018_8406153_generation_of_sdn_policies_for_protecting_android_environments_based_on_automata_learning.pdf","open")</f>
        <v>open</v>
      </c>
      <c r="F313" t="s">
        <v>5456</v>
      </c>
      <c r="G313" t="s">
        <v>5457</v>
      </c>
      <c r="H313" t="s">
        <v>5458</v>
      </c>
      <c r="I313" t="s">
        <v>5459</v>
      </c>
      <c r="J313" t="s">
        <v>5460</v>
      </c>
    </row>
    <row r="314" spans="1:10" x14ac:dyDescent="0.2">
      <c r="A314" t="s">
        <v>1414</v>
      </c>
      <c r="B314" t="s">
        <v>1415</v>
      </c>
      <c r="C314" t="s">
        <v>60</v>
      </c>
      <c r="D314" t="s">
        <v>1417</v>
      </c>
      <c r="E314" t="str">
        <f>HYPERLINK("/pdf/2024_10.17770_etr2024vol2.8045_Data_Leakage_Prevention_and_Detection_in_Digital_Configurations__А_Survey.pdf","open")</f>
        <v>open</v>
      </c>
      <c r="F314" t="s">
        <v>5461</v>
      </c>
      <c r="G314" t="s">
        <v>5462</v>
      </c>
      <c r="H314" t="s">
        <v>5463</v>
      </c>
      <c r="I314" t="s">
        <v>148</v>
      </c>
      <c r="J314" t="s">
        <v>148</v>
      </c>
    </row>
    <row r="315" spans="1:10" x14ac:dyDescent="0.2">
      <c r="A315" t="s">
        <v>1419</v>
      </c>
      <c r="B315" t="s">
        <v>1420</v>
      </c>
      <c r="C315" t="s">
        <v>48</v>
      </c>
      <c r="D315" t="s">
        <v>1422</v>
      </c>
      <c r="E315" t="str">
        <f>HYPERLINK("/pdf/2026_10.1109_emr.2026.3661608_Cognitive_Security_Risks_and_Countermeasures_of_Generative_Artificial_Intelligence_in_Education_Management.pdf","open")</f>
        <v>open</v>
      </c>
      <c r="F315" t="s">
        <v>5464</v>
      </c>
      <c r="G315" t="s">
        <v>5465</v>
      </c>
      <c r="H315" t="s">
        <v>5466</v>
      </c>
      <c r="I315" t="s">
        <v>5467</v>
      </c>
      <c r="J315" t="s">
        <v>5468</v>
      </c>
    </row>
    <row r="316" spans="1:10" x14ac:dyDescent="0.2">
      <c r="A316" t="s">
        <v>998</v>
      </c>
      <c r="B316" t="s">
        <v>999</v>
      </c>
      <c r="C316" t="s">
        <v>19</v>
      </c>
      <c r="D316" t="s">
        <v>1424</v>
      </c>
      <c r="E316" t="str">
        <f>HYPERLINK("/pdf/2025_10_1038_s41598_025_89794_4_revolutionary_hybrid_ensembled_deep_learning_model_for_accurate_and_robust_side_channel_at.pdf","open")</f>
        <v>open</v>
      </c>
      <c r="F316" t="s">
        <v>5469</v>
      </c>
      <c r="G316" t="s">
        <v>5470</v>
      </c>
      <c r="H316" t="s">
        <v>5471</v>
      </c>
      <c r="I316" t="s">
        <v>5472</v>
      </c>
      <c r="J316" t="s">
        <v>5473</v>
      </c>
    </row>
    <row r="317" spans="1:10" x14ac:dyDescent="0.2">
      <c r="A317" t="s">
        <v>1426</v>
      </c>
      <c r="B317" t="s">
        <v>1427</v>
      </c>
      <c r="C317" t="s">
        <v>25</v>
      </c>
      <c r="D317" t="s">
        <v>1429</v>
      </c>
      <c r="E317" t="str">
        <f>HYPERLINK("/pdf/2023_10.1109_powercon58120.2023.10331301_Risk_Model_and_Defense_Strategy_for_Operation_and_Maintenance_of_Remote_Terminal_Units_in_Distribution_System.pdf","open")</f>
        <v>open</v>
      </c>
      <c r="F317" t="s">
        <v>5474</v>
      </c>
      <c r="G317" t="s">
        <v>5475</v>
      </c>
      <c r="H317" t="s">
        <v>5476</v>
      </c>
      <c r="I317" t="s">
        <v>5477</v>
      </c>
      <c r="J317" t="s">
        <v>5478</v>
      </c>
    </row>
    <row r="318" spans="1:10" x14ac:dyDescent="0.2">
      <c r="A318" t="s">
        <v>1431</v>
      </c>
      <c r="B318" t="s">
        <v>1432</v>
      </c>
      <c r="C318" t="s">
        <v>19</v>
      </c>
      <c r="D318" t="s">
        <v>1434</v>
      </c>
      <c r="E318" t="str">
        <f>HYPERLINK("/pdf/2025_10.1109_aiotc66747.2025.11198781_Controller_Area_Network_Bus_Intrusion_Detection_Classification_Model_Based_on_Multimodal_Fusion_Mechanism.pdf","open")</f>
        <v>open</v>
      </c>
      <c r="F318" t="s">
        <v>5479</v>
      </c>
      <c r="G318" t="s">
        <v>5480</v>
      </c>
      <c r="H318" t="s">
        <v>5481</v>
      </c>
      <c r="I318" t="s">
        <v>5482</v>
      </c>
      <c r="J318" t="s">
        <v>5483</v>
      </c>
    </row>
    <row r="319" spans="1:10" x14ac:dyDescent="0.2">
      <c r="A319" t="s">
        <v>1436</v>
      </c>
      <c r="B319" t="s">
        <v>1437</v>
      </c>
      <c r="C319" t="s">
        <v>19</v>
      </c>
      <c r="D319" t="s">
        <v>1436</v>
      </c>
      <c r="E319" t="str">
        <f>HYPERLINK("/pdf/2025_10.1109_iceic64972.2025.10879716_A_Study_on_the_Evaluation_of_Cyber_Security_Vulnerabilities_in_Medical_Software.pdf","open")</f>
        <v>open</v>
      </c>
      <c r="F319" t="s">
        <v>5484</v>
      </c>
      <c r="G319" t="s">
        <v>5485</v>
      </c>
      <c r="H319" t="s">
        <v>5486</v>
      </c>
      <c r="I319" t="s">
        <v>148</v>
      </c>
      <c r="J319" t="s">
        <v>148</v>
      </c>
    </row>
    <row r="320" spans="1:10" x14ac:dyDescent="0.2">
      <c r="A320" t="s">
        <v>1440</v>
      </c>
      <c r="B320" t="s">
        <v>1441</v>
      </c>
      <c r="C320" t="s">
        <v>19</v>
      </c>
      <c r="D320" t="s">
        <v>1443</v>
      </c>
      <c r="E320" t="str">
        <f>HYPERLINK("/pdf/2025_10.1007_s10489-025-06417-1_A_reinforcement_learning_malware_detection_model_based_on_heterogeneous_information_network_path_representatio.pdf","open")</f>
        <v>open</v>
      </c>
      <c r="F320" t="s">
        <v>5487</v>
      </c>
      <c r="G320" t="s">
        <v>5488</v>
      </c>
      <c r="H320" t="s">
        <v>5489</v>
      </c>
      <c r="I320" t="s">
        <v>5490</v>
      </c>
      <c r="J320" t="s">
        <v>5491</v>
      </c>
    </row>
    <row r="321" spans="1:10" x14ac:dyDescent="0.2">
      <c r="A321" t="s">
        <v>1445</v>
      </c>
      <c r="B321" t="s">
        <v>1446</v>
      </c>
      <c r="C321" t="s">
        <v>25</v>
      </c>
      <c r="D321" t="s">
        <v>1448</v>
      </c>
      <c r="E321" t="str">
        <f>HYPERLINK("/pdf/2023_10.1109_icecs58634.2023.10382763_FPGA_Based_Intelligent_Hardware_Trojan_Design_and_its_SoC_Implementation.pdf","open")</f>
        <v>open</v>
      </c>
      <c r="F321" t="s">
        <v>5492</v>
      </c>
      <c r="G321" t="s">
        <v>5493</v>
      </c>
      <c r="H321" t="s">
        <v>5494</v>
      </c>
      <c r="I321" t="s">
        <v>5495</v>
      </c>
      <c r="J321" t="s">
        <v>5496</v>
      </c>
    </row>
    <row r="322" spans="1:10" x14ac:dyDescent="0.2">
      <c r="A322" t="s">
        <v>1450</v>
      </c>
      <c r="B322" t="s">
        <v>1451</v>
      </c>
      <c r="C322" t="s">
        <v>60</v>
      </c>
      <c r="D322" t="s">
        <v>1453</v>
      </c>
      <c r="E322" t="str">
        <f>HYPERLINK("/pdf/2024_10.1109_peeec63877.2024.00092_Research_and_Implementation_of_Intelligent_Security_Protection_Algorithm_for_5G_Communication.pdf","open")</f>
        <v>open</v>
      </c>
      <c r="F322" t="s">
        <v>5497</v>
      </c>
      <c r="G322" t="s">
        <v>5498</v>
      </c>
      <c r="H322" t="s">
        <v>5499</v>
      </c>
      <c r="I322" t="s">
        <v>5500</v>
      </c>
      <c r="J322" t="s">
        <v>5501</v>
      </c>
    </row>
    <row r="323" spans="1:10" x14ac:dyDescent="0.2">
      <c r="A323" t="s">
        <v>1455</v>
      </c>
      <c r="B323" t="s">
        <v>743</v>
      </c>
      <c r="C323" t="s">
        <v>60</v>
      </c>
      <c r="D323" t="s">
        <v>148</v>
      </c>
      <c r="E323" t="str">
        <f>HYPERLINK("/pdf/2024_10.19363_j.cnki.cn10-1380_tn.2024.01.06_Web_Attack_Detection_Method_Based_on_Stacking_Fusion_Model;_基于_Stacking_融合模型的_Web_攻击检测方法.pdf","open")</f>
        <v>open</v>
      </c>
      <c r="F323" t="s">
        <v>5502</v>
      </c>
      <c r="G323" t="s">
        <v>5503</v>
      </c>
      <c r="H323" t="s">
        <v>5504</v>
      </c>
      <c r="I323" t="s">
        <v>148</v>
      </c>
      <c r="J323" t="s">
        <v>5505</v>
      </c>
    </row>
    <row r="324" spans="1:10" x14ac:dyDescent="0.2">
      <c r="A324" t="s">
        <v>1457</v>
      </c>
      <c r="B324" t="s">
        <v>1458</v>
      </c>
      <c r="C324" t="s">
        <v>19</v>
      </c>
      <c r="D324" t="s">
        <v>1460</v>
      </c>
      <c r="E324" t="str">
        <f>HYPERLINK("/pdf/2025_10.1109_ijcnn64981.2025.11228082_An_Integrated_Approach_to_Mitigate_Poisoning_Attacks_in_Federated_Learning_Frameworks.pdf","open")</f>
        <v>open</v>
      </c>
      <c r="F324" t="s">
        <v>5506</v>
      </c>
      <c r="G324" t="s">
        <v>5507</v>
      </c>
      <c r="H324" t="s">
        <v>5508</v>
      </c>
      <c r="I324" t="s">
        <v>5509</v>
      </c>
      <c r="J324" t="s">
        <v>5510</v>
      </c>
    </row>
    <row r="325" spans="1:10" x14ac:dyDescent="0.2">
      <c r="A325" t="s">
        <v>1462</v>
      </c>
      <c r="B325" t="s">
        <v>1463</v>
      </c>
      <c r="C325" t="s">
        <v>136</v>
      </c>
      <c r="D325" t="s">
        <v>148</v>
      </c>
      <c r="E325" t="str">
        <f>HYPERLINK("/pdf/2020_10.1007_978-3-030-15160-7_68_Information_Security_of_Mobile_Systems.pdf","open")</f>
        <v>open</v>
      </c>
      <c r="F325" t="s">
        <v>5511</v>
      </c>
      <c r="G325" t="s">
        <v>5512</v>
      </c>
      <c r="H325" t="s">
        <v>5513</v>
      </c>
      <c r="I325" t="s">
        <v>5514</v>
      </c>
      <c r="J325" t="s">
        <v>5515</v>
      </c>
    </row>
    <row r="326" spans="1:10" x14ac:dyDescent="0.2">
      <c r="A326" t="s">
        <v>1465</v>
      </c>
      <c r="B326" t="s">
        <v>1466</v>
      </c>
      <c r="C326" t="s">
        <v>25</v>
      </c>
      <c r="D326" t="s">
        <v>1468</v>
      </c>
      <c r="E326" t="str">
        <f>HYPERLINK("/pdf/2023_10.1109_icodsa58501.2023.10276974_Public_Awareness_of_Phishing_in_Indonesia__System_Literature_Review.pdf","open")</f>
        <v>open</v>
      </c>
      <c r="F326" t="s">
        <v>5516</v>
      </c>
      <c r="G326" t="s">
        <v>5517</v>
      </c>
      <c r="H326" t="s">
        <v>5518</v>
      </c>
      <c r="I326" t="s">
        <v>5519</v>
      </c>
      <c r="J326" t="s">
        <v>5520</v>
      </c>
    </row>
    <row r="327" spans="1:10" x14ac:dyDescent="0.2">
      <c r="A327" t="s">
        <v>1470</v>
      </c>
      <c r="B327" t="s">
        <v>779</v>
      </c>
      <c r="C327" t="s">
        <v>60</v>
      </c>
      <c r="D327" t="s">
        <v>778</v>
      </c>
      <c r="E327" t="str">
        <f>HYPERLINK("/pdf/2024_10_20473_mi_v7i3_55931_data_leakage_of_the_indonesian_elections_commission_in_legal_aspects_of_personal_data_prot.pdf","open")</f>
        <v>open</v>
      </c>
      <c r="F327" t="s">
        <v>5521</v>
      </c>
      <c r="G327" t="s">
        <v>5522</v>
      </c>
      <c r="H327" t="s">
        <v>5523</v>
      </c>
      <c r="I327" t="s">
        <v>148</v>
      </c>
      <c r="J327" t="s">
        <v>148</v>
      </c>
    </row>
    <row r="328" spans="1:10" x14ac:dyDescent="0.2">
      <c r="A328" t="s">
        <v>1472</v>
      </c>
      <c r="B328" t="s">
        <v>1222</v>
      </c>
      <c r="C328" t="s">
        <v>25</v>
      </c>
      <c r="D328" t="s">
        <v>1224</v>
      </c>
      <c r="E328" t="str">
        <f>HYPERLINK("/pdf/2023_10_1109_fmec59375_2023_10305886_an_overview_of_using_of_artificial_intelligence_in_enhancing_security_and_privacy_in_mobil.pdf","open")</f>
        <v>open</v>
      </c>
      <c r="F328" t="s">
        <v>5524</v>
      </c>
      <c r="G328" t="s">
        <v>5525</v>
      </c>
      <c r="H328" t="s">
        <v>5526</v>
      </c>
      <c r="I328" t="s">
        <v>5527</v>
      </c>
      <c r="J328" t="s">
        <v>5528</v>
      </c>
    </row>
    <row r="329" spans="1:10" x14ac:dyDescent="0.2">
      <c r="A329" t="s">
        <v>1475</v>
      </c>
      <c r="B329" t="s">
        <v>1476</v>
      </c>
      <c r="C329" t="s">
        <v>19</v>
      </c>
      <c r="D329" t="s">
        <v>1477</v>
      </c>
      <c r="E329" t="str">
        <f>HYPERLINK("/pdf/2025_10_1007_s10207_025_01044_w_a_survey_on_malware_attacks_in_industrial_air_gap_systems.pdf","open")</f>
        <v>open</v>
      </c>
      <c r="F329" t="s">
        <v>5529</v>
      </c>
      <c r="G329" t="s">
        <v>5530</v>
      </c>
      <c r="H329" t="s">
        <v>5531</v>
      </c>
      <c r="I329" t="s">
        <v>148</v>
      </c>
      <c r="J329" t="s">
        <v>148</v>
      </c>
    </row>
    <row r="330" spans="1:10" x14ac:dyDescent="0.2">
      <c r="A330" t="s">
        <v>1479</v>
      </c>
      <c r="B330" t="s">
        <v>1480</v>
      </c>
      <c r="C330" t="s">
        <v>60</v>
      </c>
      <c r="D330" t="s">
        <v>1481</v>
      </c>
      <c r="E330" t="str">
        <f>HYPERLINK("/pdf/2024_10_3390_jcp4040039_enhancing_cybersecurity_through_comprehensive_investigation_of_data_flow_based_attack_scen.pdf","open")</f>
        <v>open</v>
      </c>
      <c r="F330" t="s">
        <v>5532</v>
      </c>
      <c r="G330" t="s">
        <v>5533</v>
      </c>
      <c r="H330" t="s">
        <v>5534</v>
      </c>
      <c r="I330" t="s">
        <v>5535</v>
      </c>
      <c r="J330" t="s">
        <v>5536</v>
      </c>
    </row>
    <row r="331" spans="1:10" x14ac:dyDescent="0.2">
      <c r="A331" t="s">
        <v>1483</v>
      </c>
      <c r="B331" t="s">
        <v>1484</v>
      </c>
      <c r="C331" t="s">
        <v>25</v>
      </c>
      <c r="D331" t="s">
        <v>1486</v>
      </c>
      <c r="E331" t="str">
        <f>HYPERLINK("/pdf/2023_10.1109_icicsp59554.2023.10390572_Network_Traffic_Forensics_and_Traceability_Technology_Based_on_Blockchain.pdf","open")</f>
        <v>open</v>
      </c>
      <c r="F331" t="s">
        <v>5537</v>
      </c>
      <c r="G331" t="s">
        <v>5538</v>
      </c>
      <c r="H331" t="s">
        <v>5539</v>
      </c>
      <c r="I331" t="s">
        <v>5540</v>
      </c>
      <c r="J331" t="s">
        <v>5541</v>
      </c>
    </row>
    <row r="332" spans="1:10" x14ac:dyDescent="0.2">
      <c r="A332" t="s">
        <v>1488</v>
      </c>
      <c r="B332" t="s">
        <v>1441</v>
      </c>
      <c r="C332" t="s">
        <v>19</v>
      </c>
      <c r="D332" t="s">
        <v>1443</v>
      </c>
      <c r="E332" t="str">
        <f>HYPERLINK("/pdf/2025_10.1007_s11227-025-07116-x_GDT-IDS__graph-based_decision_tree_intrusion_detection_system_for_controller_area_network.pdf","open")</f>
        <v>open</v>
      </c>
      <c r="F332" t="s">
        <v>5542</v>
      </c>
      <c r="G332" t="s">
        <v>5543</v>
      </c>
      <c r="H332" t="s">
        <v>5544</v>
      </c>
      <c r="I332" t="s">
        <v>5545</v>
      </c>
      <c r="J332" t="s">
        <v>5546</v>
      </c>
    </row>
    <row r="333" spans="1:10" x14ac:dyDescent="0.2">
      <c r="A333" t="s">
        <v>1490</v>
      </c>
      <c r="B333" t="s">
        <v>1491</v>
      </c>
      <c r="C333" t="s">
        <v>54</v>
      </c>
      <c r="D333" t="s">
        <v>1493</v>
      </c>
      <c r="E333" t="str">
        <f>HYPERLINK("/pdf/2020_10.1109_discover50404.2020.9278053_The_Mechanism_to_Combat_Data_Leakage_Trojans_in_Circuits_using_Ranomized_Encoding.pdf","open")</f>
        <v>open</v>
      </c>
      <c r="F333" t="s">
        <v>5547</v>
      </c>
      <c r="G333" t="s">
        <v>5548</v>
      </c>
      <c r="H333" t="s">
        <v>5549</v>
      </c>
      <c r="I333" t="s">
        <v>148</v>
      </c>
      <c r="J333" t="s">
        <v>5550</v>
      </c>
    </row>
    <row r="334" spans="1:10" x14ac:dyDescent="0.2">
      <c r="A334" t="s">
        <v>1495</v>
      </c>
      <c r="B334" t="s">
        <v>1496</v>
      </c>
      <c r="C334" t="s">
        <v>36</v>
      </c>
      <c r="D334" t="s">
        <v>1495</v>
      </c>
      <c r="E334" t="str">
        <f>HYPERLINK("/pdf/2021_10.1145_3453800.3453824_Detect_Android_malware_by_using_deep_learning__Experiment_and_Evaluation.pdf","open")</f>
        <v>open</v>
      </c>
      <c r="F334" t="s">
        <v>5551</v>
      </c>
      <c r="G334" t="s">
        <v>5552</v>
      </c>
      <c r="H334" t="s">
        <v>5553</v>
      </c>
      <c r="I334" t="s">
        <v>5554</v>
      </c>
      <c r="J334" t="s">
        <v>5555</v>
      </c>
    </row>
    <row r="335" spans="1:10" x14ac:dyDescent="0.2">
      <c r="A335" t="s">
        <v>1499</v>
      </c>
      <c r="B335" t="s">
        <v>1500</v>
      </c>
      <c r="C335" t="s">
        <v>60</v>
      </c>
      <c r="D335" t="s">
        <v>1502</v>
      </c>
      <c r="E335" t="str">
        <f>HYPERLINK("/pdf/2024_10.1109_itcem65710.2024.00030_Research_on_Network_Security_Threat_Detection_and_Defense_Mechanism_Based_on_Artificial_Intelligence.pdf","open")</f>
        <v>open</v>
      </c>
      <c r="F335" t="s">
        <v>5556</v>
      </c>
      <c r="G335" t="s">
        <v>5557</v>
      </c>
      <c r="H335" t="s">
        <v>5558</v>
      </c>
      <c r="I335" t="s">
        <v>5559</v>
      </c>
      <c r="J335" t="s">
        <v>5560</v>
      </c>
    </row>
    <row r="336" spans="1:10" x14ac:dyDescent="0.2">
      <c r="A336" t="s">
        <v>1504</v>
      </c>
      <c r="B336" t="s">
        <v>1505</v>
      </c>
      <c r="C336" t="s">
        <v>19</v>
      </c>
      <c r="D336" t="s">
        <v>1507</v>
      </c>
      <c r="E336" t="str">
        <f>HYPERLINK("/pdf/2025_10.1109_sami63904.2025.10883123_Improving_Cybersecurity_in_Hospital_Information_Systems_through_Anonymization_Techniques.pdf","open")</f>
        <v>open</v>
      </c>
      <c r="F336" t="s">
        <v>5561</v>
      </c>
      <c r="G336" t="s">
        <v>5562</v>
      </c>
      <c r="H336" t="s">
        <v>5563</v>
      </c>
      <c r="I336" t="s">
        <v>148</v>
      </c>
      <c r="J336" t="s">
        <v>5564</v>
      </c>
    </row>
    <row r="337" spans="1:10" x14ac:dyDescent="0.2">
      <c r="A337" t="s">
        <v>1509</v>
      </c>
      <c r="B337" t="s">
        <v>1088</v>
      </c>
      <c r="C337" t="s">
        <v>19</v>
      </c>
      <c r="D337" t="s">
        <v>1087</v>
      </c>
      <c r="E337" t="str">
        <f>HYPERLINK("/pdf/2025_10_11591_ijai_v14_i6_pp4913_4922_comparative_evaluation_of_machine_learning_models_for_intrusion_detection_in_wsn.pdf","open")</f>
        <v>open</v>
      </c>
      <c r="F337" t="s">
        <v>5565</v>
      </c>
      <c r="G337" t="s">
        <v>5566</v>
      </c>
      <c r="H337" t="s">
        <v>5567</v>
      </c>
      <c r="I337" t="s">
        <v>5568</v>
      </c>
      <c r="J337" t="s">
        <v>5569</v>
      </c>
    </row>
    <row r="338" spans="1:10" x14ac:dyDescent="0.2">
      <c r="A338" t="s">
        <v>1511</v>
      </c>
      <c r="B338" t="s">
        <v>1512</v>
      </c>
      <c r="C338" t="s">
        <v>60</v>
      </c>
      <c r="D338" t="s">
        <v>1514</v>
      </c>
      <c r="E338" t="str">
        <f>HYPERLINK("/pdf/2024_10.1109_icctit64404.2024.10928389_Research_and_Construction_of_Multi-model_Fusionbased_Malicious_URL_Detection_Method.pdf","open")</f>
        <v>open</v>
      </c>
      <c r="F338" t="s">
        <v>5570</v>
      </c>
      <c r="G338" t="s">
        <v>5571</v>
      </c>
      <c r="H338" t="s">
        <v>5572</v>
      </c>
      <c r="I338" t="s">
        <v>5573</v>
      </c>
      <c r="J338" t="s">
        <v>5574</v>
      </c>
    </row>
    <row r="339" spans="1:10" x14ac:dyDescent="0.2">
      <c r="A339" t="s">
        <v>1516</v>
      </c>
      <c r="B339" t="s">
        <v>1517</v>
      </c>
      <c r="C339" t="s">
        <v>19</v>
      </c>
      <c r="D339" t="s">
        <v>1518</v>
      </c>
      <c r="E339" t="str">
        <f>HYPERLINK("/pdf/2025_10.1109_access.2025.3588808_A_Federated_Learning_Model_for_Detecting_Cyberattacks_in_Internet_of_Medical_Things_Networks.pdf","open")</f>
        <v>open</v>
      </c>
      <c r="F339" t="s">
        <v>5575</v>
      </c>
      <c r="G339" t="s">
        <v>5576</v>
      </c>
      <c r="H339" t="s">
        <v>5577</v>
      </c>
      <c r="I339" t="s">
        <v>5578</v>
      </c>
      <c r="J339" t="s">
        <v>5579</v>
      </c>
    </row>
    <row r="340" spans="1:10" x14ac:dyDescent="0.2">
      <c r="A340" t="s">
        <v>1520</v>
      </c>
      <c r="B340" t="s">
        <v>1521</v>
      </c>
      <c r="C340" t="s">
        <v>25</v>
      </c>
      <c r="D340" t="s">
        <v>1523</v>
      </c>
      <c r="E340" t="str">
        <f>HYPERLINK("/pdf/2023_10.1109_ictc58733.2023.10392902_Federated_Learning_with_Differential_Privacy_for_Intrusion_Detection_in_Internet_of_Flying_Things__A_Robust_Ap.pdf","open")</f>
        <v>open</v>
      </c>
      <c r="F340" t="s">
        <v>5580</v>
      </c>
      <c r="G340" t="s">
        <v>5581</v>
      </c>
      <c r="H340" t="s">
        <v>5582</v>
      </c>
      <c r="I340" t="s">
        <v>5583</v>
      </c>
      <c r="J340" t="s">
        <v>5584</v>
      </c>
    </row>
    <row r="341" spans="1:10" x14ac:dyDescent="0.2">
      <c r="A341" t="s">
        <v>1525</v>
      </c>
      <c r="B341" t="s">
        <v>1526</v>
      </c>
      <c r="C341" t="s">
        <v>36</v>
      </c>
      <c r="D341" t="s">
        <v>1528</v>
      </c>
      <c r="E341" t="str">
        <f>HYPERLINK("/pdf/2021_10.1109_infocom42981.2021.9488914_Finding_critical_files_from_a_packet.pdf","open")</f>
        <v>open</v>
      </c>
      <c r="F341" t="s">
        <v>5585</v>
      </c>
      <c r="G341" t="s">
        <v>5586</v>
      </c>
      <c r="H341" t="s">
        <v>5587</v>
      </c>
      <c r="I341" t="s">
        <v>5588</v>
      </c>
      <c r="J341" t="s">
        <v>5589</v>
      </c>
    </row>
    <row r="342" spans="1:10" x14ac:dyDescent="0.2">
      <c r="A342" t="s">
        <v>1530</v>
      </c>
      <c r="B342" t="s">
        <v>541</v>
      </c>
      <c r="C342" t="s">
        <v>25</v>
      </c>
      <c r="D342" t="s">
        <v>540</v>
      </c>
      <c r="E342" t="str">
        <f>HYPERLINK("/pdf/2024_10_1109_tdsc_2023_3323713_leakage_of_authorization_data_in_iot_device_sharing_new_attacks_and_countermeasure.pdf","open")</f>
        <v>open</v>
      </c>
      <c r="F342" t="s">
        <v>5590</v>
      </c>
      <c r="G342" t="s">
        <v>5591</v>
      </c>
      <c r="H342" t="s">
        <v>5592</v>
      </c>
      <c r="I342" t="s">
        <v>5593</v>
      </c>
      <c r="J342" t="s">
        <v>5593</v>
      </c>
    </row>
    <row r="343" spans="1:10" x14ac:dyDescent="0.2">
      <c r="A343" t="s">
        <v>1532</v>
      </c>
      <c r="B343" t="s">
        <v>1533</v>
      </c>
      <c r="C343" t="s">
        <v>36</v>
      </c>
      <c r="D343" t="s">
        <v>1535</v>
      </c>
      <c r="E343" t="str">
        <f>HYPERLINK("/pdf/2021_10.1109_mi-sta52233.2021.9464458_Deploying_Risk_Access_Models_in_a_Cloud_Environment__Possibilities_and_Challenges.pdf","open")</f>
        <v>open</v>
      </c>
      <c r="F343" t="s">
        <v>5594</v>
      </c>
      <c r="G343" t="s">
        <v>5595</v>
      </c>
      <c r="H343" t="s">
        <v>5596</v>
      </c>
      <c r="I343" t="s">
        <v>5597</v>
      </c>
      <c r="J343" t="s">
        <v>5598</v>
      </c>
    </row>
    <row r="344" spans="1:10" x14ac:dyDescent="0.2">
      <c r="A344" t="s">
        <v>1537</v>
      </c>
      <c r="B344" t="s">
        <v>1283</v>
      </c>
      <c r="C344" t="s">
        <v>100</v>
      </c>
      <c r="D344" t="s">
        <v>1285</v>
      </c>
      <c r="E344" t="str">
        <f>HYPERLINK("/pdf/2022_10_17341_gazimmfd_641580_a_new_document_classification_algorithm_against_malicious_data_leakage_attacks.pdf","open")</f>
        <v>open</v>
      </c>
      <c r="F344" t="s">
        <v>5599</v>
      </c>
      <c r="G344" t="s">
        <v>5600</v>
      </c>
      <c r="H344" t="s">
        <v>5601</v>
      </c>
      <c r="I344" t="s">
        <v>5602</v>
      </c>
      <c r="J344" t="s">
        <v>5603</v>
      </c>
    </row>
    <row r="345" spans="1:10" x14ac:dyDescent="0.2">
      <c r="A345" t="s">
        <v>1540</v>
      </c>
      <c r="B345" t="s">
        <v>1541</v>
      </c>
      <c r="C345" t="s">
        <v>100</v>
      </c>
      <c r="D345" t="s">
        <v>1543</v>
      </c>
      <c r="E345" t="str">
        <f>HYPERLINK("/pdf/2022_10_1109_ipsn54338_2022_00040_deepauditor_distributed_online_intrusion_detection_system_for_iot_devices_via_power_side.pdf","open")</f>
        <v>open</v>
      </c>
      <c r="F345" t="s">
        <v>5604</v>
      </c>
      <c r="G345" t="s">
        <v>5605</v>
      </c>
      <c r="H345" t="s">
        <v>5606</v>
      </c>
      <c r="I345" t="s">
        <v>5607</v>
      </c>
      <c r="J345" t="s">
        <v>5608</v>
      </c>
    </row>
    <row r="346" spans="1:10" x14ac:dyDescent="0.2">
      <c r="A346" t="s">
        <v>1545</v>
      </c>
      <c r="B346" t="s">
        <v>1546</v>
      </c>
      <c r="C346" t="s">
        <v>36</v>
      </c>
      <c r="D346" t="s">
        <v>1548</v>
      </c>
      <c r="E346" t="str">
        <f>HYPERLINK("/pdf/2021_10.1109_icsip52628.2021.9689011_A_Covert_Communication_Method_Based_on_Gradient_Model.pdf","open")</f>
        <v>open</v>
      </c>
      <c r="F346" t="s">
        <v>5609</v>
      </c>
      <c r="G346" t="s">
        <v>5610</v>
      </c>
      <c r="H346" t="s">
        <v>5611</v>
      </c>
      <c r="I346" t="s">
        <v>5612</v>
      </c>
      <c r="J346" t="s">
        <v>5613</v>
      </c>
    </row>
    <row r="347" spans="1:10" x14ac:dyDescent="0.2">
      <c r="A347" t="s">
        <v>1550</v>
      </c>
      <c r="B347" t="s">
        <v>1551</v>
      </c>
      <c r="C347" t="s">
        <v>25</v>
      </c>
      <c r="D347" t="s">
        <v>148</v>
      </c>
      <c r="E347" t="str">
        <f>HYPERLINK("/pdf/2024_10_1109_tase_2023_3267034_transactive_energy_system_deployment_over_insecure_communication_links.pdf","open")</f>
        <v>open</v>
      </c>
      <c r="F347" t="s">
        <v>5614</v>
      </c>
      <c r="G347" t="s">
        <v>5615</v>
      </c>
      <c r="H347" t="s">
        <v>5616</v>
      </c>
      <c r="I347" t="s">
        <v>5617</v>
      </c>
      <c r="J347" t="s">
        <v>5618</v>
      </c>
    </row>
    <row r="348" spans="1:10" x14ac:dyDescent="0.2">
      <c r="A348" t="s">
        <v>1554</v>
      </c>
      <c r="B348" t="s">
        <v>1555</v>
      </c>
      <c r="C348" t="s">
        <v>36</v>
      </c>
      <c r="D348" t="s">
        <v>1557</v>
      </c>
      <c r="E348" t="str">
        <f>HYPERLINK("/pdf/2021_10.1145_3503823.3503886_Uncuffed__A_Blockchain-based_Secure_Messaging_System.pdf","open")</f>
        <v>open</v>
      </c>
      <c r="F348" t="s">
        <v>5619</v>
      </c>
      <c r="G348" t="s">
        <v>5620</v>
      </c>
      <c r="H348" t="s">
        <v>5621</v>
      </c>
      <c r="I348" t="s">
        <v>148</v>
      </c>
      <c r="J348" t="s">
        <v>5622</v>
      </c>
    </row>
    <row r="349" spans="1:10" x14ac:dyDescent="0.2">
      <c r="A349" t="s">
        <v>1559</v>
      </c>
      <c r="B349" t="s">
        <v>337</v>
      </c>
      <c r="C349" t="s">
        <v>19</v>
      </c>
      <c r="D349" t="s">
        <v>1560</v>
      </c>
      <c r="E349" t="str">
        <f>HYPERLINK("/pdf/2025_10_1007_s13198_025_03013_x_mobile_network_intelligent_recommendation_based_on_data_mining_and_network_secur.pdf","open")</f>
        <v>open</v>
      </c>
      <c r="F349" t="s">
        <v>5623</v>
      </c>
      <c r="G349" t="s">
        <v>5624</v>
      </c>
      <c r="H349" t="s">
        <v>5625</v>
      </c>
      <c r="I349" t="s">
        <v>5626</v>
      </c>
      <c r="J349" t="s">
        <v>5627</v>
      </c>
    </row>
    <row r="350" spans="1:10" x14ac:dyDescent="0.2">
      <c r="A350" t="s">
        <v>1562</v>
      </c>
      <c r="B350" t="s">
        <v>59</v>
      </c>
      <c r="C350" t="s">
        <v>60</v>
      </c>
      <c r="D350" t="s">
        <v>62</v>
      </c>
      <c r="E350" t="str">
        <f>HYPERLINK("/pdf/2024_10_17770_etr2024vol2_8062_management_approaches_and_application_areas_of_information_security_in_organizat.pdf","open")</f>
        <v>open</v>
      </c>
      <c r="F350" t="s">
        <v>5628</v>
      </c>
      <c r="G350" t="s">
        <v>5629</v>
      </c>
      <c r="H350" t="s">
        <v>5630</v>
      </c>
      <c r="I350" t="s">
        <v>148</v>
      </c>
      <c r="J350" t="s">
        <v>5631</v>
      </c>
    </row>
    <row r="351" spans="1:10" x14ac:dyDescent="0.2">
      <c r="A351" t="s">
        <v>1565</v>
      </c>
      <c r="B351" t="s">
        <v>1566</v>
      </c>
      <c r="C351" t="s">
        <v>60</v>
      </c>
      <c r="D351" t="s">
        <v>1417</v>
      </c>
      <c r="E351" t="str">
        <f>HYPERLINK("/pdf/2024_10_17770_etr2024vol2_8045_data_leakage_prevention_and_detection_in_digital_configurations_a_survey.pdf","open")</f>
        <v>open</v>
      </c>
      <c r="F351" t="s">
        <v>5632</v>
      </c>
      <c r="G351" t="s">
        <v>5633</v>
      </c>
      <c r="H351" t="s">
        <v>5634</v>
      </c>
      <c r="I351" t="s">
        <v>148</v>
      </c>
      <c r="J351" t="s">
        <v>148</v>
      </c>
    </row>
    <row r="352" spans="1:10" x14ac:dyDescent="0.2">
      <c r="A352" t="s">
        <v>34</v>
      </c>
      <c r="B352" t="s">
        <v>35</v>
      </c>
      <c r="C352" t="s">
        <v>36</v>
      </c>
      <c r="D352" t="s">
        <v>38</v>
      </c>
      <c r="E352" t="str">
        <f>HYPERLINK("/pdf/2021_10_32604_cmc_2021_016626_an_optimal_big_data_analytics_with_concept_drift_detection_on_high_dimensional_s.pdf","open")</f>
        <v>open</v>
      </c>
      <c r="F352" t="s">
        <v>5635</v>
      </c>
      <c r="G352" t="s">
        <v>5636</v>
      </c>
      <c r="H352" t="s">
        <v>5637</v>
      </c>
      <c r="I352" t="s">
        <v>5638</v>
      </c>
      <c r="J352" t="s">
        <v>5639</v>
      </c>
    </row>
    <row r="353" spans="1:10" x14ac:dyDescent="0.2">
      <c r="A353" t="s">
        <v>69</v>
      </c>
      <c r="B353" t="s">
        <v>70</v>
      </c>
      <c r="C353" t="s">
        <v>25</v>
      </c>
      <c r="D353" t="s">
        <v>72</v>
      </c>
      <c r="E353" t="str">
        <f>HYPERLINK("/pdf/2023_10_7717_peerj_cs_1543_scheduling_algorithms_for_data_protection_based_on_security_classification_const.pdf","open")</f>
        <v>open</v>
      </c>
      <c r="F353" t="s">
        <v>5640</v>
      </c>
      <c r="G353" t="s">
        <v>5641</v>
      </c>
      <c r="H353" t="s">
        <v>5642</v>
      </c>
      <c r="I353" t="s">
        <v>5643</v>
      </c>
      <c r="J353" t="s">
        <v>5644</v>
      </c>
    </row>
    <row r="354" spans="1:10" x14ac:dyDescent="0.2">
      <c r="A354" t="s">
        <v>1554</v>
      </c>
      <c r="B354" t="s">
        <v>1555</v>
      </c>
      <c r="C354" t="s">
        <v>36</v>
      </c>
      <c r="D354" t="s">
        <v>1557</v>
      </c>
      <c r="E354" t="str">
        <f>HYPERLINK("/pdf/2021_10_1145_3503823_3503886_uncuffed_a_blockchain_based_secure_messaging_system.pdf","open")</f>
        <v>open</v>
      </c>
      <c r="F354" t="s">
        <v>5645</v>
      </c>
      <c r="G354" t="s">
        <v>5646</v>
      </c>
      <c r="H354" t="s">
        <v>5647</v>
      </c>
      <c r="I354" t="s">
        <v>148</v>
      </c>
      <c r="J354" t="s">
        <v>5648</v>
      </c>
    </row>
  </sheetData>
  <pageMargins left="0.75" right="0.75" top="1" bottom="1" header="0.5" footer="0.5"/>
  <pageSetup paperSize="9" orientation="portrait" horizontalDpi="0" verticalDpi="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54"/>
  <sheetViews>
    <sheetView workbookViewId="0">
      <pane ySplit="1" topLeftCell="A36" activePane="bottomLeft" state="frozen"/>
      <selection pane="bottomLeft" activeCell="I64" sqref="I64"/>
    </sheetView>
  </sheetViews>
  <sheetFormatPr baseColWidth="10" defaultColWidth="8.83203125" defaultRowHeight="15" x14ac:dyDescent="0.2"/>
  <cols>
    <col min="1" max="5" width="12" customWidth="1"/>
    <col min="6" max="6" width="16" customWidth="1"/>
    <col min="7" max="7" width="25" customWidth="1"/>
    <col min="8" max="8" width="23" customWidth="1"/>
    <col min="9" max="9" width="57" customWidth="1"/>
    <col min="10" max="10" width="59" customWidth="1"/>
    <col min="11" max="12" width="60" customWidth="1"/>
  </cols>
  <sheetData>
    <row r="1" spans="1:12" ht="16" x14ac:dyDescent="0.2">
      <c r="A1" s="1" t="s">
        <v>0</v>
      </c>
      <c r="B1" s="1" t="s">
        <v>1</v>
      </c>
      <c r="C1" s="1" t="s">
        <v>2</v>
      </c>
      <c r="D1" s="1" t="s">
        <v>4</v>
      </c>
      <c r="E1" s="1" t="s">
        <v>6</v>
      </c>
      <c r="F1" s="1" t="s">
        <v>5649</v>
      </c>
      <c r="G1" s="1" t="s">
        <v>5650</v>
      </c>
      <c r="H1" s="1" t="s">
        <v>5651</v>
      </c>
      <c r="I1" s="1" t="s">
        <v>5652</v>
      </c>
      <c r="J1" s="1" t="s">
        <v>5653</v>
      </c>
      <c r="K1" s="1" t="s">
        <v>5654</v>
      </c>
      <c r="L1" s="1" t="s">
        <v>5655</v>
      </c>
    </row>
    <row r="2" spans="1:12" x14ac:dyDescent="0.2">
      <c r="A2" t="s">
        <v>10</v>
      </c>
      <c r="B2" t="s">
        <v>11</v>
      </c>
      <c r="C2" t="s">
        <v>12</v>
      </c>
      <c r="D2" t="s">
        <v>14</v>
      </c>
      <c r="E2" t="str">
        <f>HYPERLINK("/pdf/2018_10_1007_978_1_4842_3700_7_defending_iot_infrastructures_with_the_raspberry_pi_monitoring_and_detecting_ne.pdf","open")</f>
        <v>open</v>
      </c>
      <c r="F2" t="s">
        <v>5656</v>
      </c>
      <c r="G2" t="s">
        <v>5657</v>
      </c>
      <c r="H2" t="s">
        <v>148</v>
      </c>
      <c r="I2" t="s">
        <v>2223</v>
      </c>
      <c r="J2" t="s">
        <v>5658</v>
      </c>
      <c r="K2" t="s">
        <v>2223</v>
      </c>
      <c r="L2" t="s">
        <v>5659</v>
      </c>
    </row>
    <row r="3" spans="1:12" x14ac:dyDescent="0.2">
      <c r="A3" t="s">
        <v>17</v>
      </c>
      <c r="B3" t="s">
        <v>18</v>
      </c>
      <c r="C3" t="s">
        <v>19</v>
      </c>
      <c r="D3" t="s">
        <v>21</v>
      </c>
      <c r="E3" t="str">
        <f>HYPERLINK("/pdf/2025_10.1109_ecce64574.2025.11013816_Intrusion_Detection_System_on_IoT_Devices_via_Federated_Learning.pdf","open")</f>
        <v>open</v>
      </c>
      <c r="F3" t="s">
        <v>5660</v>
      </c>
      <c r="G3" t="s">
        <v>5661</v>
      </c>
      <c r="H3" t="s">
        <v>5662</v>
      </c>
      <c r="I3" t="s">
        <v>2223</v>
      </c>
      <c r="J3" t="s">
        <v>5663</v>
      </c>
      <c r="K3" t="s">
        <v>2223</v>
      </c>
      <c r="L3" t="s">
        <v>5664</v>
      </c>
    </row>
    <row r="4" spans="1:12" x14ac:dyDescent="0.2">
      <c r="A4" t="s">
        <v>23</v>
      </c>
      <c r="B4" t="s">
        <v>24</v>
      </c>
      <c r="C4" t="s">
        <v>25</v>
      </c>
      <c r="D4" t="s">
        <v>27</v>
      </c>
      <c r="E4" t="str">
        <f>HYPERLINK("/pdf/2023_10.1109_icict57646.2023.10133997_Enhancing_Home_Security__user_Authentication_Techniques_for_Home_Automation.pdf","open")</f>
        <v>open</v>
      </c>
      <c r="F4" t="s">
        <v>5665</v>
      </c>
      <c r="G4" t="s">
        <v>5666</v>
      </c>
      <c r="H4" t="s">
        <v>5667</v>
      </c>
      <c r="I4" t="s">
        <v>2223</v>
      </c>
      <c r="J4" t="s">
        <v>148</v>
      </c>
      <c r="K4" t="s">
        <v>2223</v>
      </c>
      <c r="L4" t="s">
        <v>148</v>
      </c>
    </row>
    <row r="5" spans="1:12" x14ac:dyDescent="0.2">
      <c r="A5" t="s">
        <v>29</v>
      </c>
      <c r="B5" t="s">
        <v>30</v>
      </c>
      <c r="C5" t="s">
        <v>25</v>
      </c>
      <c r="D5" t="s">
        <v>32</v>
      </c>
      <c r="E5" t="str">
        <f>HYPERLINK("/pdf/2023_10_3390_s23208407_a_lightweight_unsupervised_intrusion_detection_model_based_on_variational_auto_encoder.pdf","open")</f>
        <v>open</v>
      </c>
      <c r="F5" t="s">
        <v>5668</v>
      </c>
      <c r="G5" t="s">
        <v>5669</v>
      </c>
      <c r="H5" t="s">
        <v>5670</v>
      </c>
      <c r="I5" t="s">
        <v>2998</v>
      </c>
      <c r="J5" t="s">
        <v>5671</v>
      </c>
      <c r="K5" t="s">
        <v>2223</v>
      </c>
      <c r="L5" t="s">
        <v>5672</v>
      </c>
    </row>
    <row r="6" spans="1:12" x14ac:dyDescent="0.2">
      <c r="A6" t="s">
        <v>34</v>
      </c>
      <c r="B6" t="s">
        <v>35</v>
      </c>
      <c r="C6" t="s">
        <v>36</v>
      </c>
      <c r="D6" t="s">
        <v>38</v>
      </c>
      <c r="E6" t="str">
        <f>HYPERLINK("/pdf/2021_10.32604_cmc.2021.016626_An_optimal_big_data_analytics_with_concept_drift_detection_on_high-dimensional_streaming_data.pdf","open")</f>
        <v>open</v>
      </c>
      <c r="F6" t="s">
        <v>5673</v>
      </c>
      <c r="G6" t="s">
        <v>5674</v>
      </c>
      <c r="H6" t="s">
        <v>148</v>
      </c>
      <c r="I6" t="s">
        <v>2223</v>
      </c>
      <c r="J6" t="s">
        <v>148</v>
      </c>
      <c r="K6" t="s">
        <v>2223</v>
      </c>
      <c r="L6" t="s">
        <v>148</v>
      </c>
    </row>
    <row r="7" spans="1:12" x14ac:dyDescent="0.2">
      <c r="A7" t="s">
        <v>40</v>
      </c>
      <c r="B7" t="s">
        <v>41</v>
      </c>
      <c r="C7" t="s">
        <v>19</v>
      </c>
      <c r="D7" t="s">
        <v>43</v>
      </c>
      <c r="E7" t="str">
        <f>HYPERLINK("/pdf/2025_10.1002_9781394250141.ch11_Security_and_privacy_issues_in_RIS-based_wireless_communication_systems.pdf","open")</f>
        <v>open</v>
      </c>
      <c r="F7" t="s">
        <v>5675</v>
      </c>
      <c r="G7" t="s">
        <v>5676</v>
      </c>
      <c r="H7" t="s">
        <v>5677</v>
      </c>
      <c r="I7" t="s">
        <v>2223</v>
      </c>
      <c r="J7" t="s">
        <v>5678</v>
      </c>
      <c r="K7" t="s">
        <v>2223</v>
      </c>
      <c r="L7" t="s">
        <v>5679</v>
      </c>
    </row>
    <row r="8" spans="1:12" x14ac:dyDescent="0.2">
      <c r="A8" t="s">
        <v>46</v>
      </c>
      <c r="B8" t="s">
        <v>47</v>
      </c>
      <c r="C8" t="s">
        <v>48</v>
      </c>
      <c r="D8" t="s">
        <v>50</v>
      </c>
      <c r="E8" t="str">
        <f>HYPERLINK("/pdf/2026_10.1109_mcomstd.2026.3653959_Robust_and_Privacy-Aware_Network_Flow_Watermarking_for_Digital_Twin_Communications_in_5G_6G_Edge_Environments.pdf","open")</f>
        <v>open</v>
      </c>
      <c r="F8" t="s">
        <v>5680</v>
      </c>
      <c r="G8" t="s">
        <v>5681</v>
      </c>
      <c r="H8" t="s">
        <v>5682</v>
      </c>
      <c r="I8" t="s">
        <v>2223</v>
      </c>
      <c r="J8" t="s">
        <v>148</v>
      </c>
      <c r="K8" t="s">
        <v>2998</v>
      </c>
      <c r="L8" t="s">
        <v>5683</v>
      </c>
    </row>
    <row r="9" spans="1:12" x14ac:dyDescent="0.2">
      <c r="A9" t="s">
        <v>52</v>
      </c>
      <c r="B9" t="s">
        <v>53</v>
      </c>
      <c r="C9" t="s">
        <v>54</v>
      </c>
      <c r="D9" t="s">
        <v>56</v>
      </c>
      <c r="E9" t="str">
        <f>HYPERLINK("/pdf/2020_10_3390_app10113978_droid_portrait_android_malware_portrait_construction_based_on_multidimensional_behavior_a.pdf","open")</f>
        <v>open</v>
      </c>
      <c r="F9" t="s">
        <v>148</v>
      </c>
      <c r="G9" t="s">
        <v>5684</v>
      </c>
      <c r="H9" t="s">
        <v>5685</v>
      </c>
      <c r="I9" t="s">
        <v>2223</v>
      </c>
      <c r="J9" t="s">
        <v>5686</v>
      </c>
      <c r="K9" t="s">
        <v>2998</v>
      </c>
      <c r="L9" t="s">
        <v>5687</v>
      </c>
    </row>
    <row r="10" spans="1:12" x14ac:dyDescent="0.2">
      <c r="A10" t="s">
        <v>58</v>
      </c>
      <c r="B10" t="s">
        <v>59</v>
      </c>
      <c r="C10" t="s">
        <v>60</v>
      </c>
      <c r="D10" t="s">
        <v>62</v>
      </c>
      <c r="E10" t="str">
        <f>HYPERLINK("/pdf/2024_10.17770_etr2024vol2.8062_Management_approaches_and_application_areas_of_information_security_in_organizations.pdf","open")</f>
        <v>open</v>
      </c>
      <c r="F10" t="s">
        <v>5688</v>
      </c>
      <c r="G10" t="s">
        <v>5689</v>
      </c>
      <c r="H10" t="s">
        <v>5690</v>
      </c>
      <c r="I10" t="s">
        <v>2223</v>
      </c>
      <c r="J10" t="s">
        <v>5691</v>
      </c>
      <c r="K10" t="s">
        <v>2223</v>
      </c>
      <c r="L10" t="s">
        <v>5692</v>
      </c>
    </row>
    <row r="11" spans="1:12" x14ac:dyDescent="0.2">
      <c r="A11" t="s">
        <v>64</v>
      </c>
      <c r="B11" t="s">
        <v>65</v>
      </c>
      <c r="C11" t="s">
        <v>12</v>
      </c>
      <c r="D11" t="s">
        <v>67</v>
      </c>
      <c r="E11" t="str">
        <f>HYPERLINK("/pdf/2018_10.1109_tse.2017.2697848_Towards_Model_Checking_Android_Applications.pdf","open")</f>
        <v>open</v>
      </c>
      <c r="F11" t="s">
        <v>5693</v>
      </c>
      <c r="G11" t="s">
        <v>5694</v>
      </c>
      <c r="H11" t="s">
        <v>5695</v>
      </c>
      <c r="I11" t="s">
        <v>2223</v>
      </c>
      <c r="J11" t="s">
        <v>148</v>
      </c>
      <c r="K11" t="s">
        <v>957</v>
      </c>
      <c r="L11" t="s">
        <v>5696</v>
      </c>
    </row>
    <row r="12" spans="1:12" x14ac:dyDescent="0.2">
      <c r="A12" t="s">
        <v>69</v>
      </c>
      <c r="B12" t="s">
        <v>70</v>
      </c>
      <c r="C12" t="s">
        <v>25</v>
      </c>
      <c r="D12" t="s">
        <v>72</v>
      </c>
      <c r="E12" t="str">
        <f>HYPERLINK("/pdf/2023_10.7717_peerj-cs.1543_Scheduling_algorithms_for_data-protection_based_on_security-classification_constraints_to_data-dissemination.pdf","open")</f>
        <v>open</v>
      </c>
      <c r="F12" t="s">
        <v>5697</v>
      </c>
      <c r="G12" t="s">
        <v>5698</v>
      </c>
      <c r="H12" t="s">
        <v>5699</v>
      </c>
      <c r="I12" t="s">
        <v>2223</v>
      </c>
      <c r="J12" t="s">
        <v>148</v>
      </c>
      <c r="K12" t="s">
        <v>2223</v>
      </c>
      <c r="L12" t="s">
        <v>148</v>
      </c>
    </row>
    <row r="13" spans="1:12" x14ac:dyDescent="0.2">
      <c r="A13" t="s">
        <v>74</v>
      </c>
      <c r="B13" t="s">
        <v>75</v>
      </c>
      <c r="C13" t="s">
        <v>25</v>
      </c>
      <c r="D13" t="s">
        <v>74</v>
      </c>
      <c r="E13" t="str">
        <f>HYPERLINK("/pdf/2024_10_1109_access_2024_3363640_how_can_credit_supervision_mechanism_improve_security_crowdsourcing_ecosystem_go.pdf","open")</f>
        <v>open</v>
      </c>
      <c r="F13" t="s">
        <v>5700</v>
      </c>
      <c r="G13" t="s">
        <v>5701</v>
      </c>
      <c r="H13" t="s">
        <v>5702</v>
      </c>
      <c r="I13" t="s">
        <v>2223</v>
      </c>
      <c r="J13" t="s">
        <v>5703</v>
      </c>
      <c r="K13" t="s">
        <v>2223</v>
      </c>
      <c r="L13" t="s">
        <v>5704</v>
      </c>
    </row>
    <row r="14" spans="1:12" x14ac:dyDescent="0.2">
      <c r="A14" t="s">
        <v>78</v>
      </c>
      <c r="B14" t="s">
        <v>79</v>
      </c>
      <c r="C14" t="s">
        <v>19</v>
      </c>
      <c r="D14" t="s">
        <v>81</v>
      </c>
      <c r="E14" t="str">
        <f>HYPERLINK("/pdf/2025_10_26583_sv_17_5_11_performance_comparison_of_various_software_tools_in_photogrammetry_based_digitiz.pdf","open")</f>
        <v>open</v>
      </c>
      <c r="F14" t="s">
        <v>5705</v>
      </c>
      <c r="G14" t="s">
        <v>5706</v>
      </c>
      <c r="H14" t="s">
        <v>148</v>
      </c>
      <c r="I14" t="s">
        <v>2223</v>
      </c>
      <c r="J14" t="s">
        <v>5707</v>
      </c>
      <c r="K14" t="s">
        <v>2223</v>
      </c>
      <c r="L14" t="s">
        <v>5708</v>
      </c>
    </row>
    <row r="15" spans="1:12" x14ac:dyDescent="0.2">
      <c r="A15" t="s">
        <v>83</v>
      </c>
      <c r="B15" t="s">
        <v>84</v>
      </c>
      <c r="C15" t="s">
        <v>19</v>
      </c>
      <c r="D15" t="s">
        <v>86</v>
      </c>
      <c r="E15" t="str">
        <f>HYPERLINK("/pdf/2025_10.1016_j.icte.2025.05.002_Lightweight_federated_learning-based_intrusion_detection_system_for_industrial_internet_of_things.pdf","open")</f>
        <v>open</v>
      </c>
      <c r="F15" t="s">
        <v>5709</v>
      </c>
      <c r="G15" t="s">
        <v>5710</v>
      </c>
      <c r="H15" t="s">
        <v>5711</v>
      </c>
      <c r="I15" t="s">
        <v>2223</v>
      </c>
      <c r="J15" t="s">
        <v>5712</v>
      </c>
      <c r="K15" t="s">
        <v>2223</v>
      </c>
      <c r="L15" t="s">
        <v>5713</v>
      </c>
    </row>
    <row r="16" spans="1:12" x14ac:dyDescent="0.2">
      <c r="A16" t="s">
        <v>88</v>
      </c>
      <c r="B16" t="s">
        <v>89</v>
      </c>
      <c r="C16" t="s">
        <v>60</v>
      </c>
      <c r="D16" t="s">
        <v>91</v>
      </c>
      <c r="E16" t="str">
        <f>HYPERLINK("/pdf/2024_10.1109_icstem61137.2024.10560825_SentinelGuard__An_Integration_of_Intelligent_Text_Data_Loss_Prevention_Mechanism_for_Organizational_Security_(.pdf","open")</f>
        <v>open</v>
      </c>
      <c r="F16" t="s">
        <v>5714</v>
      </c>
      <c r="G16" t="s">
        <v>5715</v>
      </c>
      <c r="H16" t="s">
        <v>5716</v>
      </c>
      <c r="I16" t="s">
        <v>2223</v>
      </c>
      <c r="J16" t="s">
        <v>5717</v>
      </c>
      <c r="K16" t="s">
        <v>2223</v>
      </c>
      <c r="L16" t="s">
        <v>5718</v>
      </c>
    </row>
    <row r="17" spans="1:12" x14ac:dyDescent="0.2">
      <c r="A17" t="s">
        <v>93</v>
      </c>
      <c r="B17" t="s">
        <v>94</v>
      </c>
      <c r="C17" t="s">
        <v>19</v>
      </c>
      <c r="D17" t="s">
        <v>96</v>
      </c>
      <c r="E17" t="str">
        <f>HYPERLINK("/pdf/2025_10.1109_itc58126.2025.00011_QuEST__Quantitative_Entropy_based_Security_and_Trojan_Detection_Framework_for_Confidentiality_Verification.pdf","open")</f>
        <v>open</v>
      </c>
      <c r="F17" t="s">
        <v>5719</v>
      </c>
      <c r="G17" t="s">
        <v>5720</v>
      </c>
      <c r="H17" t="s">
        <v>5721</v>
      </c>
      <c r="I17" t="s">
        <v>2223</v>
      </c>
      <c r="J17" t="s">
        <v>148</v>
      </c>
      <c r="K17" t="s">
        <v>2223</v>
      </c>
      <c r="L17" t="s">
        <v>148</v>
      </c>
    </row>
    <row r="18" spans="1:12" x14ac:dyDescent="0.2">
      <c r="A18" t="s">
        <v>98</v>
      </c>
      <c r="B18" t="s">
        <v>99</v>
      </c>
      <c r="C18" t="s">
        <v>100</v>
      </c>
      <c r="D18" t="s">
        <v>102</v>
      </c>
      <c r="E18" t="str">
        <f>HYPERLINK("/pdf/2022_10.1109_icced56140.2022.10010685_Patient_Data_Security_in_Telemedicine_Services_from_Data_Misuse_in_Health_Practice.pdf","open")</f>
        <v>open</v>
      </c>
      <c r="F18" t="s">
        <v>5722</v>
      </c>
      <c r="G18" t="s">
        <v>5723</v>
      </c>
      <c r="H18" t="s">
        <v>5724</v>
      </c>
      <c r="I18" t="s">
        <v>2223</v>
      </c>
      <c r="J18" t="s">
        <v>5725</v>
      </c>
      <c r="K18" t="s">
        <v>2223</v>
      </c>
      <c r="L18" t="s">
        <v>5726</v>
      </c>
    </row>
    <row r="19" spans="1:12" x14ac:dyDescent="0.2">
      <c r="A19" t="s">
        <v>104</v>
      </c>
      <c r="B19" t="s">
        <v>105</v>
      </c>
      <c r="C19" t="s">
        <v>25</v>
      </c>
      <c r="D19" t="s">
        <v>107</v>
      </c>
      <c r="E19" t="str">
        <f>HYPERLINK("/pdf/2023_10.1109_cises58720.2023.10183402_Security_Threats_in_Healthcare_Big_Data__A_Comparative_Study.pdf","open")</f>
        <v>open</v>
      </c>
      <c r="F19" t="s">
        <v>5727</v>
      </c>
      <c r="G19" t="s">
        <v>5728</v>
      </c>
      <c r="H19" t="s">
        <v>5729</v>
      </c>
      <c r="I19" t="s">
        <v>2223</v>
      </c>
      <c r="J19" t="s">
        <v>5730</v>
      </c>
      <c r="K19" t="s">
        <v>2223</v>
      </c>
      <c r="L19" t="s">
        <v>5731</v>
      </c>
    </row>
    <row r="20" spans="1:12" x14ac:dyDescent="0.2">
      <c r="A20" t="s">
        <v>109</v>
      </c>
      <c r="B20" t="s">
        <v>110</v>
      </c>
      <c r="C20" t="s">
        <v>36</v>
      </c>
      <c r="D20" t="s">
        <v>112</v>
      </c>
      <c r="E20" t="str">
        <f>HYPERLINK("/pdf/2021_10_1109_iccd53106_2021_00097_qflow_quantitative_information_flow_for_security_aware_hardware_design_in_verilog.pdf","open")</f>
        <v>open</v>
      </c>
      <c r="F20" t="s">
        <v>5732</v>
      </c>
      <c r="G20" t="s">
        <v>148</v>
      </c>
      <c r="H20" t="s">
        <v>5733</v>
      </c>
      <c r="I20" t="s">
        <v>2223</v>
      </c>
      <c r="J20" t="s">
        <v>5734</v>
      </c>
      <c r="K20" t="s">
        <v>2998</v>
      </c>
      <c r="L20" t="s">
        <v>5735</v>
      </c>
    </row>
    <row r="21" spans="1:12" x14ac:dyDescent="0.2">
      <c r="A21" t="s">
        <v>114</v>
      </c>
      <c r="B21" t="s">
        <v>115</v>
      </c>
      <c r="C21" t="s">
        <v>100</v>
      </c>
      <c r="D21" t="s">
        <v>117</v>
      </c>
      <c r="E21" t="str">
        <f>HYPERLINK("/pdf/2022_10.1016_j.cose.2022.102874_Background_knowledge_attacks_in_privacy-preserving_data_publishing_models.pdf","open")</f>
        <v>open</v>
      </c>
      <c r="F21" t="s">
        <v>5736</v>
      </c>
      <c r="G21" t="s">
        <v>5737</v>
      </c>
      <c r="H21" t="s">
        <v>5738</v>
      </c>
      <c r="I21" t="s">
        <v>2223</v>
      </c>
      <c r="J21" t="s">
        <v>5739</v>
      </c>
      <c r="K21" t="s">
        <v>2998</v>
      </c>
      <c r="L21" t="s">
        <v>5740</v>
      </c>
    </row>
    <row r="22" spans="1:12" x14ac:dyDescent="0.2">
      <c r="A22" t="s">
        <v>119</v>
      </c>
      <c r="B22" t="s">
        <v>120</v>
      </c>
      <c r="C22" t="s">
        <v>19</v>
      </c>
      <c r="D22" t="s">
        <v>122</v>
      </c>
      <c r="E22" t="str">
        <f>HYPERLINK("/pdf/2025_10_14445_23488549_ijece_v12i10p115_qryptashield_quantum_inspired_feature_selection_and_rl_calibrated_federated_lea.pdf","open")</f>
        <v>open</v>
      </c>
      <c r="F22" t="s">
        <v>5741</v>
      </c>
      <c r="G22" t="s">
        <v>5742</v>
      </c>
      <c r="H22" t="s">
        <v>5743</v>
      </c>
      <c r="I22" t="s">
        <v>2223</v>
      </c>
      <c r="J22" t="s">
        <v>5744</v>
      </c>
      <c r="K22" t="s">
        <v>2998</v>
      </c>
      <c r="L22" t="s">
        <v>5745</v>
      </c>
    </row>
    <row r="23" spans="1:12" x14ac:dyDescent="0.2">
      <c r="A23" t="s">
        <v>124</v>
      </c>
      <c r="B23" t="s">
        <v>125</v>
      </c>
      <c r="C23" t="s">
        <v>100</v>
      </c>
      <c r="D23" t="s">
        <v>127</v>
      </c>
      <c r="E23" t="str">
        <f>HYPERLINK("/pdf/2022_10.1109_i2ct54291.2022.9824368_Security_Challenges_and_Cyber_Forensics_For_IoT_Driven_BYOD_Systems.pdf","open")</f>
        <v>open</v>
      </c>
      <c r="F23" t="s">
        <v>5746</v>
      </c>
      <c r="G23" t="s">
        <v>5747</v>
      </c>
      <c r="H23" t="s">
        <v>5748</v>
      </c>
      <c r="I23" t="s">
        <v>2223</v>
      </c>
      <c r="J23" t="s">
        <v>5749</v>
      </c>
      <c r="K23" t="s">
        <v>2223</v>
      </c>
      <c r="L23" t="s">
        <v>5750</v>
      </c>
    </row>
    <row r="24" spans="1:12" x14ac:dyDescent="0.2">
      <c r="A24" t="s">
        <v>129</v>
      </c>
      <c r="B24" t="s">
        <v>130</v>
      </c>
      <c r="C24" t="s">
        <v>25</v>
      </c>
      <c r="D24" t="s">
        <v>132</v>
      </c>
      <c r="E24" t="str">
        <f>HYPERLINK("/pdf/2023_10.1109_socc58585.2023.10256758_μThingNet__Leveraging_Fine-Grained_Power_Analysis_towards_A_Robust_Zero-Day_Defender.pdf","open")</f>
        <v>open</v>
      </c>
      <c r="F24" t="s">
        <v>5751</v>
      </c>
      <c r="G24" t="s">
        <v>5752</v>
      </c>
      <c r="H24" t="s">
        <v>5753</v>
      </c>
      <c r="I24" t="s">
        <v>2998</v>
      </c>
      <c r="J24" t="s">
        <v>5754</v>
      </c>
      <c r="K24" t="s">
        <v>2223</v>
      </c>
      <c r="L24" t="s">
        <v>5755</v>
      </c>
    </row>
    <row r="25" spans="1:12" x14ac:dyDescent="0.2">
      <c r="A25" t="s">
        <v>134</v>
      </c>
      <c r="B25" t="s">
        <v>135</v>
      </c>
      <c r="C25" t="s">
        <v>136</v>
      </c>
      <c r="D25" t="s">
        <v>138</v>
      </c>
      <c r="E25" t="str">
        <f>HYPERLINK("/pdf/2019_10_35940_ijeat_f8202_088619_byod_secured_solution_framework.pdf","open")</f>
        <v>open</v>
      </c>
      <c r="F25" t="s">
        <v>5756</v>
      </c>
      <c r="G25" t="s">
        <v>5757</v>
      </c>
      <c r="H25" t="s">
        <v>5758</v>
      </c>
      <c r="I25" t="s">
        <v>2223</v>
      </c>
      <c r="J25" t="s">
        <v>5759</v>
      </c>
      <c r="K25" t="s">
        <v>2223</v>
      </c>
      <c r="L25" t="s">
        <v>5760</v>
      </c>
    </row>
    <row r="26" spans="1:12" x14ac:dyDescent="0.2">
      <c r="A26" t="s">
        <v>140</v>
      </c>
      <c r="B26" t="s">
        <v>141</v>
      </c>
      <c r="C26" t="s">
        <v>25</v>
      </c>
      <c r="D26" t="s">
        <v>143</v>
      </c>
      <c r="E26" t="str">
        <f>HYPERLINK("/pdf/2023_10_11591_ijece_v13i5_pp5560_5568_concept_drift_and_machine_learning_model_for_detecting_fraudulent_transactions_in_streamin.pdf","open")</f>
        <v>open</v>
      </c>
      <c r="F26" t="s">
        <v>5761</v>
      </c>
      <c r="G26" t="s">
        <v>5762</v>
      </c>
      <c r="H26" t="s">
        <v>148</v>
      </c>
      <c r="I26" t="s">
        <v>2998</v>
      </c>
      <c r="J26" t="s">
        <v>5763</v>
      </c>
      <c r="K26" t="s">
        <v>2223</v>
      </c>
      <c r="L26" t="s">
        <v>5764</v>
      </c>
    </row>
    <row r="27" spans="1:12" x14ac:dyDescent="0.2">
      <c r="A27" t="s">
        <v>145</v>
      </c>
      <c r="B27" t="s">
        <v>146</v>
      </c>
      <c r="C27" t="s">
        <v>136</v>
      </c>
      <c r="D27" t="s">
        <v>148</v>
      </c>
      <c r="E27" t="str">
        <f>HYPERLINK("/pdf/2020_10.1109_idea49133.2020.9170738_Android_data_leakage_and_anomaly_based_Intrusion_detection_System.pdf","open")</f>
        <v>open</v>
      </c>
      <c r="F27" t="s">
        <v>5765</v>
      </c>
      <c r="G27" t="s">
        <v>5766</v>
      </c>
      <c r="H27" t="s">
        <v>5767</v>
      </c>
      <c r="I27" t="s">
        <v>2223</v>
      </c>
      <c r="J27" t="s">
        <v>148</v>
      </c>
      <c r="K27" t="s">
        <v>2223</v>
      </c>
      <c r="L27" t="s">
        <v>148</v>
      </c>
    </row>
    <row r="28" spans="1:12" x14ac:dyDescent="0.2">
      <c r="A28" t="s">
        <v>150</v>
      </c>
      <c r="B28" t="s">
        <v>151</v>
      </c>
      <c r="C28" t="s">
        <v>19</v>
      </c>
      <c r="D28" t="s">
        <v>152</v>
      </c>
      <c r="E28" t="str">
        <f>HYPERLINK("/pdf/2025_10.1109_access.2025.3635667_PPATF__A_Privacy-Preserving_Adversarial_Training_Framework_to_Enhance_the_Robustness_of_Lightweight_Intrusion_.pdf","open")</f>
        <v>open</v>
      </c>
      <c r="F28" t="s">
        <v>5768</v>
      </c>
      <c r="G28" t="s">
        <v>5769</v>
      </c>
      <c r="H28" t="s">
        <v>5770</v>
      </c>
      <c r="I28" t="s">
        <v>2998</v>
      </c>
      <c r="J28" t="s">
        <v>5771</v>
      </c>
      <c r="K28" t="s">
        <v>2223</v>
      </c>
      <c r="L28" t="s">
        <v>5772</v>
      </c>
    </row>
    <row r="29" spans="1:12" x14ac:dyDescent="0.2">
      <c r="A29" t="s">
        <v>154</v>
      </c>
      <c r="B29" t="s">
        <v>155</v>
      </c>
      <c r="C29" t="s">
        <v>156</v>
      </c>
      <c r="D29" t="s">
        <v>158</v>
      </c>
      <c r="E29" t="str">
        <f>HYPERLINK("/pdf/2013_10_1007_s10796_013_9419_8_guest_editorial_a_brief_overview_of_data_leakage_and_insider_threats.pdf","open")</f>
        <v>open</v>
      </c>
      <c r="F29" t="s">
        <v>5773</v>
      </c>
      <c r="G29" t="s">
        <v>148</v>
      </c>
      <c r="H29" t="s">
        <v>5774</v>
      </c>
      <c r="I29" t="s">
        <v>2223</v>
      </c>
      <c r="J29" t="s">
        <v>148</v>
      </c>
      <c r="K29" t="s">
        <v>2223</v>
      </c>
      <c r="L29" t="s">
        <v>148</v>
      </c>
    </row>
    <row r="30" spans="1:12" x14ac:dyDescent="0.2">
      <c r="A30" t="s">
        <v>160</v>
      </c>
      <c r="B30" t="s">
        <v>161</v>
      </c>
      <c r="C30" t="s">
        <v>100</v>
      </c>
      <c r="D30" t="s">
        <v>163</v>
      </c>
      <c r="E30" t="str">
        <f>HYPERLINK("/pdf/2022_10.1109_eircon56026.2022.9934810_Model_to_Identify_the_Profile_of_Countermeasures_for_Information_Leakage_in_Financial_Organizations.pdf","open")</f>
        <v>open</v>
      </c>
      <c r="F30" t="s">
        <v>5775</v>
      </c>
      <c r="G30" t="s">
        <v>5776</v>
      </c>
      <c r="H30" t="s">
        <v>5777</v>
      </c>
      <c r="I30" t="s">
        <v>2223</v>
      </c>
      <c r="J30" t="s">
        <v>5778</v>
      </c>
      <c r="K30" t="s">
        <v>2223</v>
      </c>
      <c r="L30" t="s">
        <v>5779</v>
      </c>
    </row>
    <row r="31" spans="1:12" x14ac:dyDescent="0.2">
      <c r="A31" t="s">
        <v>165</v>
      </c>
      <c r="B31" t="s">
        <v>166</v>
      </c>
      <c r="C31" t="s">
        <v>60</v>
      </c>
      <c r="D31" t="s">
        <v>168</v>
      </c>
      <c r="E31" t="str">
        <f>HYPERLINK("/pdf/2024_10.1109_ithings-greencom-cpscom-smartdata-cybermatics62450.2024.00102_On_the_Security_and_Privacy_Implications_of_Large_Language_Models__In-Depth_Threat_Analysis.pdf","open")</f>
        <v>open</v>
      </c>
      <c r="F31" t="s">
        <v>5780</v>
      </c>
      <c r="G31" t="s">
        <v>5781</v>
      </c>
      <c r="H31" t="s">
        <v>5782</v>
      </c>
      <c r="I31" t="s">
        <v>2223</v>
      </c>
      <c r="J31" t="s">
        <v>5783</v>
      </c>
      <c r="K31" t="s">
        <v>2223</v>
      </c>
      <c r="L31" t="s">
        <v>5784</v>
      </c>
    </row>
    <row r="32" spans="1:12" x14ac:dyDescent="0.2">
      <c r="A32" t="s">
        <v>170</v>
      </c>
      <c r="B32" t="s">
        <v>171</v>
      </c>
      <c r="C32" t="s">
        <v>19</v>
      </c>
      <c r="D32" t="s">
        <v>173</v>
      </c>
      <c r="E32" t="str">
        <f>HYPERLINK("/pdf/2025_10_3390_cryptography9040072_a_post_quantum_cryptography_enabled_feature_level_fusion_framework_for_privacy_preserving.pdf","open")</f>
        <v>open</v>
      </c>
      <c r="F32" t="s">
        <v>5785</v>
      </c>
      <c r="G32" t="s">
        <v>5786</v>
      </c>
      <c r="H32" t="s">
        <v>5787</v>
      </c>
      <c r="I32" t="s">
        <v>2998</v>
      </c>
      <c r="J32" t="s">
        <v>5788</v>
      </c>
      <c r="K32" t="s">
        <v>2223</v>
      </c>
      <c r="L32" t="s">
        <v>5789</v>
      </c>
    </row>
    <row r="33" spans="1:12" x14ac:dyDescent="0.2">
      <c r="A33" t="s">
        <v>175</v>
      </c>
      <c r="B33" t="s">
        <v>176</v>
      </c>
      <c r="C33" t="s">
        <v>19</v>
      </c>
      <c r="D33" t="s">
        <v>178</v>
      </c>
      <c r="E33" t="str">
        <f>HYPERLINK("/pdf/2025_10.1109_etfa65518.2025.11205756_Trustworthy_AI_for_Security_Decision-Making_in_ICSs__Towards_Compliance_with_the_EU_AI_Act.pdf","open")</f>
        <v>open</v>
      </c>
      <c r="F33" t="s">
        <v>5790</v>
      </c>
      <c r="G33" t="s">
        <v>5791</v>
      </c>
      <c r="H33" t="s">
        <v>5792</v>
      </c>
      <c r="I33" t="s">
        <v>2223</v>
      </c>
      <c r="J33" t="s">
        <v>148</v>
      </c>
      <c r="K33" t="s">
        <v>5793</v>
      </c>
      <c r="L33" t="s">
        <v>5794</v>
      </c>
    </row>
    <row r="34" spans="1:12" x14ac:dyDescent="0.2">
      <c r="A34" t="s">
        <v>180</v>
      </c>
      <c r="B34" t="s">
        <v>181</v>
      </c>
      <c r="C34" t="s">
        <v>19</v>
      </c>
      <c r="D34" t="s">
        <v>183</v>
      </c>
      <c r="E34" t="str">
        <f>HYPERLINK("/pdf/2025_10.1109_jiot.2025.3583304_BCTD-ICS__A_Blockchain-Aided_Framework_for_Trusted_Detection_of_Industrial_Control_System_Components.pdf","open")</f>
        <v>open</v>
      </c>
      <c r="F34" t="s">
        <v>5795</v>
      </c>
      <c r="G34" t="s">
        <v>5796</v>
      </c>
      <c r="H34" t="s">
        <v>5797</v>
      </c>
      <c r="I34" t="s">
        <v>957</v>
      </c>
      <c r="J34" t="s">
        <v>5798</v>
      </c>
      <c r="K34" t="s">
        <v>2998</v>
      </c>
      <c r="L34" t="s">
        <v>5799</v>
      </c>
    </row>
    <row r="35" spans="1:12" x14ac:dyDescent="0.2">
      <c r="A35" t="s">
        <v>185</v>
      </c>
      <c r="B35" t="s">
        <v>186</v>
      </c>
      <c r="C35" t="s">
        <v>148</v>
      </c>
      <c r="D35" t="s">
        <v>148</v>
      </c>
      <c r="E35" t="str">
        <f>HYPERLINK("/pdf/2019_Towards_automated_threat-based_risk_assessment_for_cyber_security_in_smarthomes.pdf","open")</f>
        <v>open</v>
      </c>
      <c r="F35" t="s">
        <v>5800</v>
      </c>
      <c r="G35" t="s">
        <v>5801</v>
      </c>
      <c r="H35" t="s">
        <v>5802</v>
      </c>
      <c r="I35" t="s">
        <v>2223</v>
      </c>
      <c r="J35" t="s">
        <v>148</v>
      </c>
      <c r="K35" t="s">
        <v>2223</v>
      </c>
      <c r="L35" t="s">
        <v>148</v>
      </c>
    </row>
    <row r="36" spans="1:12" x14ac:dyDescent="0.2">
      <c r="A36" t="s">
        <v>188</v>
      </c>
      <c r="B36" t="s">
        <v>189</v>
      </c>
      <c r="C36" t="s">
        <v>190</v>
      </c>
      <c r="D36" t="s">
        <v>192</v>
      </c>
      <c r="E36" t="str">
        <f>HYPERLINK("/pdf/2017_10.1016_j.jisa.2016.10.001_A_white-box_anomaly-based_framework_for_database_leakage_detection.pdf","open")</f>
        <v>open</v>
      </c>
      <c r="F36" t="s">
        <v>5803</v>
      </c>
      <c r="G36" t="s">
        <v>5804</v>
      </c>
      <c r="H36" t="s">
        <v>5805</v>
      </c>
      <c r="I36" t="s">
        <v>957</v>
      </c>
      <c r="J36" t="s">
        <v>5806</v>
      </c>
      <c r="K36" t="s">
        <v>957</v>
      </c>
      <c r="L36" t="s">
        <v>5807</v>
      </c>
    </row>
    <row r="37" spans="1:12" x14ac:dyDescent="0.2">
      <c r="A37" t="s">
        <v>194</v>
      </c>
      <c r="B37" t="s">
        <v>195</v>
      </c>
      <c r="C37" t="s">
        <v>148</v>
      </c>
      <c r="D37" t="s">
        <v>148</v>
      </c>
      <c r="E37" t="str">
        <f>HYPERLINK("/pdf/2020_10.1109_rivf48685.2020.9140781_Network_Analytics_for_Improving_Students'_Cybersecurity_Awareness_in_Online_Learning_Systems.pdf","open")</f>
        <v>open</v>
      </c>
      <c r="F37" t="s">
        <v>5808</v>
      </c>
      <c r="G37" t="s">
        <v>5809</v>
      </c>
      <c r="H37" t="s">
        <v>5810</v>
      </c>
      <c r="I37" t="s">
        <v>2223</v>
      </c>
      <c r="J37" t="s">
        <v>148</v>
      </c>
      <c r="K37" t="s">
        <v>2998</v>
      </c>
      <c r="L37" t="s">
        <v>5811</v>
      </c>
    </row>
    <row r="38" spans="1:12" x14ac:dyDescent="0.2">
      <c r="A38" t="s">
        <v>198</v>
      </c>
      <c r="B38" t="s">
        <v>199</v>
      </c>
      <c r="C38" t="s">
        <v>25</v>
      </c>
      <c r="D38" t="s">
        <v>201</v>
      </c>
      <c r="E38" t="str">
        <f>HYPERLINK("/pdf/2023_10.1109_tcad.2022.3174171_IP-Tag__Tag-Based_Runtime_3PIP_Hardware_Trojan_Detection_in_SoC_Platforms.pdf","open")</f>
        <v>open</v>
      </c>
      <c r="F38" t="s">
        <v>5812</v>
      </c>
      <c r="G38" t="s">
        <v>148</v>
      </c>
      <c r="H38" t="s">
        <v>5813</v>
      </c>
      <c r="I38" t="s">
        <v>2223</v>
      </c>
      <c r="J38" t="s">
        <v>148</v>
      </c>
      <c r="K38" t="s">
        <v>2223</v>
      </c>
      <c r="L38" t="s">
        <v>148</v>
      </c>
    </row>
    <row r="39" spans="1:12" x14ac:dyDescent="0.2">
      <c r="A39" t="s">
        <v>203</v>
      </c>
      <c r="B39" t="s">
        <v>204</v>
      </c>
      <c r="C39" t="s">
        <v>19</v>
      </c>
      <c r="D39" t="s">
        <v>206</v>
      </c>
      <c r="E39" t="str">
        <f>HYPERLINK("/pdf/2025_10.1109_roma66616.2025.11155405_A_Survey_on_AI-Enabled_Anomaly_Detection_with_Privacy_Preservation_in_Wireless_Sensor_Healthcare_IoT_Environme.pdf","open")</f>
        <v>open</v>
      </c>
      <c r="F39" t="s">
        <v>5814</v>
      </c>
      <c r="G39" t="s">
        <v>5815</v>
      </c>
      <c r="H39" t="s">
        <v>5816</v>
      </c>
      <c r="I39" t="s">
        <v>2223</v>
      </c>
      <c r="J39" t="s">
        <v>5817</v>
      </c>
      <c r="K39" t="s">
        <v>2223</v>
      </c>
      <c r="L39" t="s">
        <v>5818</v>
      </c>
    </row>
    <row r="40" spans="1:12" x14ac:dyDescent="0.2">
      <c r="A40" t="s">
        <v>208</v>
      </c>
      <c r="B40" t="s">
        <v>209</v>
      </c>
      <c r="C40" t="s">
        <v>210</v>
      </c>
      <c r="D40" t="s">
        <v>148</v>
      </c>
      <c r="E40" t="str">
        <f>HYPERLINK("/pdf/2015_Device_management_technology_for_preventing_data_leakage.pdf","open")</f>
        <v>open</v>
      </c>
      <c r="F40" t="s">
        <v>148</v>
      </c>
      <c r="G40" t="s">
        <v>5819</v>
      </c>
      <c r="H40" t="s">
        <v>5820</v>
      </c>
      <c r="I40" t="s">
        <v>2223</v>
      </c>
      <c r="J40" t="s">
        <v>148</v>
      </c>
      <c r="K40" t="s">
        <v>2223</v>
      </c>
      <c r="L40" t="s">
        <v>148</v>
      </c>
    </row>
    <row r="41" spans="1:12" x14ac:dyDescent="0.2">
      <c r="A41" t="s">
        <v>213</v>
      </c>
      <c r="B41" t="s">
        <v>214</v>
      </c>
      <c r="C41" t="s">
        <v>215</v>
      </c>
      <c r="D41" t="s">
        <v>217</v>
      </c>
      <c r="E41" t="str">
        <f>HYPERLINK("/pdf/2015_10.1109_mass.2014.131_Android_smartphone_third_party_advertising_library_data_leak_analysis.pdf","open")</f>
        <v>open</v>
      </c>
      <c r="F41" t="s">
        <v>5821</v>
      </c>
      <c r="G41" t="s">
        <v>5822</v>
      </c>
      <c r="H41" t="s">
        <v>5823</v>
      </c>
      <c r="I41" t="s">
        <v>2998</v>
      </c>
      <c r="J41" t="s">
        <v>5824</v>
      </c>
      <c r="K41" t="s">
        <v>2223</v>
      </c>
      <c r="L41" t="s">
        <v>148</v>
      </c>
    </row>
    <row r="42" spans="1:12" x14ac:dyDescent="0.2">
      <c r="A42" t="s">
        <v>219</v>
      </c>
      <c r="B42" t="s">
        <v>220</v>
      </c>
      <c r="C42" t="s">
        <v>19</v>
      </c>
      <c r="D42" t="s">
        <v>222</v>
      </c>
      <c r="E42" t="str">
        <f>HYPERLINK("/pdf/2025_10.1109_iacis65746.2025.11211489_A_Secure_Blockchain_Framework_Using_Stacked_SVM-RF_with_Advanced_Encryption_Standard_Galois_Counter_Mode.pdf","open")</f>
        <v>open</v>
      </c>
      <c r="F42" t="s">
        <v>5825</v>
      </c>
      <c r="G42" t="s">
        <v>5826</v>
      </c>
      <c r="H42" t="s">
        <v>5827</v>
      </c>
      <c r="I42" t="s">
        <v>2223</v>
      </c>
      <c r="J42" t="s">
        <v>5828</v>
      </c>
      <c r="K42" t="s">
        <v>2223</v>
      </c>
      <c r="L42" t="s">
        <v>5829</v>
      </c>
    </row>
    <row r="43" spans="1:12" x14ac:dyDescent="0.2">
      <c r="A43" t="s">
        <v>224</v>
      </c>
      <c r="B43" t="s">
        <v>225</v>
      </c>
      <c r="C43" t="s">
        <v>100</v>
      </c>
      <c r="D43" t="s">
        <v>227</v>
      </c>
      <c r="E43" t="str">
        <f>HYPERLINK("/pdf/2022_10.1109_incoft55651.2022.10094509_Data_Leakage_Prevention_System_for_Internal_Security.pdf","open")</f>
        <v>open</v>
      </c>
      <c r="F43" t="s">
        <v>5830</v>
      </c>
      <c r="G43" t="s">
        <v>148</v>
      </c>
      <c r="H43" t="s">
        <v>5831</v>
      </c>
      <c r="I43" t="s">
        <v>2223</v>
      </c>
      <c r="J43" t="s">
        <v>5832</v>
      </c>
      <c r="K43" t="s">
        <v>2223</v>
      </c>
      <c r="L43" t="s">
        <v>5833</v>
      </c>
    </row>
    <row r="44" spans="1:12" x14ac:dyDescent="0.2">
      <c r="A44" t="s">
        <v>229</v>
      </c>
      <c r="B44" t="s">
        <v>230</v>
      </c>
      <c r="C44" t="s">
        <v>19</v>
      </c>
      <c r="D44" t="s">
        <v>232</v>
      </c>
      <c r="E44" t="str">
        <f>HYPERLINK("/pdf/2025_10.1109_tsusc.2024.3409329_Safeguarding_Patient_Data-Sharing__Blockchain-Enabled_Federated_Learning_in_Medical_Diagnostics.pdf","open")</f>
        <v>open</v>
      </c>
      <c r="F44" t="s">
        <v>5834</v>
      </c>
      <c r="G44" t="s">
        <v>5835</v>
      </c>
      <c r="H44" t="s">
        <v>5836</v>
      </c>
      <c r="I44" t="s">
        <v>2223</v>
      </c>
      <c r="J44" t="s">
        <v>5837</v>
      </c>
      <c r="K44" t="s">
        <v>2223</v>
      </c>
      <c r="L44" t="s">
        <v>5838</v>
      </c>
    </row>
    <row r="45" spans="1:12" x14ac:dyDescent="0.2">
      <c r="A45" t="s">
        <v>234</v>
      </c>
      <c r="B45" t="s">
        <v>235</v>
      </c>
      <c r="C45" t="s">
        <v>36</v>
      </c>
      <c r="D45" t="s">
        <v>237</v>
      </c>
      <c r="E45" t="str">
        <f>HYPERLINK("/pdf/2021_10.1016_j.heliyon.2021.e06016_Measuring_the_level_of_cyber-security_awareness_for_cybercrime_in_Saudi_Arabia.pdf","open")</f>
        <v>open</v>
      </c>
      <c r="F45" t="s">
        <v>5839</v>
      </c>
      <c r="G45" t="s">
        <v>5840</v>
      </c>
      <c r="H45" t="s">
        <v>5841</v>
      </c>
      <c r="I45" t="s">
        <v>2223</v>
      </c>
      <c r="J45" t="s">
        <v>5842</v>
      </c>
      <c r="K45" t="s">
        <v>2223</v>
      </c>
      <c r="L45" t="s">
        <v>5843</v>
      </c>
    </row>
    <row r="46" spans="1:12" x14ac:dyDescent="0.2">
      <c r="A46" t="s">
        <v>239</v>
      </c>
      <c r="B46" t="s">
        <v>240</v>
      </c>
      <c r="C46" t="s">
        <v>60</v>
      </c>
      <c r="D46" t="s">
        <v>242</v>
      </c>
      <c r="E46" t="str">
        <f>HYPERLINK("/pdf/2024_10.1109_iccr61006.2024.10532886_Feed-forward_ANN_with_Random_Forest_Technique_for_Identifying_Malicious_Internet_of_Things_Network_Intrusion.pdf","open")</f>
        <v>open</v>
      </c>
      <c r="F46" t="s">
        <v>5844</v>
      </c>
      <c r="G46" t="s">
        <v>5845</v>
      </c>
      <c r="H46" t="s">
        <v>5846</v>
      </c>
      <c r="I46" t="s">
        <v>2998</v>
      </c>
      <c r="J46" t="s">
        <v>5847</v>
      </c>
      <c r="K46" t="s">
        <v>2223</v>
      </c>
      <c r="L46" t="s">
        <v>5848</v>
      </c>
    </row>
    <row r="47" spans="1:12" x14ac:dyDescent="0.2">
      <c r="A47" t="s">
        <v>244</v>
      </c>
      <c r="B47" t="s">
        <v>245</v>
      </c>
      <c r="C47" t="s">
        <v>100</v>
      </c>
      <c r="D47" t="s">
        <v>247</v>
      </c>
      <c r="E47" t="str">
        <f>HYPERLINK("/pdf/2022_10.1049_cmu2.12401_Trust_management_and_data_protection_for_online_social_networks.pdf","open")</f>
        <v>open</v>
      </c>
      <c r="F47" t="s">
        <v>5849</v>
      </c>
      <c r="G47" t="s">
        <v>5850</v>
      </c>
      <c r="H47" t="s">
        <v>5851</v>
      </c>
      <c r="I47" t="s">
        <v>2223</v>
      </c>
      <c r="J47" t="s">
        <v>5852</v>
      </c>
      <c r="K47" t="s">
        <v>2998</v>
      </c>
      <c r="L47" t="s">
        <v>5853</v>
      </c>
    </row>
    <row r="48" spans="1:12" x14ac:dyDescent="0.2">
      <c r="A48" t="s">
        <v>249</v>
      </c>
      <c r="B48" t="s">
        <v>250</v>
      </c>
      <c r="C48" t="s">
        <v>190</v>
      </c>
      <c r="D48" t="s">
        <v>252</v>
      </c>
      <c r="E48" t="str">
        <f>HYPERLINK("/pdf/2017_10.1109_dasc-picom-datacom-cyberscitec.2017.112_Combating_data_leakage_trojans_in_sequential_circuits_through_randomized_encoding.pdf","open")</f>
        <v>open</v>
      </c>
      <c r="F48" t="s">
        <v>148</v>
      </c>
      <c r="G48" t="s">
        <v>148</v>
      </c>
      <c r="H48" t="s">
        <v>5854</v>
      </c>
      <c r="I48" t="s">
        <v>2223</v>
      </c>
      <c r="J48" t="s">
        <v>5855</v>
      </c>
      <c r="K48" t="s">
        <v>2223</v>
      </c>
      <c r="L48" t="s">
        <v>5856</v>
      </c>
    </row>
    <row r="49" spans="1:12" x14ac:dyDescent="0.2">
      <c r="A49" t="s">
        <v>254</v>
      </c>
      <c r="B49" t="s">
        <v>255</v>
      </c>
      <c r="C49" t="s">
        <v>36</v>
      </c>
      <c r="D49" t="s">
        <v>257</v>
      </c>
      <c r="E49" t="str">
        <f>HYPERLINK("/pdf/2021_10.1109_ddecs52668.2021.9417061_A_Benchmark_Suite_of_RT-level_Hardware_Trojans_for_Pipelined_Microprocessor_Cores.pdf","open")</f>
        <v>open</v>
      </c>
      <c r="F49" t="s">
        <v>5857</v>
      </c>
      <c r="G49" t="s">
        <v>5858</v>
      </c>
      <c r="H49" t="s">
        <v>5859</v>
      </c>
      <c r="I49" t="s">
        <v>2223</v>
      </c>
      <c r="J49" t="s">
        <v>148</v>
      </c>
      <c r="K49" t="s">
        <v>2223</v>
      </c>
      <c r="L49" t="s">
        <v>148</v>
      </c>
    </row>
    <row r="50" spans="1:12" x14ac:dyDescent="0.2">
      <c r="A50" t="s">
        <v>259</v>
      </c>
      <c r="B50" t="s">
        <v>75</v>
      </c>
      <c r="C50" t="s">
        <v>25</v>
      </c>
      <c r="D50" t="s">
        <v>74</v>
      </c>
      <c r="E50" t="str">
        <f>HYPERLINK("/pdf/2024_10_1109_access_2024_3363640_how_can_credit_supervision_mechanism_improve_security_crowdsourcing_ecosystem_governance.pdf","open")</f>
        <v>open</v>
      </c>
      <c r="F50" t="s">
        <v>5860</v>
      </c>
      <c r="G50" t="s">
        <v>5861</v>
      </c>
      <c r="H50" t="s">
        <v>5862</v>
      </c>
      <c r="I50" t="s">
        <v>2223</v>
      </c>
      <c r="J50" t="s">
        <v>5863</v>
      </c>
      <c r="K50" t="s">
        <v>2223</v>
      </c>
      <c r="L50" t="s">
        <v>5864</v>
      </c>
    </row>
    <row r="51" spans="1:12" x14ac:dyDescent="0.2">
      <c r="A51" t="s">
        <v>261</v>
      </c>
      <c r="B51" t="s">
        <v>262</v>
      </c>
      <c r="C51" t="s">
        <v>36</v>
      </c>
      <c r="D51" t="s">
        <v>264</v>
      </c>
      <c r="E51" t="str">
        <f>HYPERLINK("/pdf/2021_10.1109_bigdatasecurityhpscids52275.2021.00038_Toward_Pinpointing_Data_Leakage_from_Advanced_Persistent_Threats.pdf","open")</f>
        <v>open</v>
      </c>
      <c r="F51" t="s">
        <v>5865</v>
      </c>
      <c r="G51" t="s">
        <v>5866</v>
      </c>
      <c r="H51" t="s">
        <v>5867</v>
      </c>
      <c r="I51" t="s">
        <v>2998</v>
      </c>
      <c r="J51" t="s">
        <v>5868</v>
      </c>
      <c r="K51" t="s">
        <v>2223</v>
      </c>
      <c r="L51" t="s">
        <v>5869</v>
      </c>
    </row>
    <row r="52" spans="1:12" x14ac:dyDescent="0.2">
      <c r="A52" t="s">
        <v>266</v>
      </c>
      <c r="B52" t="s">
        <v>267</v>
      </c>
      <c r="C52" t="s">
        <v>268</v>
      </c>
      <c r="D52" t="s">
        <v>148</v>
      </c>
      <c r="E52" t="str">
        <f>HYPERLINK("/pdf/2010_10.1109_cnsm.2010.5691292_User_identification_in_encrypted_network_communications.pdf","open")</f>
        <v>open</v>
      </c>
      <c r="F52" t="s">
        <v>5870</v>
      </c>
      <c r="G52" t="s">
        <v>5871</v>
      </c>
      <c r="H52" t="s">
        <v>5872</v>
      </c>
      <c r="I52" t="s">
        <v>2223</v>
      </c>
      <c r="J52" t="s">
        <v>148</v>
      </c>
      <c r="K52" t="s">
        <v>2223</v>
      </c>
      <c r="L52" t="s">
        <v>5873</v>
      </c>
    </row>
    <row r="53" spans="1:12" x14ac:dyDescent="0.2">
      <c r="A53" t="s">
        <v>271</v>
      </c>
      <c r="B53" t="s">
        <v>272</v>
      </c>
      <c r="C53" t="s">
        <v>60</v>
      </c>
      <c r="D53" t="s">
        <v>274</v>
      </c>
      <c r="E53" t="str">
        <f>HYPERLINK("/pdf/2024_10_4108_eetsis_5028_determining_intrusion_attacks_against_online_applications_using_cloud_based_data_security.pdf","open")</f>
        <v>open</v>
      </c>
      <c r="F53" t="s">
        <v>148</v>
      </c>
      <c r="G53" t="s">
        <v>148</v>
      </c>
      <c r="H53" t="s">
        <v>5874</v>
      </c>
      <c r="I53" t="s">
        <v>2223</v>
      </c>
      <c r="J53" t="s">
        <v>5875</v>
      </c>
      <c r="K53" t="s">
        <v>2223</v>
      </c>
      <c r="L53" t="s">
        <v>5876</v>
      </c>
    </row>
    <row r="54" spans="1:12" x14ac:dyDescent="0.2">
      <c r="A54" t="s">
        <v>276</v>
      </c>
      <c r="B54" t="s">
        <v>277</v>
      </c>
      <c r="C54" t="s">
        <v>190</v>
      </c>
      <c r="D54" t="s">
        <v>279</v>
      </c>
      <c r="E54" t="str">
        <f>HYPERLINK("/pdf/2017_10_1109_netsoft_2017_8004195_automated_verification_of_security_chains_in_software_defined_networks_with_synaptic.pdf","open")</f>
        <v>open</v>
      </c>
      <c r="F54" t="s">
        <v>5877</v>
      </c>
      <c r="G54" t="s">
        <v>5878</v>
      </c>
      <c r="H54" t="s">
        <v>5879</v>
      </c>
      <c r="I54" t="s">
        <v>2223</v>
      </c>
      <c r="J54" t="s">
        <v>5880</v>
      </c>
      <c r="K54" t="s">
        <v>2223</v>
      </c>
      <c r="L54" t="s">
        <v>5881</v>
      </c>
    </row>
    <row r="55" spans="1:12" x14ac:dyDescent="0.2">
      <c r="A55" t="s">
        <v>281</v>
      </c>
      <c r="B55" t="s">
        <v>282</v>
      </c>
      <c r="C55" t="s">
        <v>36</v>
      </c>
      <c r="D55" t="s">
        <v>284</v>
      </c>
      <c r="E55" t="str">
        <f>HYPERLINK("/pdf/2021_10.1109_vts50974.2021.9441032_Special_session__CAD_for_hardware_security_-_Automation_is_key_to_adoption_of_solutions.pdf","open")</f>
        <v>open</v>
      </c>
      <c r="F55" t="s">
        <v>5882</v>
      </c>
      <c r="G55" t="s">
        <v>5883</v>
      </c>
      <c r="H55" t="s">
        <v>5884</v>
      </c>
      <c r="I55" t="s">
        <v>2223</v>
      </c>
      <c r="J55" t="s">
        <v>148</v>
      </c>
      <c r="K55" t="s">
        <v>2998</v>
      </c>
      <c r="L55" t="s">
        <v>5885</v>
      </c>
    </row>
    <row r="56" spans="1:12" x14ac:dyDescent="0.2">
      <c r="A56" t="s">
        <v>286</v>
      </c>
      <c r="B56" t="s">
        <v>287</v>
      </c>
      <c r="C56" t="s">
        <v>60</v>
      </c>
      <c r="D56" t="s">
        <v>289</v>
      </c>
      <c r="E56" t="str">
        <f>HYPERLINK("/pdf/2024_10.1109_tifs.2024.3420233_SGD3QN__Joint_Stochastic_Games_and_Dueling_Double_Deep_Q-Networks_for_Defending_Malware_Propagation_in_Edge_In.pdf","open")</f>
        <v>open</v>
      </c>
      <c r="F56" t="s">
        <v>5886</v>
      </c>
      <c r="G56" t="s">
        <v>5887</v>
      </c>
      <c r="H56" t="s">
        <v>5888</v>
      </c>
      <c r="I56" t="s">
        <v>2223</v>
      </c>
      <c r="J56" t="s">
        <v>5889</v>
      </c>
      <c r="K56" t="s">
        <v>2223</v>
      </c>
      <c r="L56" t="s">
        <v>5890</v>
      </c>
    </row>
    <row r="57" spans="1:12" x14ac:dyDescent="0.2">
      <c r="A57" t="s">
        <v>291</v>
      </c>
      <c r="B57" t="s">
        <v>292</v>
      </c>
      <c r="C57" t="s">
        <v>60</v>
      </c>
      <c r="D57" t="s">
        <v>294</v>
      </c>
      <c r="E57" t="str">
        <f>HYPERLINK("/pdf/2024_10.1007_s10115-024-02184-6_An_online_ensemble_classification_algorithm_for_multi-class_imbalanced_data_stream.pdf","open")</f>
        <v>open</v>
      </c>
      <c r="F57" t="s">
        <v>5891</v>
      </c>
      <c r="G57" t="s">
        <v>5892</v>
      </c>
      <c r="H57" t="s">
        <v>5893</v>
      </c>
      <c r="I57" t="s">
        <v>957</v>
      </c>
      <c r="J57" t="s">
        <v>5894</v>
      </c>
      <c r="K57" t="s">
        <v>2223</v>
      </c>
      <c r="L57" t="s">
        <v>5895</v>
      </c>
    </row>
    <row r="58" spans="1:12" x14ac:dyDescent="0.2">
      <c r="A58" t="s">
        <v>296</v>
      </c>
      <c r="B58" t="s">
        <v>297</v>
      </c>
      <c r="C58" t="s">
        <v>19</v>
      </c>
      <c r="D58" t="s">
        <v>296</v>
      </c>
      <c r="E58" t="str">
        <f>HYPERLINK("/pdf/2025_10.1109_icimia67127.2025.11200972_An_Intelligent_Data_Leakage_Prevention_in_Cloud_Computing_using_Golden_Jackal_Optimization.pdf.pdf","open")</f>
        <v>open</v>
      </c>
      <c r="F58" t="s">
        <v>5896</v>
      </c>
      <c r="G58" t="s">
        <v>5897</v>
      </c>
      <c r="H58" t="s">
        <v>5898</v>
      </c>
      <c r="I58" t="s">
        <v>2223</v>
      </c>
      <c r="J58" t="s">
        <v>5899</v>
      </c>
      <c r="K58" t="s">
        <v>2223</v>
      </c>
      <c r="L58" t="s">
        <v>5900</v>
      </c>
    </row>
    <row r="59" spans="1:12" x14ac:dyDescent="0.2">
      <c r="A59" t="s">
        <v>300</v>
      </c>
      <c r="B59" t="s">
        <v>301</v>
      </c>
      <c r="C59" t="s">
        <v>60</v>
      </c>
      <c r="D59" t="s">
        <v>303</v>
      </c>
      <c r="E59" t="str">
        <f>HYPERLINK("/pdf/2024_10.1109_host55342.2024.10545402_NoiseHopper__Emission_Hopping_Air-Gap_Covert_Side_Channel_with_Lower_Probability_of_Detection.pdf","open")</f>
        <v>open</v>
      </c>
      <c r="F59" t="s">
        <v>5901</v>
      </c>
      <c r="G59" t="s">
        <v>5902</v>
      </c>
      <c r="H59" t="s">
        <v>5903</v>
      </c>
      <c r="I59" t="s">
        <v>2223</v>
      </c>
      <c r="J59" t="s">
        <v>5904</v>
      </c>
      <c r="K59" t="s">
        <v>2223</v>
      </c>
      <c r="L59" t="s">
        <v>5905</v>
      </c>
    </row>
    <row r="60" spans="1:12" x14ac:dyDescent="0.2">
      <c r="A60" t="s">
        <v>305</v>
      </c>
      <c r="B60" t="s">
        <v>306</v>
      </c>
      <c r="C60" t="s">
        <v>100</v>
      </c>
      <c r="D60" t="s">
        <v>148</v>
      </c>
      <c r="E60" t="str">
        <f>HYPERLINK("/pdf/2023_10_1109_mobilsoft59058_2023_00016_sensitive_and_personal_data_what_exactly_are_you_talking_about.pdf","open")</f>
        <v>open</v>
      </c>
      <c r="F60" t="s">
        <v>5906</v>
      </c>
      <c r="G60" t="s">
        <v>5907</v>
      </c>
      <c r="H60" t="s">
        <v>5908</v>
      </c>
      <c r="I60" t="s">
        <v>2223</v>
      </c>
      <c r="J60" t="s">
        <v>148</v>
      </c>
      <c r="K60" t="s">
        <v>2223</v>
      </c>
      <c r="L60" t="s">
        <v>148</v>
      </c>
    </row>
    <row r="61" spans="1:12" x14ac:dyDescent="0.2">
      <c r="A61" t="s">
        <v>308</v>
      </c>
      <c r="B61" t="s">
        <v>309</v>
      </c>
      <c r="C61" t="s">
        <v>36</v>
      </c>
      <c r="D61" t="s">
        <v>311</v>
      </c>
      <c r="E61" t="str">
        <f>HYPERLINK("/pdf/2022_10_1016_j_neucom_2021_01_144_a_real_time_dynamic_concept_adaptive_learning_algorithm_for_exploitability_prediction.pdf","open")</f>
        <v>open</v>
      </c>
      <c r="F61" t="s">
        <v>5909</v>
      </c>
      <c r="G61" t="s">
        <v>5910</v>
      </c>
      <c r="H61" t="s">
        <v>5911</v>
      </c>
      <c r="I61" t="s">
        <v>5793</v>
      </c>
      <c r="J61" t="s">
        <v>5912</v>
      </c>
      <c r="K61" t="s">
        <v>2223</v>
      </c>
      <c r="L61" t="s">
        <v>5913</v>
      </c>
    </row>
    <row r="62" spans="1:12" x14ac:dyDescent="0.2">
      <c r="A62" t="s">
        <v>313</v>
      </c>
      <c r="B62" t="s">
        <v>314</v>
      </c>
      <c r="C62" t="s">
        <v>36</v>
      </c>
      <c r="D62" t="s">
        <v>316</v>
      </c>
      <c r="E62" t="str">
        <f>HYPERLINK("/pdf/2022_10_1080_0144929x_2021_1953597_the_relationship_between_online_political_participation_and_privacy_protection_evidence_f.pdf","open")</f>
        <v>open</v>
      </c>
      <c r="F62" t="s">
        <v>5914</v>
      </c>
      <c r="G62" t="s">
        <v>5915</v>
      </c>
      <c r="H62" t="s">
        <v>148</v>
      </c>
      <c r="I62" t="s">
        <v>2223</v>
      </c>
      <c r="J62" t="s">
        <v>5916</v>
      </c>
      <c r="K62" t="s">
        <v>2223</v>
      </c>
      <c r="L62" t="s">
        <v>5917</v>
      </c>
    </row>
    <row r="63" spans="1:12" x14ac:dyDescent="0.2">
      <c r="A63" t="s">
        <v>318</v>
      </c>
      <c r="B63" t="s">
        <v>319</v>
      </c>
      <c r="C63" t="s">
        <v>25</v>
      </c>
      <c r="D63" t="s">
        <v>321</v>
      </c>
      <c r="E63" t="str">
        <f>HYPERLINK("/pdf/2023_10_1007_s40747_021_00456_0_deep_learning_framework_for_handling_concept_drift_and_class_imbalanced_complex_decision_m.pdf","open")</f>
        <v>open</v>
      </c>
      <c r="F63" t="s">
        <v>5918</v>
      </c>
      <c r="G63" t="s">
        <v>5919</v>
      </c>
      <c r="H63" t="s">
        <v>5920</v>
      </c>
      <c r="I63" t="s">
        <v>2998</v>
      </c>
      <c r="J63" t="s">
        <v>5921</v>
      </c>
      <c r="K63" t="s">
        <v>2223</v>
      </c>
      <c r="L63" t="s">
        <v>5922</v>
      </c>
    </row>
    <row r="64" spans="1:12" x14ac:dyDescent="0.2">
      <c r="A64" t="s">
        <v>323</v>
      </c>
      <c r="B64" t="s">
        <v>323</v>
      </c>
      <c r="C64" t="s">
        <v>19</v>
      </c>
      <c r="D64" t="s">
        <v>324</v>
      </c>
      <c r="E64" t="str">
        <f>HYPERLINK("/pdf/2025_10.1109_access.2025.3569356_FEXGBIDS__Federated_XGBoost-Based_Intrusion_Detection_System_for_In-Vehicle_Network.pdf","open")</f>
        <v>open</v>
      </c>
      <c r="F64" t="s">
        <v>5923</v>
      </c>
      <c r="G64" t="s">
        <v>5924</v>
      </c>
      <c r="H64" t="s">
        <v>5925</v>
      </c>
      <c r="I64" t="s">
        <v>2223</v>
      </c>
      <c r="J64" t="s">
        <v>148</v>
      </c>
      <c r="K64" t="s">
        <v>2223</v>
      </c>
      <c r="L64" t="s">
        <v>5926</v>
      </c>
    </row>
    <row r="65" spans="1:12" x14ac:dyDescent="0.2">
      <c r="A65" t="s">
        <v>326</v>
      </c>
      <c r="B65" t="s">
        <v>327</v>
      </c>
      <c r="C65" t="s">
        <v>190</v>
      </c>
      <c r="D65" t="s">
        <v>329</v>
      </c>
      <c r="E65" t="str">
        <f>HYPERLINK("/pdf/2017_10.1109_iccsn.2017.8230197_EddLeak__Enhancing_precision_of_detecting_inter-app_data_leakage_in_Android_applications.pdf","open")</f>
        <v>open</v>
      </c>
      <c r="F65" t="s">
        <v>5927</v>
      </c>
      <c r="G65" t="s">
        <v>148</v>
      </c>
      <c r="H65" t="s">
        <v>5928</v>
      </c>
      <c r="I65" t="s">
        <v>2223</v>
      </c>
      <c r="J65" t="s">
        <v>148</v>
      </c>
      <c r="K65" t="s">
        <v>2998</v>
      </c>
      <c r="L65" t="s">
        <v>5929</v>
      </c>
    </row>
    <row r="66" spans="1:12" x14ac:dyDescent="0.2">
      <c r="A66" t="s">
        <v>331</v>
      </c>
      <c r="B66" t="s">
        <v>332</v>
      </c>
      <c r="C66" t="s">
        <v>25</v>
      </c>
      <c r="D66" t="s">
        <v>334</v>
      </c>
      <c r="E66" t="str">
        <f>HYPERLINK("/pdf/2023_10.1109_3ict60104.2023.10391475_Enhancing_Mobile_Security__A_Systematic_Review_of_AI_and_Blockchain_Integration_Strategies_for_Effective_Analy.pdf","open")</f>
        <v>open</v>
      </c>
      <c r="F66" t="s">
        <v>5930</v>
      </c>
      <c r="G66" t="s">
        <v>5931</v>
      </c>
      <c r="H66" t="s">
        <v>5932</v>
      </c>
      <c r="I66" t="s">
        <v>2223</v>
      </c>
      <c r="J66" t="s">
        <v>5933</v>
      </c>
      <c r="K66" t="s">
        <v>2223</v>
      </c>
      <c r="L66" t="s">
        <v>5934</v>
      </c>
    </row>
    <row r="67" spans="1:12" x14ac:dyDescent="0.2">
      <c r="A67" t="s">
        <v>336</v>
      </c>
      <c r="B67" t="s">
        <v>337</v>
      </c>
      <c r="C67" t="s">
        <v>19</v>
      </c>
      <c r="D67" t="s">
        <v>339</v>
      </c>
      <c r="E67" t="str">
        <f>HYPERLINK("/pdf/2025_10.1007_s13198-025-03013-x_Mobile_network_intelligent_recommendation_based_on_data_mining_and_network_security_application_in_college_stu.pdf","open")</f>
        <v>open</v>
      </c>
      <c r="F67" t="s">
        <v>148</v>
      </c>
      <c r="G67" t="s">
        <v>5935</v>
      </c>
      <c r="H67" t="s">
        <v>5936</v>
      </c>
      <c r="I67" t="s">
        <v>2223</v>
      </c>
      <c r="J67" t="s">
        <v>148</v>
      </c>
      <c r="K67" t="s">
        <v>2223</v>
      </c>
      <c r="L67" t="s">
        <v>148</v>
      </c>
    </row>
    <row r="68" spans="1:12" x14ac:dyDescent="0.2">
      <c r="A68" t="s">
        <v>341</v>
      </c>
      <c r="B68" t="s">
        <v>342</v>
      </c>
      <c r="C68" t="s">
        <v>12</v>
      </c>
      <c r="D68" t="s">
        <v>344</v>
      </c>
      <c r="E68" t="str">
        <f>HYPERLINK("/pdf/2018_10.1109_isvlsi.2018.00105_Security-driven_task_scheduling_for_multiprocessor_system-on-chips_with_performance_constraints.pdf","open")</f>
        <v>open</v>
      </c>
      <c r="F68" t="s">
        <v>5937</v>
      </c>
      <c r="G68" t="s">
        <v>148</v>
      </c>
      <c r="H68" t="s">
        <v>5938</v>
      </c>
      <c r="I68" t="s">
        <v>2223</v>
      </c>
      <c r="J68" t="s">
        <v>5939</v>
      </c>
      <c r="K68" t="s">
        <v>2998</v>
      </c>
      <c r="L68" t="s">
        <v>5940</v>
      </c>
    </row>
    <row r="69" spans="1:12" x14ac:dyDescent="0.2">
      <c r="A69" t="s">
        <v>346</v>
      </c>
      <c r="B69" t="s">
        <v>347</v>
      </c>
      <c r="C69" t="s">
        <v>54</v>
      </c>
      <c r="D69" t="s">
        <v>349</v>
      </c>
      <c r="E69" t="str">
        <f>HYPERLINK("/pdf/2020_10.1145_3407023.3409216_Exploring_data_leakage_in_encrypted_payload_using_supervised_machine_learning.pdf","open")</f>
        <v>open</v>
      </c>
      <c r="F69" t="s">
        <v>5941</v>
      </c>
      <c r="G69" t="s">
        <v>5942</v>
      </c>
      <c r="H69" t="s">
        <v>5943</v>
      </c>
      <c r="I69" t="s">
        <v>2998</v>
      </c>
      <c r="J69" t="s">
        <v>5944</v>
      </c>
      <c r="K69" t="s">
        <v>2223</v>
      </c>
      <c r="L69" t="s">
        <v>5945</v>
      </c>
    </row>
    <row r="70" spans="1:12" x14ac:dyDescent="0.2">
      <c r="A70" t="s">
        <v>351</v>
      </c>
      <c r="B70" t="s">
        <v>352</v>
      </c>
      <c r="C70" t="s">
        <v>54</v>
      </c>
      <c r="D70" t="s">
        <v>354</v>
      </c>
      <c r="E70" t="str">
        <f>HYPERLINK("/pdf/2020_10.1109_tvlsi.2020.2982188_Cache-Out__Leaking_Cache_Memory_Using_Hardware_Trojan.pdf","open")</f>
        <v>open</v>
      </c>
      <c r="F70" t="s">
        <v>5946</v>
      </c>
      <c r="G70" t="s">
        <v>148</v>
      </c>
      <c r="H70" t="s">
        <v>5947</v>
      </c>
      <c r="I70" t="s">
        <v>2223</v>
      </c>
      <c r="J70" t="s">
        <v>5948</v>
      </c>
      <c r="K70" t="s">
        <v>2223</v>
      </c>
      <c r="L70" t="s">
        <v>5949</v>
      </c>
    </row>
    <row r="71" spans="1:12" x14ac:dyDescent="0.2">
      <c r="A71" t="s">
        <v>356</v>
      </c>
      <c r="B71" t="s">
        <v>357</v>
      </c>
      <c r="C71" t="s">
        <v>25</v>
      </c>
      <c r="D71" t="s">
        <v>359</v>
      </c>
      <c r="E71" t="str">
        <f>HYPERLINK("/pdf/2023_10.1109_isctech60480.2023.00028_An_attack-aware_shipping_enterprise_cybersecurity_framework_based_on_deep_learning.pdf","open")</f>
        <v>open</v>
      </c>
      <c r="F71" t="s">
        <v>5950</v>
      </c>
      <c r="G71" t="s">
        <v>5951</v>
      </c>
      <c r="H71" t="s">
        <v>5952</v>
      </c>
      <c r="I71" t="s">
        <v>2223</v>
      </c>
      <c r="J71" t="s">
        <v>148</v>
      </c>
      <c r="K71" t="s">
        <v>2223</v>
      </c>
      <c r="L71" t="s">
        <v>148</v>
      </c>
    </row>
    <row r="72" spans="1:12" x14ac:dyDescent="0.2">
      <c r="A72" t="s">
        <v>361</v>
      </c>
      <c r="B72" t="s">
        <v>362</v>
      </c>
      <c r="C72" t="s">
        <v>363</v>
      </c>
      <c r="D72" t="s">
        <v>365</v>
      </c>
      <c r="E72" t="str">
        <f>HYPERLINK("/pdf/2016_10.1016_j.jnca.2016.01.008_A_survey_on_data_leakage_prevention_systems.pdf","open")</f>
        <v>open</v>
      </c>
      <c r="F72" t="s">
        <v>5953</v>
      </c>
      <c r="G72" t="s">
        <v>5954</v>
      </c>
      <c r="H72" t="s">
        <v>5955</v>
      </c>
      <c r="I72" t="s">
        <v>2998</v>
      </c>
      <c r="J72" t="s">
        <v>5956</v>
      </c>
      <c r="K72" t="s">
        <v>957</v>
      </c>
      <c r="L72" t="s">
        <v>5957</v>
      </c>
    </row>
    <row r="73" spans="1:12" x14ac:dyDescent="0.2">
      <c r="A73" t="s">
        <v>367</v>
      </c>
      <c r="B73" t="s">
        <v>368</v>
      </c>
      <c r="C73" t="s">
        <v>60</v>
      </c>
      <c r="D73" t="s">
        <v>370</v>
      </c>
      <c r="E73" t="str">
        <f>HYPERLINK("/pdf/2024_10.1002_9781394200801.ch32_Risks_for_conversational_AI_security.pdf","open")</f>
        <v>open</v>
      </c>
      <c r="F73" t="s">
        <v>5958</v>
      </c>
      <c r="G73" t="s">
        <v>5959</v>
      </c>
      <c r="H73" t="s">
        <v>5960</v>
      </c>
      <c r="I73" t="s">
        <v>2223</v>
      </c>
      <c r="J73" t="s">
        <v>5961</v>
      </c>
      <c r="K73" t="s">
        <v>2223</v>
      </c>
      <c r="L73" t="s">
        <v>5962</v>
      </c>
    </row>
    <row r="74" spans="1:12" x14ac:dyDescent="0.2">
      <c r="A74" t="s">
        <v>372</v>
      </c>
      <c r="B74" t="s">
        <v>373</v>
      </c>
      <c r="C74" t="s">
        <v>363</v>
      </c>
      <c r="D74" t="s">
        <v>375</v>
      </c>
      <c r="E74" t="str">
        <f>HYPERLINK("/pdf/2016_10.1109_hicss.2016.679_Utilizing_the_cloud_to_store_hijacked_camera_images.pdf","open")</f>
        <v>open</v>
      </c>
      <c r="F74" t="s">
        <v>5963</v>
      </c>
      <c r="G74" t="s">
        <v>5964</v>
      </c>
      <c r="H74" t="s">
        <v>5965</v>
      </c>
      <c r="I74" t="s">
        <v>2223</v>
      </c>
      <c r="J74" t="s">
        <v>148</v>
      </c>
      <c r="K74" t="s">
        <v>2998</v>
      </c>
      <c r="L74" t="s">
        <v>5966</v>
      </c>
    </row>
    <row r="75" spans="1:12" x14ac:dyDescent="0.2">
      <c r="A75" t="s">
        <v>140</v>
      </c>
      <c r="B75" t="s">
        <v>141</v>
      </c>
      <c r="C75" t="s">
        <v>25</v>
      </c>
      <c r="D75" t="s">
        <v>143</v>
      </c>
      <c r="E75" t="str">
        <f>HYPERLINK("/pdf/2023_10_11591_ijece_v13i5_pp5560_5568_concept_drift_and_machine_learning_model_for_detecting_fraudulent_transactions_i.pdf","open")</f>
        <v>open</v>
      </c>
      <c r="F75" t="s">
        <v>5967</v>
      </c>
      <c r="G75" t="s">
        <v>5968</v>
      </c>
      <c r="H75" t="s">
        <v>5969</v>
      </c>
      <c r="I75" t="s">
        <v>957</v>
      </c>
      <c r="J75" t="s">
        <v>5970</v>
      </c>
      <c r="K75" t="s">
        <v>2223</v>
      </c>
      <c r="L75" t="s">
        <v>5971</v>
      </c>
    </row>
    <row r="76" spans="1:12" x14ac:dyDescent="0.2">
      <c r="A76" t="s">
        <v>378</v>
      </c>
      <c r="B76" t="s">
        <v>379</v>
      </c>
      <c r="C76" t="s">
        <v>25</v>
      </c>
      <c r="D76" t="s">
        <v>378</v>
      </c>
      <c r="E76" t="str">
        <f>HYPERLINK("/pdf/2024_10_1587_transfun_2023eap1049_real_time_monitoring_systems_that_provide_m2m_communication_between_machines.pdf","open")</f>
        <v>open</v>
      </c>
      <c r="F76" t="s">
        <v>5972</v>
      </c>
      <c r="G76" t="s">
        <v>5973</v>
      </c>
      <c r="H76" t="s">
        <v>5974</v>
      </c>
      <c r="I76" t="s">
        <v>2223</v>
      </c>
      <c r="J76" t="s">
        <v>148</v>
      </c>
      <c r="K76" t="s">
        <v>2998</v>
      </c>
      <c r="L76" t="s">
        <v>5975</v>
      </c>
    </row>
    <row r="77" spans="1:12" x14ac:dyDescent="0.2">
      <c r="A77" t="s">
        <v>382</v>
      </c>
      <c r="B77" t="s">
        <v>383</v>
      </c>
      <c r="C77" t="s">
        <v>48</v>
      </c>
      <c r="D77" t="s">
        <v>385</v>
      </c>
      <c r="E77" t="str">
        <f>HYPERLINK("/pdf/2026_10_37394_23209_2026_23_6_intrusion_detection_system_iids.pdf","open")</f>
        <v>open</v>
      </c>
      <c r="F77" t="s">
        <v>5976</v>
      </c>
      <c r="G77" t="s">
        <v>5977</v>
      </c>
      <c r="H77" t="s">
        <v>5978</v>
      </c>
      <c r="I77" t="s">
        <v>2998</v>
      </c>
      <c r="J77" t="s">
        <v>5979</v>
      </c>
      <c r="K77" t="s">
        <v>2223</v>
      </c>
      <c r="L77" t="s">
        <v>5980</v>
      </c>
    </row>
    <row r="78" spans="1:12" x14ac:dyDescent="0.2">
      <c r="A78" t="s">
        <v>387</v>
      </c>
      <c r="B78" t="s">
        <v>388</v>
      </c>
      <c r="C78" t="s">
        <v>25</v>
      </c>
      <c r="D78" t="s">
        <v>390</v>
      </c>
      <c r="E78" t="str">
        <f>HYPERLINK("/pdf/2023_10_3390_fi15090296_fredy_federated_resilience_enhanced_with_differential_privacy.pdf","open")</f>
        <v>open</v>
      </c>
      <c r="F78" t="s">
        <v>5981</v>
      </c>
      <c r="G78" t="s">
        <v>5982</v>
      </c>
      <c r="H78" t="s">
        <v>5983</v>
      </c>
      <c r="I78" t="s">
        <v>2998</v>
      </c>
      <c r="J78" t="s">
        <v>5984</v>
      </c>
      <c r="K78" t="s">
        <v>2223</v>
      </c>
      <c r="L78" t="s">
        <v>5985</v>
      </c>
    </row>
    <row r="79" spans="1:12" x14ac:dyDescent="0.2">
      <c r="A79" t="s">
        <v>392</v>
      </c>
      <c r="B79" t="s">
        <v>393</v>
      </c>
      <c r="C79" t="s">
        <v>19</v>
      </c>
      <c r="D79" t="s">
        <v>395</v>
      </c>
      <c r="E79" t="str">
        <f>HYPERLINK("/pdf/2025_10.1109_isctt66403.2025.11137906_Distributed_Network_Intrusion_Detection_Model_Based_on_Multi-Feature_Fusion_Generative_Adversarial_Network_and.pdf","open")</f>
        <v>open</v>
      </c>
      <c r="F79" t="s">
        <v>5986</v>
      </c>
      <c r="G79" t="s">
        <v>5987</v>
      </c>
      <c r="H79" t="s">
        <v>5988</v>
      </c>
      <c r="I79" t="s">
        <v>2223</v>
      </c>
      <c r="J79" t="s">
        <v>5989</v>
      </c>
      <c r="K79" t="s">
        <v>2223</v>
      </c>
      <c r="L79" t="s">
        <v>5990</v>
      </c>
    </row>
    <row r="80" spans="1:12" x14ac:dyDescent="0.2">
      <c r="A80" t="s">
        <v>397</v>
      </c>
      <c r="B80" t="s">
        <v>398</v>
      </c>
      <c r="C80" t="s">
        <v>25</v>
      </c>
      <c r="D80" t="s">
        <v>400</v>
      </c>
      <c r="E80" t="str">
        <f>HYPERLINK("/pdf/2023_10_3390_en16134838_a_review_of_cybersecurity_concerns_for_transactive_energy_markets.pdf","open")</f>
        <v>open</v>
      </c>
      <c r="F80" t="s">
        <v>5991</v>
      </c>
      <c r="G80" t="s">
        <v>5992</v>
      </c>
      <c r="H80" t="s">
        <v>148</v>
      </c>
      <c r="I80" t="s">
        <v>2223</v>
      </c>
      <c r="J80" t="s">
        <v>5993</v>
      </c>
      <c r="K80" t="s">
        <v>2223</v>
      </c>
      <c r="L80" t="s">
        <v>5994</v>
      </c>
    </row>
    <row r="81" spans="1:12" x14ac:dyDescent="0.2">
      <c r="A81" t="s">
        <v>402</v>
      </c>
      <c r="B81" t="s">
        <v>403</v>
      </c>
      <c r="C81" t="s">
        <v>136</v>
      </c>
      <c r="D81" t="s">
        <v>405</v>
      </c>
      <c r="E81" t="str">
        <f>HYPERLINK("/pdf/2019_10_1109_compsac_2019_00118_ctrl_alt_led_leaking_data_from_air_gapped_computers_via_keyboard_leds.pdf","open")</f>
        <v>open</v>
      </c>
      <c r="F81" t="s">
        <v>5995</v>
      </c>
      <c r="G81" t="s">
        <v>148</v>
      </c>
      <c r="H81" t="s">
        <v>5996</v>
      </c>
      <c r="I81" t="s">
        <v>2223</v>
      </c>
      <c r="J81" t="s">
        <v>5997</v>
      </c>
      <c r="K81" t="s">
        <v>2223</v>
      </c>
      <c r="L81" t="s">
        <v>5905</v>
      </c>
    </row>
    <row r="82" spans="1:12" x14ac:dyDescent="0.2">
      <c r="A82" t="s">
        <v>407</v>
      </c>
      <c r="B82" t="s">
        <v>408</v>
      </c>
      <c r="C82" t="s">
        <v>12</v>
      </c>
      <c r="D82" t="s">
        <v>410</v>
      </c>
      <c r="E82" t="str">
        <f>HYPERLINK("/pdf/2018_10.1109_iccnc.2018.8390242_Don't_Be_Surprised__I_See_Your_Mobile_App_Stealing_Your_Data.pdf","open")</f>
        <v>open</v>
      </c>
      <c r="F82" t="s">
        <v>5998</v>
      </c>
      <c r="G82" t="s">
        <v>148</v>
      </c>
      <c r="H82" t="s">
        <v>5999</v>
      </c>
      <c r="I82" t="s">
        <v>2223</v>
      </c>
      <c r="J82" t="s">
        <v>148</v>
      </c>
      <c r="K82" t="s">
        <v>957</v>
      </c>
      <c r="L82" t="s">
        <v>6000</v>
      </c>
    </row>
    <row r="83" spans="1:12" x14ac:dyDescent="0.2">
      <c r="A83" t="s">
        <v>412</v>
      </c>
      <c r="B83" t="s">
        <v>11</v>
      </c>
      <c r="C83" t="s">
        <v>12</v>
      </c>
      <c r="D83" t="s">
        <v>14</v>
      </c>
      <c r="E83" t="str">
        <f>HYPERLINK("/pdf/2018_10_1007_978_1_4842_3700_7_defending_iot_infrastructures_with_the_raspberry_pi_monitoring_and_detecting_nefarious_be.pdf","open")</f>
        <v>open</v>
      </c>
      <c r="F83" t="s">
        <v>6001</v>
      </c>
      <c r="G83" t="s">
        <v>6002</v>
      </c>
      <c r="H83" t="s">
        <v>6003</v>
      </c>
      <c r="I83" t="s">
        <v>2223</v>
      </c>
      <c r="J83" t="s">
        <v>6004</v>
      </c>
      <c r="K83" t="s">
        <v>2223</v>
      </c>
      <c r="L83" t="s">
        <v>6005</v>
      </c>
    </row>
    <row r="84" spans="1:12" x14ac:dyDescent="0.2">
      <c r="A84" t="s">
        <v>415</v>
      </c>
      <c r="B84" t="s">
        <v>416</v>
      </c>
      <c r="C84" t="s">
        <v>19</v>
      </c>
      <c r="D84" t="s">
        <v>418</v>
      </c>
      <c r="E84" t="str">
        <f>HYPERLINK("/pdf/2025_10.1007_s10586-025-05591-8_RF-FedAvg__Federated_learning-based_random_forest_model_for_intrusion_detection_in_wireless_sensor_networks.pdf","open")</f>
        <v>open</v>
      </c>
      <c r="F84" t="s">
        <v>6006</v>
      </c>
      <c r="G84" t="s">
        <v>6007</v>
      </c>
      <c r="H84" t="s">
        <v>6008</v>
      </c>
      <c r="I84" t="s">
        <v>2998</v>
      </c>
      <c r="J84" t="s">
        <v>6009</v>
      </c>
      <c r="K84" t="s">
        <v>2223</v>
      </c>
      <c r="L84" t="s">
        <v>6010</v>
      </c>
    </row>
    <row r="85" spans="1:12" x14ac:dyDescent="0.2">
      <c r="A85" t="s">
        <v>420</v>
      </c>
      <c r="B85" t="s">
        <v>421</v>
      </c>
      <c r="C85" t="s">
        <v>19</v>
      </c>
      <c r="D85" t="s">
        <v>423</v>
      </c>
      <c r="E85" t="str">
        <f>HYPERLINK("/pdf/2025_10.1109_tifs.2025.3607271_The_Gradient_Puppeteer__Adversarial_Domination_in_Gradient_Leakage_Attacks_Through_Model_Poisoning.pdf","open")</f>
        <v>open</v>
      </c>
      <c r="F85" t="s">
        <v>6011</v>
      </c>
      <c r="G85" t="s">
        <v>6012</v>
      </c>
      <c r="H85" t="s">
        <v>6013</v>
      </c>
      <c r="I85" t="s">
        <v>2998</v>
      </c>
      <c r="J85" t="s">
        <v>6014</v>
      </c>
      <c r="K85" t="s">
        <v>2223</v>
      </c>
      <c r="L85" t="s">
        <v>6015</v>
      </c>
    </row>
    <row r="86" spans="1:12" x14ac:dyDescent="0.2">
      <c r="A86" t="s">
        <v>425</v>
      </c>
      <c r="B86" t="s">
        <v>426</v>
      </c>
      <c r="C86" t="s">
        <v>210</v>
      </c>
      <c r="D86" t="s">
        <v>428</v>
      </c>
      <c r="E86" t="str">
        <f>HYPERLINK("/pdf/2015_10.1109_ictc.2015.7354766_Mobile_security_technology_for_smart_devices.pdf","open")</f>
        <v>open</v>
      </c>
      <c r="F86" t="s">
        <v>6016</v>
      </c>
      <c r="G86" t="s">
        <v>148</v>
      </c>
      <c r="H86" t="s">
        <v>6017</v>
      </c>
      <c r="I86" t="s">
        <v>2223</v>
      </c>
      <c r="J86" t="s">
        <v>6018</v>
      </c>
      <c r="K86" t="s">
        <v>2223</v>
      </c>
      <c r="L86" t="s">
        <v>6019</v>
      </c>
    </row>
    <row r="87" spans="1:12" x14ac:dyDescent="0.2">
      <c r="A87" t="s">
        <v>430</v>
      </c>
      <c r="B87" t="s">
        <v>431</v>
      </c>
      <c r="C87" t="s">
        <v>60</v>
      </c>
      <c r="D87" t="s">
        <v>433</v>
      </c>
      <c r="E87" t="str">
        <f>HYPERLINK("/pdf/2024_10.1109_icees61253.2024.10776873_A_Comparative_Study_on_the_Impacts_of_Data_Leakage_During_Feature_Selection_using_the_CIC-IoT_2023_Intrusion_D.pdf","open")</f>
        <v>open</v>
      </c>
      <c r="F87" t="s">
        <v>6020</v>
      </c>
      <c r="G87" t="s">
        <v>6021</v>
      </c>
      <c r="H87" t="s">
        <v>6022</v>
      </c>
      <c r="I87" t="s">
        <v>5793</v>
      </c>
      <c r="J87" t="s">
        <v>6023</v>
      </c>
      <c r="K87" t="s">
        <v>2223</v>
      </c>
      <c r="L87" t="s">
        <v>6024</v>
      </c>
    </row>
    <row r="88" spans="1:12" x14ac:dyDescent="0.2">
      <c r="A88" t="s">
        <v>435</v>
      </c>
      <c r="B88" t="s">
        <v>436</v>
      </c>
      <c r="C88" t="s">
        <v>25</v>
      </c>
      <c r="D88" t="s">
        <v>438</v>
      </c>
      <c r="E88" t="str">
        <f>HYPERLINK("/pdf/2023_10.1109_tnet.2022.3215549_Packet_Chunking_for_File_Detection.pdf","open")</f>
        <v>open</v>
      </c>
      <c r="F88" t="s">
        <v>6025</v>
      </c>
      <c r="G88" t="s">
        <v>6026</v>
      </c>
      <c r="H88" t="s">
        <v>6027</v>
      </c>
      <c r="I88" t="s">
        <v>957</v>
      </c>
      <c r="J88" t="s">
        <v>6028</v>
      </c>
      <c r="K88" t="s">
        <v>2223</v>
      </c>
      <c r="L88" t="s">
        <v>6029</v>
      </c>
    </row>
    <row r="89" spans="1:12" x14ac:dyDescent="0.2">
      <c r="A89" t="s">
        <v>440</v>
      </c>
      <c r="B89" t="s">
        <v>441</v>
      </c>
      <c r="C89" t="s">
        <v>54</v>
      </c>
      <c r="D89" t="s">
        <v>443</v>
      </c>
      <c r="E89" t="str">
        <f>HYPERLINK("/pdf/2020_10.1109_tvlsi.2019.2961358_HarTBleed__Using_Hardware_Trojans_for_Data_Leakage_Exploits.pdf","open")</f>
        <v>open</v>
      </c>
      <c r="F89" t="s">
        <v>148</v>
      </c>
      <c r="G89" t="s">
        <v>148</v>
      </c>
      <c r="H89" t="s">
        <v>6030</v>
      </c>
      <c r="I89" t="s">
        <v>2223</v>
      </c>
      <c r="J89" t="s">
        <v>6031</v>
      </c>
      <c r="K89" t="s">
        <v>2223</v>
      </c>
      <c r="L89" t="s">
        <v>6032</v>
      </c>
    </row>
    <row r="90" spans="1:12" x14ac:dyDescent="0.2">
      <c r="A90" t="s">
        <v>445</v>
      </c>
      <c r="B90" t="s">
        <v>446</v>
      </c>
      <c r="C90" t="s">
        <v>19</v>
      </c>
      <c r="D90" t="s">
        <v>448</v>
      </c>
      <c r="E90" t="str">
        <f>HYPERLINK("/pdf/2025_10_3991_ijep_v15i4_53127_integration_of_cybersecurity_into_computer_science_teachers_training_a_systematic_review.pdf","open")</f>
        <v>open</v>
      </c>
      <c r="F90" t="s">
        <v>6033</v>
      </c>
      <c r="G90" t="s">
        <v>6034</v>
      </c>
      <c r="H90" t="s">
        <v>6035</v>
      </c>
      <c r="I90" t="s">
        <v>2223</v>
      </c>
      <c r="J90" t="s">
        <v>6036</v>
      </c>
      <c r="K90" t="s">
        <v>2223</v>
      </c>
      <c r="L90" t="s">
        <v>6037</v>
      </c>
    </row>
    <row r="91" spans="1:12" x14ac:dyDescent="0.2">
      <c r="A91" t="s">
        <v>450</v>
      </c>
      <c r="B91" t="s">
        <v>451</v>
      </c>
      <c r="C91" t="s">
        <v>19</v>
      </c>
      <c r="D91" t="s">
        <v>453</v>
      </c>
      <c r="E91" t="str">
        <f>HYPERLINK("/pdf/2025_10.1109_iccad66269.2025.11240658_Invited_Paper__2025_ICCAD_CAD_Contest_Problem_A__Hardware_Trojan_Detection_on_Gate-Level_Netlist.pdf","open")</f>
        <v>open</v>
      </c>
      <c r="F91" t="s">
        <v>6038</v>
      </c>
      <c r="G91" t="s">
        <v>6039</v>
      </c>
      <c r="H91" t="s">
        <v>6040</v>
      </c>
      <c r="I91" t="s">
        <v>2223</v>
      </c>
      <c r="J91" t="s">
        <v>148</v>
      </c>
      <c r="K91" t="s">
        <v>957</v>
      </c>
      <c r="L91" t="s">
        <v>6041</v>
      </c>
    </row>
    <row r="92" spans="1:12" x14ac:dyDescent="0.2">
      <c r="A92" t="s">
        <v>455</v>
      </c>
      <c r="B92" t="s">
        <v>456</v>
      </c>
      <c r="C92" t="s">
        <v>136</v>
      </c>
      <c r="D92" t="s">
        <v>148</v>
      </c>
      <c r="E92" t="str">
        <f>HYPERLINK("/pdf/2019_Testing_the_human_backdoor__organizational_response_to_a_phishing_campaign.pdf","open")</f>
        <v>open</v>
      </c>
      <c r="F92" t="s">
        <v>6042</v>
      </c>
      <c r="G92" t="s">
        <v>6043</v>
      </c>
      <c r="H92" t="s">
        <v>6044</v>
      </c>
      <c r="I92" t="s">
        <v>2223</v>
      </c>
      <c r="J92" t="s">
        <v>6045</v>
      </c>
      <c r="K92" t="s">
        <v>2223</v>
      </c>
      <c r="L92" t="s">
        <v>6046</v>
      </c>
    </row>
    <row r="93" spans="1:12" x14ac:dyDescent="0.2">
      <c r="A93" t="s">
        <v>459</v>
      </c>
      <c r="B93" t="s">
        <v>460</v>
      </c>
      <c r="C93" t="s">
        <v>156</v>
      </c>
      <c r="D93" t="s">
        <v>148</v>
      </c>
      <c r="E93" t="str">
        <f>HYPERLINK("/pdf/2013_10_15837_ijccc_2013_1_173_managing_information_technology_security_in_the_context_of_cyber_crime_trends.pdf","open")</f>
        <v>open</v>
      </c>
      <c r="F93" t="s">
        <v>6047</v>
      </c>
      <c r="G93" t="s">
        <v>6048</v>
      </c>
      <c r="H93" t="s">
        <v>6049</v>
      </c>
      <c r="I93" t="s">
        <v>2223</v>
      </c>
      <c r="J93" t="s">
        <v>6050</v>
      </c>
      <c r="K93" t="s">
        <v>2223</v>
      </c>
      <c r="L93" t="s">
        <v>6051</v>
      </c>
    </row>
    <row r="94" spans="1:12" x14ac:dyDescent="0.2">
      <c r="A94" t="s">
        <v>463</v>
      </c>
      <c r="B94" t="s">
        <v>464</v>
      </c>
      <c r="C94" t="s">
        <v>25</v>
      </c>
      <c r="D94" t="s">
        <v>466</v>
      </c>
      <c r="E94" t="str">
        <f>HYPERLINK("/pdf/2023_10.1109_cymaen57228.2023.10050996_Robotic_Process_Automation_and_Intelligent_Automation_Security_Challenges__A_Review.pdf","open")</f>
        <v>open</v>
      </c>
      <c r="F94" t="s">
        <v>6052</v>
      </c>
      <c r="G94" t="s">
        <v>6053</v>
      </c>
      <c r="H94" t="s">
        <v>6054</v>
      </c>
      <c r="I94" t="s">
        <v>2223</v>
      </c>
      <c r="J94" t="s">
        <v>6055</v>
      </c>
      <c r="K94" t="s">
        <v>2998</v>
      </c>
      <c r="L94" t="s">
        <v>6056</v>
      </c>
    </row>
    <row r="95" spans="1:12" x14ac:dyDescent="0.2">
      <c r="A95" t="s">
        <v>468</v>
      </c>
      <c r="B95" t="s">
        <v>469</v>
      </c>
      <c r="C95" t="s">
        <v>100</v>
      </c>
      <c r="D95" t="s">
        <v>471</v>
      </c>
      <c r="E95" t="str">
        <f>HYPERLINK("/pdf/2022_10.1109_globecom48099.2022.10001017_Intelligent_Ensemble_based_System_for_Rare_Attacks_Dectection_in_IoT_Networks.pdf","open")</f>
        <v>open</v>
      </c>
      <c r="F95" t="s">
        <v>6057</v>
      </c>
      <c r="G95" t="s">
        <v>6058</v>
      </c>
      <c r="H95" t="s">
        <v>6059</v>
      </c>
      <c r="I95" t="s">
        <v>2998</v>
      </c>
      <c r="J95" t="s">
        <v>6060</v>
      </c>
      <c r="K95" t="s">
        <v>2223</v>
      </c>
      <c r="L95" t="s">
        <v>6061</v>
      </c>
    </row>
    <row r="96" spans="1:12" x14ac:dyDescent="0.2">
      <c r="A96" t="s">
        <v>473</v>
      </c>
      <c r="B96" t="s">
        <v>474</v>
      </c>
      <c r="C96" t="s">
        <v>36</v>
      </c>
      <c r="D96" t="s">
        <v>476</v>
      </c>
      <c r="E96" t="str">
        <f>HYPERLINK("/pdf/2022_10.1109_hpcc-dss-smartcity-dependsys53884.2021.00090_Detecting_Data_Leakage_in_DNS_Traffic_based_on_Time_Series_Anomaly_Detection.pdf","open")</f>
        <v>open</v>
      </c>
      <c r="F96" t="s">
        <v>148</v>
      </c>
      <c r="G96" t="s">
        <v>148</v>
      </c>
      <c r="H96" t="s">
        <v>6062</v>
      </c>
      <c r="I96" t="s">
        <v>2223</v>
      </c>
      <c r="J96" t="s">
        <v>148</v>
      </c>
      <c r="K96" t="s">
        <v>2223</v>
      </c>
      <c r="L96" t="s">
        <v>6063</v>
      </c>
    </row>
    <row r="97" spans="1:12" x14ac:dyDescent="0.2">
      <c r="A97" t="s">
        <v>478</v>
      </c>
      <c r="B97" t="s">
        <v>479</v>
      </c>
      <c r="C97" t="s">
        <v>136</v>
      </c>
      <c r="D97" t="s">
        <v>480</v>
      </c>
      <c r="E97" t="str">
        <f>HYPERLINK("/pdf/2019_10.1016_j.jnca.2019.07.006_Using_malware_for_the_greater_good__Mitigating_data_leakage.pdf","open")</f>
        <v>open</v>
      </c>
      <c r="F97" t="s">
        <v>148</v>
      </c>
      <c r="G97" t="s">
        <v>6064</v>
      </c>
      <c r="H97" t="s">
        <v>6065</v>
      </c>
      <c r="I97" t="s">
        <v>2223</v>
      </c>
      <c r="J97" t="s">
        <v>148</v>
      </c>
      <c r="K97" t="s">
        <v>2223</v>
      </c>
      <c r="L97" t="s">
        <v>148</v>
      </c>
    </row>
    <row r="98" spans="1:12" x14ac:dyDescent="0.2">
      <c r="A98" t="s">
        <v>482</v>
      </c>
      <c r="B98" t="s">
        <v>483</v>
      </c>
      <c r="C98" t="s">
        <v>363</v>
      </c>
      <c r="D98" t="s">
        <v>482</v>
      </c>
      <c r="E98" t="str">
        <f>HYPERLINK("/pdf/2016_10.1002_sec.1531_DAT_detectors__uncovering_TCP_IP_covert_channels_by_descriptive_analytics.pdf","open")</f>
        <v>open</v>
      </c>
      <c r="F98" t="s">
        <v>6066</v>
      </c>
      <c r="G98" t="s">
        <v>6067</v>
      </c>
      <c r="H98" t="s">
        <v>6068</v>
      </c>
      <c r="I98" t="s">
        <v>2223</v>
      </c>
      <c r="J98" t="s">
        <v>148</v>
      </c>
      <c r="K98" t="s">
        <v>2223</v>
      </c>
      <c r="L98" t="s">
        <v>148</v>
      </c>
    </row>
    <row r="99" spans="1:12" x14ac:dyDescent="0.2">
      <c r="A99" t="s">
        <v>486</v>
      </c>
      <c r="B99" t="s">
        <v>487</v>
      </c>
      <c r="C99" t="s">
        <v>25</v>
      </c>
      <c r="D99" t="s">
        <v>489</v>
      </c>
      <c r="E99" t="str">
        <f>HYPERLINK("/pdf/2023_10.1007_s10207-022-00651-1_Random_resampling_algorithms_for_addressing_the_imbalanced_dataset_classes_in_insider_threat_detection.pdf","open")</f>
        <v>open</v>
      </c>
      <c r="F99" t="s">
        <v>6069</v>
      </c>
      <c r="G99" t="s">
        <v>6070</v>
      </c>
      <c r="H99" t="s">
        <v>6071</v>
      </c>
      <c r="I99" t="s">
        <v>957</v>
      </c>
      <c r="J99" t="s">
        <v>6072</v>
      </c>
      <c r="K99" t="s">
        <v>2223</v>
      </c>
      <c r="L99" t="s">
        <v>6073</v>
      </c>
    </row>
    <row r="100" spans="1:12" x14ac:dyDescent="0.2">
      <c r="A100" t="s">
        <v>491</v>
      </c>
      <c r="B100" t="s">
        <v>492</v>
      </c>
      <c r="C100" t="s">
        <v>19</v>
      </c>
      <c r="D100" t="s">
        <v>494</v>
      </c>
      <c r="E100" t="str">
        <f>HYPERLINK("/pdf/2025_10_1038_s41598_025_88856_x_security_verification_framework_for_ndn_access_control.pdf","open")</f>
        <v>open</v>
      </c>
      <c r="F100" t="s">
        <v>6074</v>
      </c>
      <c r="G100" t="s">
        <v>6075</v>
      </c>
      <c r="H100" t="s">
        <v>6076</v>
      </c>
      <c r="I100" t="s">
        <v>2223</v>
      </c>
      <c r="J100" t="s">
        <v>148</v>
      </c>
      <c r="K100" t="s">
        <v>2223</v>
      </c>
      <c r="L100" t="s">
        <v>148</v>
      </c>
    </row>
    <row r="101" spans="1:12" x14ac:dyDescent="0.2">
      <c r="A101" t="s">
        <v>496</v>
      </c>
      <c r="B101" t="s">
        <v>497</v>
      </c>
      <c r="C101" t="s">
        <v>12</v>
      </c>
      <c r="D101" t="s">
        <v>148</v>
      </c>
      <c r="E101" t="str">
        <f>HYPERLINK("/pdf/2018_10.1109_ntms.2018.8328709_On_the_detection_and_handling_of_security_incidents_and_perimeter_breaches_-_A_modular_and_flexible_honeytoken.pdf","open")</f>
        <v>open</v>
      </c>
      <c r="F101" t="s">
        <v>6077</v>
      </c>
      <c r="G101" t="s">
        <v>148</v>
      </c>
      <c r="H101" t="s">
        <v>6078</v>
      </c>
      <c r="I101" t="s">
        <v>2223</v>
      </c>
      <c r="J101" t="s">
        <v>6079</v>
      </c>
      <c r="K101" t="s">
        <v>2223</v>
      </c>
      <c r="L101" t="s">
        <v>6080</v>
      </c>
    </row>
    <row r="102" spans="1:12" x14ac:dyDescent="0.2">
      <c r="A102" t="s">
        <v>500</v>
      </c>
      <c r="B102" t="s">
        <v>501</v>
      </c>
      <c r="C102" t="s">
        <v>48</v>
      </c>
      <c r="D102" t="s">
        <v>503</v>
      </c>
      <c r="E102" t="str">
        <f>HYPERLINK("/pdf/2026_10.1007_s10922-026-10034-9_Robust_CNN-Based_Threat_Detection_in_SDN-Enabled_IoT_Networks.pdf","open")</f>
        <v>open</v>
      </c>
      <c r="F102" t="s">
        <v>6081</v>
      </c>
      <c r="G102" t="s">
        <v>6082</v>
      </c>
      <c r="H102" t="s">
        <v>6083</v>
      </c>
      <c r="I102" t="s">
        <v>2223</v>
      </c>
      <c r="J102" t="s">
        <v>6084</v>
      </c>
      <c r="K102" t="s">
        <v>2223</v>
      </c>
      <c r="L102" t="s">
        <v>6085</v>
      </c>
    </row>
    <row r="103" spans="1:12" x14ac:dyDescent="0.2">
      <c r="A103" t="s">
        <v>505</v>
      </c>
      <c r="B103" t="s">
        <v>506</v>
      </c>
      <c r="C103" t="s">
        <v>100</v>
      </c>
      <c r="D103" t="s">
        <v>508</v>
      </c>
      <c r="E103" t="str">
        <f>HYPERLINK("/pdf/2022_10.1109_aie57029.2022.00096_AI_in_Blockchain_Towards_Realizing_Cyber_Security.pdf","open")</f>
        <v>open</v>
      </c>
      <c r="F103" t="s">
        <v>148</v>
      </c>
      <c r="G103" t="s">
        <v>6086</v>
      </c>
      <c r="H103" t="s">
        <v>6087</v>
      </c>
      <c r="I103" t="s">
        <v>2223</v>
      </c>
      <c r="J103" t="s">
        <v>148</v>
      </c>
      <c r="K103" t="s">
        <v>2223</v>
      </c>
      <c r="L103" t="s">
        <v>148</v>
      </c>
    </row>
    <row r="104" spans="1:12" x14ac:dyDescent="0.2">
      <c r="A104" t="s">
        <v>510</v>
      </c>
      <c r="B104" t="s">
        <v>511</v>
      </c>
      <c r="C104" t="s">
        <v>210</v>
      </c>
      <c r="D104" t="s">
        <v>513</v>
      </c>
      <c r="E104" t="str">
        <f>HYPERLINK("/pdf/2015_10.1109_trustcom.2015.464_Detecting_data_semantic__A_data_leakage_prevention_approach.pdf","open")</f>
        <v>open</v>
      </c>
      <c r="F104" t="s">
        <v>6088</v>
      </c>
      <c r="G104" t="s">
        <v>6089</v>
      </c>
      <c r="H104" t="s">
        <v>6090</v>
      </c>
      <c r="I104" t="s">
        <v>2223</v>
      </c>
      <c r="J104" t="s">
        <v>6091</v>
      </c>
      <c r="K104" t="s">
        <v>2223</v>
      </c>
      <c r="L104" t="s">
        <v>6092</v>
      </c>
    </row>
    <row r="105" spans="1:12" x14ac:dyDescent="0.2">
      <c r="A105" t="s">
        <v>271</v>
      </c>
      <c r="B105" t="s">
        <v>272</v>
      </c>
      <c r="C105" t="s">
        <v>60</v>
      </c>
      <c r="D105" t="s">
        <v>274</v>
      </c>
      <c r="E105" t="str">
        <f>HYPERLINK("/pdf/2024_10_4108_eetsis_5028_determining_intrusion_attacks_against_online_applications_using_cloud_based_data.pdf","open")</f>
        <v>open</v>
      </c>
      <c r="F105" t="s">
        <v>6093</v>
      </c>
      <c r="G105" t="s">
        <v>6094</v>
      </c>
      <c r="H105" t="s">
        <v>6095</v>
      </c>
      <c r="I105" t="s">
        <v>2223</v>
      </c>
      <c r="J105" t="s">
        <v>6096</v>
      </c>
      <c r="K105" t="s">
        <v>2223</v>
      </c>
      <c r="L105" t="s">
        <v>6097</v>
      </c>
    </row>
    <row r="106" spans="1:12" x14ac:dyDescent="0.2">
      <c r="A106" t="s">
        <v>516</v>
      </c>
      <c r="B106" t="s">
        <v>517</v>
      </c>
      <c r="C106" t="s">
        <v>518</v>
      </c>
      <c r="D106" t="s">
        <v>148</v>
      </c>
      <c r="E106" t="str">
        <f>HYPERLINK("/pdf/2021_Exploring_the_information_security_practices_on_the_smartphone_by_the_postgraduate_students_of_University_of_C.pdf","open")</f>
        <v>open</v>
      </c>
      <c r="F106" t="s">
        <v>6098</v>
      </c>
      <c r="G106" t="s">
        <v>6099</v>
      </c>
      <c r="H106" t="s">
        <v>6100</v>
      </c>
      <c r="I106" t="s">
        <v>2223</v>
      </c>
      <c r="J106" t="s">
        <v>6101</v>
      </c>
      <c r="K106" t="s">
        <v>2223</v>
      </c>
      <c r="L106" t="s">
        <v>6102</v>
      </c>
    </row>
    <row r="107" spans="1:12" x14ac:dyDescent="0.2">
      <c r="A107" t="s">
        <v>521</v>
      </c>
      <c r="B107" t="s">
        <v>522</v>
      </c>
      <c r="C107" t="s">
        <v>25</v>
      </c>
      <c r="D107" t="s">
        <v>524</v>
      </c>
      <c r="E107" t="str">
        <f>HYPERLINK("/pdf/2023_10.1109_pcems58491.2023.10136083_Automated_Detection_of_Hardware_Trojans_using_Power_Side-Channel_Analysis_and_VGG-Net.pdf","open")</f>
        <v>open</v>
      </c>
      <c r="F107" t="s">
        <v>148</v>
      </c>
      <c r="G107" t="s">
        <v>148</v>
      </c>
      <c r="H107" t="s">
        <v>6103</v>
      </c>
      <c r="I107" t="s">
        <v>2223</v>
      </c>
      <c r="J107" t="s">
        <v>6104</v>
      </c>
      <c r="K107" t="s">
        <v>2223</v>
      </c>
      <c r="L107" t="s">
        <v>6105</v>
      </c>
    </row>
    <row r="108" spans="1:12" x14ac:dyDescent="0.2">
      <c r="A108" t="s">
        <v>526</v>
      </c>
      <c r="B108" t="s">
        <v>527</v>
      </c>
      <c r="C108" t="s">
        <v>25</v>
      </c>
      <c r="D108" t="s">
        <v>529</v>
      </c>
      <c r="E108" t="str">
        <f>HYPERLINK("/pdf/2023_10.1109_sin60469.2023.10474998_Exploring_the_Evolving_Landscape_of_API_Security_Challenges_in_the_Healthcare_Industry__A_Comprehensive_Review.pdf","open")</f>
        <v>open</v>
      </c>
      <c r="F108" t="s">
        <v>6106</v>
      </c>
      <c r="G108" t="s">
        <v>6107</v>
      </c>
      <c r="H108" t="s">
        <v>6108</v>
      </c>
      <c r="I108" t="s">
        <v>2223</v>
      </c>
      <c r="J108" t="s">
        <v>148</v>
      </c>
      <c r="K108" t="s">
        <v>2998</v>
      </c>
      <c r="L108" t="s">
        <v>6109</v>
      </c>
    </row>
    <row r="109" spans="1:12" x14ac:dyDescent="0.2">
      <c r="A109" t="s">
        <v>531</v>
      </c>
      <c r="B109" t="s">
        <v>532</v>
      </c>
      <c r="C109" t="s">
        <v>156</v>
      </c>
      <c r="D109" t="s">
        <v>148</v>
      </c>
      <c r="E109" t="str">
        <f>HYPERLINK("/pdf/2013_10_1109_icmla_2013_104_streaming_malware_classification_in_the_presence_of_concept_drift_and_class_imbalance.pdf","open")</f>
        <v>open</v>
      </c>
      <c r="F109" t="s">
        <v>6110</v>
      </c>
      <c r="G109" t="s">
        <v>6111</v>
      </c>
      <c r="H109" t="s">
        <v>6112</v>
      </c>
      <c r="I109" t="s">
        <v>5793</v>
      </c>
      <c r="J109" t="s">
        <v>6113</v>
      </c>
      <c r="K109" t="s">
        <v>2998</v>
      </c>
      <c r="L109" t="s">
        <v>6114</v>
      </c>
    </row>
    <row r="110" spans="1:12" x14ac:dyDescent="0.2">
      <c r="A110" t="s">
        <v>535</v>
      </c>
      <c r="B110" t="s">
        <v>536</v>
      </c>
      <c r="C110" t="s">
        <v>60</v>
      </c>
      <c r="D110" t="s">
        <v>538</v>
      </c>
      <c r="E110" t="str">
        <f>HYPERLINK("/pdf/2023_10_32604_cmes_2023_044169_enhancing_healthcare_data_security_and_disease_detection_using_crossover_based_m.pdf","open")</f>
        <v>open</v>
      </c>
      <c r="F110" t="s">
        <v>6115</v>
      </c>
      <c r="G110" t="s">
        <v>6116</v>
      </c>
      <c r="H110" t="s">
        <v>6117</v>
      </c>
      <c r="I110" t="s">
        <v>2223</v>
      </c>
      <c r="J110" t="s">
        <v>6118</v>
      </c>
      <c r="K110" t="s">
        <v>2223</v>
      </c>
      <c r="L110" t="s">
        <v>6119</v>
      </c>
    </row>
    <row r="111" spans="1:12" x14ac:dyDescent="0.2">
      <c r="A111" t="s">
        <v>540</v>
      </c>
      <c r="B111" t="s">
        <v>541</v>
      </c>
      <c r="C111" t="s">
        <v>25</v>
      </c>
      <c r="D111" t="s">
        <v>540</v>
      </c>
      <c r="E111" t="str">
        <f>HYPERLINK("/pdf/2024_10_1109_tdsc_2023_3323713_leakage_of_authorization_data_in_iot_device_sharing_new_attacks_and_countermeas.pdf","open")</f>
        <v>open</v>
      </c>
      <c r="F111" t="s">
        <v>6120</v>
      </c>
      <c r="G111" t="s">
        <v>6121</v>
      </c>
      <c r="H111" t="s">
        <v>6122</v>
      </c>
      <c r="I111" t="s">
        <v>2223</v>
      </c>
      <c r="J111" t="s">
        <v>6123</v>
      </c>
      <c r="K111" t="s">
        <v>2223</v>
      </c>
      <c r="L111" t="s">
        <v>6124</v>
      </c>
    </row>
    <row r="112" spans="1:12" x14ac:dyDescent="0.2">
      <c r="A112" t="s">
        <v>544</v>
      </c>
      <c r="B112" t="s">
        <v>545</v>
      </c>
      <c r="C112" t="s">
        <v>156</v>
      </c>
      <c r="D112" t="s">
        <v>547</v>
      </c>
      <c r="E112" t="str">
        <f>HYPERLINK("/pdf/2013_10.1109_icspcs.2013.6723919_Adaptable_N-gram_classification_model_for_data_leakage_prevention.pdf","open")</f>
        <v>open</v>
      </c>
      <c r="F112" t="s">
        <v>6125</v>
      </c>
      <c r="G112" t="s">
        <v>6126</v>
      </c>
      <c r="H112" t="s">
        <v>6127</v>
      </c>
      <c r="I112" t="s">
        <v>2223</v>
      </c>
      <c r="J112" t="s">
        <v>6128</v>
      </c>
      <c r="K112" t="s">
        <v>2223</v>
      </c>
      <c r="L112" t="s">
        <v>6129</v>
      </c>
    </row>
    <row r="113" spans="1:12" x14ac:dyDescent="0.2">
      <c r="A113" t="s">
        <v>549</v>
      </c>
      <c r="B113" t="s">
        <v>550</v>
      </c>
      <c r="C113" t="s">
        <v>25</v>
      </c>
      <c r="D113" t="s">
        <v>552</v>
      </c>
      <c r="E113" t="str">
        <f>HYPERLINK("/pdf/2023_10.58496_mjcs_2023_016_A_Comprehensive_Review_of_Security_Measures_in_Database_Systems__Assessing_Authentication,_Access_Control,_and.pdf","open")</f>
        <v>open</v>
      </c>
      <c r="F113" t="s">
        <v>6130</v>
      </c>
      <c r="G113" t="s">
        <v>6131</v>
      </c>
      <c r="H113" t="s">
        <v>6132</v>
      </c>
      <c r="I113" t="s">
        <v>2223</v>
      </c>
      <c r="J113" t="s">
        <v>6133</v>
      </c>
      <c r="K113" t="s">
        <v>2998</v>
      </c>
      <c r="L113" t="s">
        <v>6134</v>
      </c>
    </row>
    <row r="114" spans="1:12" x14ac:dyDescent="0.2">
      <c r="A114" t="s">
        <v>554</v>
      </c>
      <c r="B114" t="s">
        <v>555</v>
      </c>
      <c r="C114" t="s">
        <v>19</v>
      </c>
      <c r="D114" t="s">
        <v>557</v>
      </c>
      <c r="E114" t="str">
        <f>HYPERLINK("/pdf/2025_10_36128_priw_vi54_1201_artificial_intelligence_in_e_administration.pdf","open")</f>
        <v>open</v>
      </c>
      <c r="F114" t="s">
        <v>6135</v>
      </c>
      <c r="G114" t="s">
        <v>6136</v>
      </c>
      <c r="H114" t="s">
        <v>6137</v>
      </c>
      <c r="I114" t="s">
        <v>2223</v>
      </c>
      <c r="J114" t="s">
        <v>148</v>
      </c>
      <c r="K114" t="s">
        <v>2998</v>
      </c>
      <c r="L114" t="s">
        <v>6138</v>
      </c>
    </row>
    <row r="115" spans="1:12" x14ac:dyDescent="0.2">
      <c r="A115" t="s">
        <v>559</v>
      </c>
      <c r="B115" t="s">
        <v>560</v>
      </c>
      <c r="C115" t="s">
        <v>19</v>
      </c>
      <c r="D115" t="s">
        <v>562</v>
      </c>
      <c r="E115" t="str">
        <f>HYPERLINK("/pdf/2025_10.1109_eurospw67616.2025.00026_PPT-GNN__A_Practical_Pretrained_Spatio-Temporal_Graph_Neural_Network_for_Network_Security.pdf","open")</f>
        <v>open</v>
      </c>
      <c r="F115" t="s">
        <v>6139</v>
      </c>
      <c r="G115" t="s">
        <v>6140</v>
      </c>
      <c r="H115" t="s">
        <v>6141</v>
      </c>
      <c r="I115" t="s">
        <v>5793</v>
      </c>
      <c r="J115" t="s">
        <v>6142</v>
      </c>
      <c r="K115" t="s">
        <v>5793</v>
      </c>
      <c r="L115" t="s">
        <v>6143</v>
      </c>
    </row>
    <row r="116" spans="1:12" x14ac:dyDescent="0.2">
      <c r="A116" t="s">
        <v>564</v>
      </c>
      <c r="B116" t="s">
        <v>565</v>
      </c>
      <c r="C116" t="s">
        <v>19</v>
      </c>
      <c r="D116" t="s">
        <v>567</v>
      </c>
      <c r="E116" t="str">
        <f>HYPERLINK("/pdf/2025_10.1109_discover66922.2025.11259004_Adaptive_Graph_Attention_Network-Approach_for_Detecting_Hardware_Trojans.pdf","open")</f>
        <v>open</v>
      </c>
      <c r="F116" t="s">
        <v>6144</v>
      </c>
      <c r="G116" t="s">
        <v>6145</v>
      </c>
      <c r="H116" t="s">
        <v>6146</v>
      </c>
      <c r="I116" t="s">
        <v>5793</v>
      </c>
      <c r="J116" t="s">
        <v>6147</v>
      </c>
      <c r="K116" t="s">
        <v>957</v>
      </c>
      <c r="L116" t="s">
        <v>6148</v>
      </c>
    </row>
    <row r="117" spans="1:12" x14ac:dyDescent="0.2">
      <c r="A117" t="s">
        <v>569</v>
      </c>
      <c r="B117" t="s">
        <v>570</v>
      </c>
      <c r="C117" t="s">
        <v>60</v>
      </c>
      <c r="D117" t="s">
        <v>572</v>
      </c>
      <c r="E117" t="str">
        <f>HYPERLINK("/pdf/2024_10.1109_sces61914.2024.10652305_IoT_Network_Anomaly_Detection_Using_Machine_Learning_and_Deep_Learning_Techniques_-_Research_Study.pdf","open")</f>
        <v>open</v>
      </c>
      <c r="F117" t="s">
        <v>6149</v>
      </c>
      <c r="G117" t="s">
        <v>6150</v>
      </c>
      <c r="H117" t="s">
        <v>6151</v>
      </c>
      <c r="I117" t="s">
        <v>2223</v>
      </c>
      <c r="J117" t="s">
        <v>148</v>
      </c>
      <c r="K117" t="s">
        <v>2998</v>
      </c>
      <c r="L117" t="s">
        <v>6152</v>
      </c>
    </row>
    <row r="118" spans="1:12" x14ac:dyDescent="0.2">
      <c r="A118" t="s">
        <v>574</v>
      </c>
      <c r="B118" t="s">
        <v>575</v>
      </c>
      <c r="C118" t="s">
        <v>60</v>
      </c>
      <c r="D118" t="s">
        <v>577</v>
      </c>
      <c r="E118" t="str">
        <f>HYPERLINK("/pdf/2024_10.12263_dzxb.20220611_A_Whitelist_Network_Control_Based_on_Android_Kernel_Driver;_基于_Android_内核驱动的白名单网络控制.pdf","open")</f>
        <v>open</v>
      </c>
      <c r="F118" t="s">
        <v>6153</v>
      </c>
      <c r="G118" t="s">
        <v>6154</v>
      </c>
      <c r="H118" t="s">
        <v>6155</v>
      </c>
      <c r="I118" t="s">
        <v>2223</v>
      </c>
      <c r="J118" t="s">
        <v>148</v>
      </c>
      <c r="K118" t="s">
        <v>2223</v>
      </c>
      <c r="L118" t="s">
        <v>148</v>
      </c>
    </row>
    <row r="119" spans="1:12" x14ac:dyDescent="0.2">
      <c r="A119" t="s">
        <v>579</v>
      </c>
      <c r="B119" t="s">
        <v>580</v>
      </c>
      <c r="C119" t="s">
        <v>100</v>
      </c>
      <c r="D119" t="s">
        <v>582</v>
      </c>
      <c r="E119" t="str">
        <f>HYPERLINK("/pdf/2022_10.1109_icc45855.2022.9839001_Intelligent_Fingerprinting_to_Detect_Data_Leakage_Attacks_on_Spectrum_Sensors.pdf","open")</f>
        <v>open</v>
      </c>
      <c r="F119" t="s">
        <v>6156</v>
      </c>
      <c r="G119" t="s">
        <v>6157</v>
      </c>
      <c r="H119" t="s">
        <v>6158</v>
      </c>
      <c r="I119" t="s">
        <v>2223</v>
      </c>
      <c r="J119" t="s">
        <v>6159</v>
      </c>
      <c r="K119" t="s">
        <v>2223</v>
      </c>
      <c r="L119" t="s">
        <v>6160</v>
      </c>
    </row>
    <row r="120" spans="1:12" x14ac:dyDescent="0.2">
      <c r="A120" t="s">
        <v>584</v>
      </c>
      <c r="B120" t="s">
        <v>585</v>
      </c>
      <c r="C120" t="s">
        <v>60</v>
      </c>
      <c r="D120" t="s">
        <v>587</v>
      </c>
      <c r="E120" t="str">
        <f>HYPERLINK("/pdf/2024_10.1145_3689236.3689867_Intelligent_Talent_Information_System_Guarantee_Based_on_Cyberspace_Security_Technology.pdf","open")</f>
        <v>open</v>
      </c>
      <c r="F120" t="s">
        <v>6161</v>
      </c>
      <c r="G120" t="s">
        <v>6162</v>
      </c>
      <c r="H120" t="s">
        <v>6163</v>
      </c>
      <c r="I120" t="s">
        <v>2223</v>
      </c>
      <c r="J120" t="s">
        <v>148</v>
      </c>
      <c r="K120" t="s">
        <v>2223</v>
      </c>
      <c r="L120" t="s">
        <v>148</v>
      </c>
    </row>
    <row r="121" spans="1:12" x14ac:dyDescent="0.2">
      <c r="A121" t="s">
        <v>589</v>
      </c>
      <c r="B121" t="s">
        <v>110</v>
      </c>
      <c r="C121" t="s">
        <v>36</v>
      </c>
      <c r="D121" t="s">
        <v>112</v>
      </c>
      <c r="E121" t="str">
        <f>HYPERLINK("/pdf/2021_10_1109_iccd53106_2021_00097_qflow_quantitative_information_flow_for_security_aware_hardware_design_in_veril.pdf","open")</f>
        <v>open</v>
      </c>
      <c r="F121" t="s">
        <v>6164</v>
      </c>
      <c r="G121" t="s">
        <v>6165</v>
      </c>
      <c r="H121" t="s">
        <v>6166</v>
      </c>
      <c r="I121" t="s">
        <v>2223</v>
      </c>
      <c r="J121" t="s">
        <v>6167</v>
      </c>
      <c r="K121" t="s">
        <v>2998</v>
      </c>
      <c r="L121" t="s">
        <v>6168</v>
      </c>
    </row>
    <row r="122" spans="1:12" x14ac:dyDescent="0.2">
      <c r="A122" t="s">
        <v>592</v>
      </c>
      <c r="B122" t="s">
        <v>593</v>
      </c>
      <c r="C122" t="s">
        <v>136</v>
      </c>
      <c r="D122" t="s">
        <v>594</v>
      </c>
      <c r="E122" t="str">
        <f>HYPERLINK("/pdf/2019_10.1109_jiot.2018.2871719_An_ensemble_intrusion_detection_technique_based_on_proposed_statistical_flow_features_for_protecting_network_t.pdf","open")</f>
        <v>open</v>
      </c>
      <c r="F122" t="s">
        <v>6169</v>
      </c>
      <c r="G122" t="s">
        <v>6170</v>
      </c>
      <c r="H122" t="s">
        <v>6171</v>
      </c>
      <c r="I122" t="s">
        <v>2223</v>
      </c>
      <c r="J122" t="s">
        <v>6172</v>
      </c>
      <c r="K122" t="s">
        <v>2223</v>
      </c>
      <c r="L122" t="s">
        <v>6173</v>
      </c>
    </row>
    <row r="123" spans="1:12" x14ac:dyDescent="0.2">
      <c r="A123" t="s">
        <v>596</v>
      </c>
      <c r="B123" t="s">
        <v>597</v>
      </c>
      <c r="C123" t="s">
        <v>598</v>
      </c>
      <c r="D123" t="s">
        <v>600</v>
      </c>
      <c r="E123" t="str">
        <f>HYPERLINK("/pdf/2012_10.1109_hicss.2012.491_Pseudonymization_with_metadata_encryption_for_privacy-preserving_searchable_documents.pdf","open")</f>
        <v>open</v>
      </c>
      <c r="F123" t="s">
        <v>6174</v>
      </c>
      <c r="G123" t="s">
        <v>6175</v>
      </c>
      <c r="H123" t="s">
        <v>6176</v>
      </c>
      <c r="I123" t="s">
        <v>2223</v>
      </c>
      <c r="J123" t="s">
        <v>6177</v>
      </c>
      <c r="K123" t="s">
        <v>2223</v>
      </c>
      <c r="L123" t="s">
        <v>6178</v>
      </c>
    </row>
    <row r="124" spans="1:12" x14ac:dyDescent="0.2">
      <c r="A124" t="s">
        <v>602</v>
      </c>
      <c r="B124" t="s">
        <v>603</v>
      </c>
      <c r="C124" t="s">
        <v>19</v>
      </c>
      <c r="D124" t="s">
        <v>605</v>
      </c>
      <c r="E124" t="str">
        <f>HYPERLINK("/pdf/2025_10_1007_s43926_025_00185_7_a_feature_level_ensemble_machine_learning_approach_for_attack_detection_in_iot_networks.pdf","open")</f>
        <v>open</v>
      </c>
      <c r="F124" t="s">
        <v>6179</v>
      </c>
      <c r="G124" t="s">
        <v>6180</v>
      </c>
      <c r="H124" t="s">
        <v>6181</v>
      </c>
      <c r="I124" t="s">
        <v>2223</v>
      </c>
      <c r="J124" t="s">
        <v>148</v>
      </c>
      <c r="K124" t="s">
        <v>2223</v>
      </c>
      <c r="L124" t="s">
        <v>148</v>
      </c>
    </row>
    <row r="125" spans="1:12" x14ac:dyDescent="0.2">
      <c r="A125" t="s">
        <v>607</v>
      </c>
      <c r="B125" t="s">
        <v>608</v>
      </c>
      <c r="C125" t="s">
        <v>60</v>
      </c>
      <c r="D125" t="s">
        <v>610</v>
      </c>
      <c r="E125" t="str">
        <f>HYPERLINK("/pdf/2024_10.1007_s42979-024-03152-1_P3IDF-EC__PCA-Based_Privacy-Preserving_Intrusion_Detection_Framework_for_Edge_Computing.pdf","open")</f>
        <v>open</v>
      </c>
      <c r="F125" t="s">
        <v>6182</v>
      </c>
      <c r="G125" t="s">
        <v>6183</v>
      </c>
      <c r="H125" t="s">
        <v>6184</v>
      </c>
      <c r="I125" t="s">
        <v>2223</v>
      </c>
      <c r="J125" t="s">
        <v>6185</v>
      </c>
      <c r="K125" t="s">
        <v>2223</v>
      </c>
      <c r="L125" t="s">
        <v>6186</v>
      </c>
    </row>
    <row r="126" spans="1:12" x14ac:dyDescent="0.2">
      <c r="A126" t="s">
        <v>612</v>
      </c>
      <c r="B126" t="s">
        <v>613</v>
      </c>
      <c r="C126" t="s">
        <v>19</v>
      </c>
      <c r="D126" t="s">
        <v>615</v>
      </c>
      <c r="E126" t="str">
        <f>HYPERLINK("/pdf/2025_10.1109_isdfs65363.2025.11012123_Insider_Threat_Pattern_Detection_Using_Deep_Learning_to_Evaluate_Cyber_Value_at_Risk_(CVaR).pdf","open")</f>
        <v>open</v>
      </c>
      <c r="F126" t="s">
        <v>6187</v>
      </c>
      <c r="G126" t="s">
        <v>6188</v>
      </c>
      <c r="H126" t="s">
        <v>6189</v>
      </c>
      <c r="I126" t="s">
        <v>2223</v>
      </c>
      <c r="J126" t="s">
        <v>6190</v>
      </c>
      <c r="K126" t="s">
        <v>2223</v>
      </c>
      <c r="L126" t="s">
        <v>6191</v>
      </c>
    </row>
    <row r="127" spans="1:12" x14ac:dyDescent="0.2">
      <c r="A127" t="s">
        <v>617</v>
      </c>
      <c r="B127" t="s">
        <v>618</v>
      </c>
      <c r="C127" t="s">
        <v>25</v>
      </c>
      <c r="D127" t="s">
        <v>619</v>
      </c>
      <c r="E127" t="str">
        <f>HYPERLINK("/pdf/2023_10_3390_app13095568_security_ontology_ontosecrpa_for_robotic_process_automation_domain.pdf","open")</f>
        <v>open</v>
      </c>
      <c r="F127" t="s">
        <v>6192</v>
      </c>
      <c r="G127" t="s">
        <v>6193</v>
      </c>
      <c r="H127" t="s">
        <v>6194</v>
      </c>
      <c r="I127" t="s">
        <v>2223</v>
      </c>
      <c r="J127" t="s">
        <v>6195</v>
      </c>
      <c r="K127" t="s">
        <v>957</v>
      </c>
      <c r="L127" t="s">
        <v>6196</v>
      </c>
    </row>
    <row r="128" spans="1:12" x14ac:dyDescent="0.2">
      <c r="A128" t="s">
        <v>621</v>
      </c>
      <c r="B128" t="s">
        <v>622</v>
      </c>
      <c r="C128" t="s">
        <v>60</v>
      </c>
      <c r="D128" t="s">
        <v>624</v>
      </c>
      <c r="E128" t="str">
        <f>HYPERLINK("/pdf/2024_10.1109_icces63552.2024.10860119_Secure_Cloud-WSNs_with_Advanced_Intrusion_Detection_System_using_Kepler_Optimization_and_Bi-ConGRU_Network_App.pdf","open")</f>
        <v>open</v>
      </c>
      <c r="F128" t="s">
        <v>6197</v>
      </c>
      <c r="G128" t="s">
        <v>6198</v>
      </c>
      <c r="H128" t="s">
        <v>6199</v>
      </c>
      <c r="I128" t="s">
        <v>2223</v>
      </c>
      <c r="J128" t="s">
        <v>148</v>
      </c>
      <c r="K128" t="s">
        <v>2223</v>
      </c>
      <c r="L128" t="s">
        <v>148</v>
      </c>
    </row>
    <row r="129" spans="1:12" x14ac:dyDescent="0.2">
      <c r="A129" t="s">
        <v>626</v>
      </c>
      <c r="B129" t="s">
        <v>627</v>
      </c>
      <c r="C129" t="s">
        <v>19</v>
      </c>
      <c r="D129" t="s">
        <v>628</v>
      </c>
      <c r="E129" t="str">
        <f>HYPERLINK("/pdf/2025_10_3390_app15116258_anomaly_detection_in_network_traffic_via_cross_domain_federated_graph_representation_learn.pdf","open")</f>
        <v>open</v>
      </c>
      <c r="F129" t="s">
        <v>6200</v>
      </c>
      <c r="G129" t="s">
        <v>6201</v>
      </c>
      <c r="H129" t="s">
        <v>6202</v>
      </c>
      <c r="I129" t="s">
        <v>2223</v>
      </c>
      <c r="J129" t="s">
        <v>6203</v>
      </c>
      <c r="K129" t="s">
        <v>2998</v>
      </c>
      <c r="L129" t="s">
        <v>6204</v>
      </c>
    </row>
    <row r="130" spans="1:12" x14ac:dyDescent="0.2">
      <c r="A130" t="s">
        <v>630</v>
      </c>
      <c r="B130" t="s">
        <v>631</v>
      </c>
      <c r="C130" t="s">
        <v>19</v>
      </c>
      <c r="D130" t="s">
        <v>633</v>
      </c>
      <c r="E130" t="str">
        <f>HYPERLINK("/pdf/2025_10_58346_jisis_2025_i3_021_secure_wireless_connectivity_frameworks_for_financial_internet_services.pdf","open")</f>
        <v>open</v>
      </c>
      <c r="F130" t="s">
        <v>6205</v>
      </c>
      <c r="G130" t="s">
        <v>6206</v>
      </c>
      <c r="H130" t="s">
        <v>6207</v>
      </c>
      <c r="I130" t="s">
        <v>2223</v>
      </c>
      <c r="J130" t="s">
        <v>6208</v>
      </c>
      <c r="K130" t="s">
        <v>2223</v>
      </c>
      <c r="L130" t="s">
        <v>6209</v>
      </c>
    </row>
    <row r="131" spans="1:12" x14ac:dyDescent="0.2">
      <c r="A131" t="s">
        <v>635</v>
      </c>
      <c r="B131" t="s">
        <v>636</v>
      </c>
      <c r="C131" t="s">
        <v>36</v>
      </c>
      <c r="D131" t="s">
        <v>638</v>
      </c>
      <c r="E131" t="str">
        <f>HYPERLINK("/pdf/2021_10.1145_3474124.3474195_Examining_security_for_different_data_models.pdf","open")</f>
        <v>open</v>
      </c>
      <c r="F131" t="s">
        <v>6210</v>
      </c>
      <c r="G131" t="s">
        <v>6211</v>
      </c>
      <c r="H131" t="s">
        <v>6212</v>
      </c>
      <c r="I131" t="s">
        <v>2223</v>
      </c>
      <c r="J131" t="s">
        <v>6213</v>
      </c>
      <c r="K131" t="s">
        <v>2223</v>
      </c>
      <c r="L131" t="s">
        <v>6214</v>
      </c>
    </row>
    <row r="132" spans="1:12" x14ac:dyDescent="0.2">
      <c r="A132" t="s">
        <v>640</v>
      </c>
      <c r="B132" t="s">
        <v>641</v>
      </c>
      <c r="C132" t="s">
        <v>598</v>
      </c>
      <c r="D132" t="s">
        <v>643</v>
      </c>
      <c r="E132" t="str">
        <f>HYPERLINK("/pdf/2012_10.1109_cybersec.2012.6246117_Hierarchical_secure_virtualization_model_for_cloud.pdf","open")</f>
        <v>open</v>
      </c>
      <c r="F132" t="s">
        <v>6215</v>
      </c>
      <c r="G132" t="s">
        <v>6216</v>
      </c>
      <c r="H132" t="s">
        <v>6217</v>
      </c>
      <c r="I132" t="s">
        <v>2223</v>
      </c>
      <c r="J132" t="s">
        <v>6218</v>
      </c>
      <c r="K132" t="s">
        <v>2223</v>
      </c>
      <c r="L132" t="s">
        <v>6219</v>
      </c>
    </row>
    <row r="133" spans="1:12" x14ac:dyDescent="0.2">
      <c r="A133" t="s">
        <v>645</v>
      </c>
      <c r="B133" t="s">
        <v>646</v>
      </c>
      <c r="C133" t="s">
        <v>19</v>
      </c>
      <c r="D133" t="s">
        <v>648</v>
      </c>
      <c r="E133" t="str">
        <f>HYPERLINK("/pdf/2025_10.1007_s11042-023-16777-w_Blockchain-based_color_medical_image_cryptosystem_for_industrial_Internet_of_Healthcare_Things_(IoHT).pdf","open")</f>
        <v>open</v>
      </c>
      <c r="F133" t="s">
        <v>6220</v>
      </c>
      <c r="G133" t="s">
        <v>6221</v>
      </c>
      <c r="H133" t="s">
        <v>6222</v>
      </c>
      <c r="I133" t="s">
        <v>2223</v>
      </c>
      <c r="J133" t="s">
        <v>6223</v>
      </c>
      <c r="K133" t="s">
        <v>2223</v>
      </c>
      <c r="L133" t="s">
        <v>6224</v>
      </c>
    </row>
    <row r="134" spans="1:12" x14ac:dyDescent="0.2">
      <c r="A134" t="s">
        <v>650</v>
      </c>
      <c r="B134" t="s">
        <v>651</v>
      </c>
      <c r="C134" t="s">
        <v>156</v>
      </c>
      <c r="D134" t="s">
        <v>652</v>
      </c>
      <c r="E134" t="str">
        <f>HYPERLINK("/pdf/2013_10.1007_s10796-010-9266-9_Application_of_density-based_outlier_detection_to_database_activity_monitoring.pdf","open")</f>
        <v>open</v>
      </c>
      <c r="F134" t="s">
        <v>6225</v>
      </c>
      <c r="G134" t="s">
        <v>6226</v>
      </c>
      <c r="H134" t="s">
        <v>6227</v>
      </c>
      <c r="I134" t="s">
        <v>2223</v>
      </c>
      <c r="J134" t="s">
        <v>148</v>
      </c>
      <c r="K134" t="s">
        <v>2223</v>
      </c>
      <c r="L134" t="s">
        <v>6228</v>
      </c>
    </row>
    <row r="135" spans="1:12" x14ac:dyDescent="0.2">
      <c r="A135" t="s">
        <v>654</v>
      </c>
      <c r="B135" t="s">
        <v>655</v>
      </c>
      <c r="C135" t="s">
        <v>363</v>
      </c>
      <c r="D135" t="s">
        <v>148</v>
      </c>
      <c r="E135" t="str">
        <f>HYPERLINK("/pdf/2016_Dynamic_intrusion_detection_in_database_systems__A_machine-learning_approach.pdf","open")</f>
        <v>open</v>
      </c>
      <c r="F135" t="s">
        <v>6229</v>
      </c>
      <c r="G135" t="s">
        <v>6230</v>
      </c>
      <c r="H135" t="s">
        <v>6231</v>
      </c>
      <c r="I135" t="s">
        <v>2223</v>
      </c>
      <c r="J135" t="s">
        <v>6232</v>
      </c>
      <c r="K135" t="s">
        <v>2223</v>
      </c>
      <c r="L135" t="s">
        <v>6233</v>
      </c>
    </row>
    <row r="136" spans="1:12" x14ac:dyDescent="0.2">
      <c r="A136" t="s">
        <v>658</v>
      </c>
      <c r="B136" t="s">
        <v>659</v>
      </c>
      <c r="C136" t="s">
        <v>19</v>
      </c>
      <c r="D136" t="s">
        <v>661</v>
      </c>
      <c r="E136" t="str">
        <f>HYPERLINK("/pdf/2025_10_3390_electronics14234590_prifed_ids_a_privacy_preserving_federated_reinforcement_learning_framework_for_secure_and.pdf","open")</f>
        <v>open</v>
      </c>
      <c r="F136" t="s">
        <v>6234</v>
      </c>
      <c r="G136" t="s">
        <v>6235</v>
      </c>
      <c r="H136" t="s">
        <v>6236</v>
      </c>
      <c r="I136" t="s">
        <v>2223</v>
      </c>
      <c r="J136" t="s">
        <v>6237</v>
      </c>
      <c r="K136" t="s">
        <v>2223</v>
      </c>
      <c r="L136" t="s">
        <v>6238</v>
      </c>
    </row>
    <row r="137" spans="1:12" x14ac:dyDescent="0.2">
      <c r="A137" t="s">
        <v>663</v>
      </c>
      <c r="B137" t="s">
        <v>664</v>
      </c>
      <c r="C137" t="s">
        <v>54</v>
      </c>
      <c r="D137" t="s">
        <v>666</v>
      </c>
      <c r="E137" t="str">
        <f>HYPERLINK("/pdf/2020_10_3390_electronics9111937_fast_packet_inspection_for_end_to_end_encryption.pdf","open")</f>
        <v>open</v>
      </c>
      <c r="F137" t="s">
        <v>6239</v>
      </c>
      <c r="G137" t="s">
        <v>6240</v>
      </c>
      <c r="H137" t="s">
        <v>6241</v>
      </c>
      <c r="I137" t="s">
        <v>2223</v>
      </c>
      <c r="J137" t="s">
        <v>148</v>
      </c>
      <c r="K137" t="s">
        <v>2223</v>
      </c>
      <c r="L137" t="s">
        <v>148</v>
      </c>
    </row>
    <row r="138" spans="1:12" x14ac:dyDescent="0.2">
      <c r="A138" t="s">
        <v>668</v>
      </c>
      <c r="B138" t="s">
        <v>669</v>
      </c>
      <c r="C138" t="s">
        <v>25</v>
      </c>
      <c r="D138" t="s">
        <v>670</v>
      </c>
      <c r="E138" t="str">
        <f>HYPERLINK("/pdf/2023_10.1007_s10207-023-00727-6_Federated_learning-based_intrusion_detection_system_for_Internet_of_Things.pdf","open")</f>
        <v>open</v>
      </c>
      <c r="F138" t="s">
        <v>6242</v>
      </c>
      <c r="G138" t="s">
        <v>6243</v>
      </c>
      <c r="H138" t="s">
        <v>6244</v>
      </c>
      <c r="I138" t="s">
        <v>957</v>
      </c>
      <c r="J138" t="s">
        <v>6245</v>
      </c>
      <c r="K138" t="s">
        <v>2223</v>
      </c>
      <c r="L138" t="s">
        <v>6246</v>
      </c>
    </row>
    <row r="139" spans="1:12" x14ac:dyDescent="0.2">
      <c r="A139" t="s">
        <v>672</v>
      </c>
      <c r="B139" t="s">
        <v>673</v>
      </c>
      <c r="C139" t="s">
        <v>210</v>
      </c>
      <c r="D139" t="s">
        <v>148</v>
      </c>
      <c r="E139" t="str">
        <f>HYPERLINK("/pdf/2015_Fujitsu's_security_technology_based_on_practical_knowledge.pdf","open")</f>
        <v>open</v>
      </c>
      <c r="F139" t="s">
        <v>148</v>
      </c>
      <c r="G139" t="s">
        <v>6247</v>
      </c>
      <c r="H139" t="s">
        <v>6248</v>
      </c>
      <c r="I139" t="s">
        <v>2223</v>
      </c>
      <c r="J139" t="s">
        <v>148</v>
      </c>
      <c r="K139" t="s">
        <v>2223</v>
      </c>
      <c r="L139" t="s">
        <v>148</v>
      </c>
    </row>
    <row r="140" spans="1:12" x14ac:dyDescent="0.2">
      <c r="A140" t="s">
        <v>675</v>
      </c>
      <c r="B140" t="s">
        <v>676</v>
      </c>
      <c r="C140" t="s">
        <v>60</v>
      </c>
      <c r="D140" t="s">
        <v>677</v>
      </c>
      <c r="E140" t="str">
        <f>HYPERLINK("/pdf/2024_10.1007_s10207-023-00805-9_Federated_transfer_learning_for_attack_detection_for_Internet_of_Medical_Things.pdf","open")</f>
        <v>open</v>
      </c>
      <c r="F140" t="s">
        <v>6249</v>
      </c>
      <c r="G140" t="s">
        <v>6250</v>
      </c>
      <c r="H140" t="s">
        <v>6251</v>
      </c>
      <c r="I140" t="s">
        <v>2998</v>
      </c>
      <c r="J140" t="s">
        <v>6252</v>
      </c>
      <c r="K140" t="s">
        <v>2223</v>
      </c>
      <c r="L140" t="s">
        <v>6253</v>
      </c>
    </row>
    <row r="141" spans="1:12" x14ac:dyDescent="0.2">
      <c r="A141" t="s">
        <v>679</v>
      </c>
      <c r="B141" t="s">
        <v>680</v>
      </c>
      <c r="C141" t="s">
        <v>19</v>
      </c>
      <c r="D141" t="s">
        <v>682</v>
      </c>
      <c r="E141" t="str">
        <f>HYPERLINK("/pdf/2025_10_37934_araset_51_2_153176_detecting_wormhole_attack_in_environmental_monitoring_system_for_agriculture_usi.pdf","open")</f>
        <v>open</v>
      </c>
      <c r="F141" t="s">
        <v>6254</v>
      </c>
      <c r="G141" t="s">
        <v>6255</v>
      </c>
      <c r="H141" t="s">
        <v>6256</v>
      </c>
      <c r="I141" t="s">
        <v>2223</v>
      </c>
      <c r="J141" t="s">
        <v>148</v>
      </c>
      <c r="K141" t="s">
        <v>2998</v>
      </c>
      <c r="L141" t="s">
        <v>6257</v>
      </c>
    </row>
    <row r="142" spans="1:12" x14ac:dyDescent="0.2">
      <c r="A142" t="s">
        <v>684</v>
      </c>
      <c r="B142" t="s">
        <v>685</v>
      </c>
      <c r="C142" t="s">
        <v>136</v>
      </c>
      <c r="D142" t="s">
        <v>687</v>
      </c>
      <c r="E142" t="str">
        <f>HYPERLINK("/pdf/2019_10.1109_icac49085.2019.9103339_Enhanced_Secure_Solution_for_PoS_Architecture.pdf","open")</f>
        <v>open</v>
      </c>
      <c r="F142" t="s">
        <v>6258</v>
      </c>
      <c r="G142" t="s">
        <v>6259</v>
      </c>
      <c r="H142" t="s">
        <v>148</v>
      </c>
      <c r="I142" t="s">
        <v>2223</v>
      </c>
      <c r="J142" t="s">
        <v>6260</v>
      </c>
      <c r="K142" t="s">
        <v>2223</v>
      </c>
      <c r="L142" t="s">
        <v>6261</v>
      </c>
    </row>
    <row r="143" spans="1:12" x14ac:dyDescent="0.2">
      <c r="A143" t="s">
        <v>689</v>
      </c>
      <c r="B143" t="s">
        <v>690</v>
      </c>
      <c r="C143" t="s">
        <v>36</v>
      </c>
      <c r="D143" t="s">
        <v>692</v>
      </c>
      <c r="E143" t="str">
        <f>HYPERLINK("/pdf/2021_10_3390_e23101258_an_insider_data_leakage_detection_using_one_hot_encoding_synthetic_minority_oversampling.pdf","open")</f>
        <v>open</v>
      </c>
      <c r="F143" t="s">
        <v>6262</v>
      </c>
      <c r="G143" t="s">
        <v>6263</v>
      </c>
      <c r="H143" t="s">
        <v>6264</v>
      </c>
      <c r="I143" t="s">
        <v>2998</v>
      </c>
      <c r="J143" t="s">
        <v>6265</v>
      </c>
      <c r="K143" t="s">
        <v>2223</v>
      </c>
      <c r="L143" t="s">
        <v>6266</v>
      </c>
    </row>
    <row r="144" spans="1:12" x14ac:dyDescent="0.2">
      <c r="A144" t="s">
        <v>694</v>
      </c>
      <c r="B144" t="s">
        <v>695</v>
      </c>
      <c r="C144" t="s">
        <v>363</v>
      </c>
      <c r="D144" t="s">
        <v>697</v>
      </c>
      <c r="E144" t="str">
        <f>HYPERLINK("/pdf/2016_10.1145_2976749.2978343_TaintART__A_practical_multi-level_information-flow_tracking_system_for_Android_RunTime.pdf","open")</f>
        <v>open</v>
      </c>
      <c r="F144" t="s">
        <v>6267</v>
      </c>
      <c r="G144" t="s">
        <v>6268</v>
      </c>
      <c r="H144" t="s">
        <v>6269</v>
      </c>
      <c r="I144" t="s">
        <v>2223</v>
      </c>
      <c r="J144" t="s">
        <v>148</v>
      </c>
      <c r="K144" t="s">
        <v>2998</v>
      </c>
      <c r="L144" t="s">
        <v>6270</v>
      </c>
    </row>
    <row r="145" spans="1:12" x14ac:dyDescent="0.2">
      <c r="A145" t="s">
        <v>699</v>
      </c>
      <c r="B145" t="s">
        <v>700</v>
      </c>
      <c r="C145" t="s">
        <v>100</v>
      </c>
      <c r="D145" t="s">
        <v>702</v>
      </c>
      <c r="E145" t="str">
        <f>HYPERLINK("/pdf/2022_10.1109_icssa54161.2022.9870973_Machine_Learning_Techniques_for_Intrusion_Detection_in_Smart_Healthcare_Systems__A_Comparative_Analysis.pdf","open")</f>
        <v>open</v>
      </c>
      <c r="F145" t="s">
        <v>148</v>
      </c>
      <c r="G145" t="s">
        <v>148</v>
      </c>
      <c r="H145" t="s">
        <v>6271</v>
      </c>
      <c r="I145" t="s">
        <v>2223</v>
      </c>
      <c r="J145" t="s">
        <v>6272</v>
      </c>
      <c r="K145" t="s">
        <v>2223</v>
      </c>
      <c r="L145" t="s">
        <v>6273</v>
      </c>
    </row>
    <row r="146" spans="1:12" x14ac:dyDescent="0.2">
      <c r="A146" t="s">
        <v>704</v>
      </c>
      <c r="B146" t="s">
        <v>705</v>
      </c>
      <c r="C146" t="s">
        <v>60</v>
      </c>
      <c r="D146" t="s">
        <v>707</v>
      </c>
      <c r="E146" t="str">
        <f>HYPERLINK("/pdf/2024_10.48084_etasr.7467_An_Enhanced_Framework_to_Mitigate_Post-Installation_Cyber_Attacks_on_Android_Apps.pdf","open")</f>
        <v>open</v>
      </c>
      <c r="F146" t="s">
        <v>6274</v>
      </c>
      <c r="G146" t="s">
        <v>6275</v>
      </c>
      <c r="H146" t="s">
        <v>6276</v>
      </c>
      <c r="I146" t="s">
        <v>2223</v>
      </c>
      <c r="J146" t="s">
        <v>6277</v>
      </c>
      <c r="K146" t="s">
        <v>2223</v>
      </c>
      <c r="L146" t="s">
        <v>6278</v>
      </c>
    </row>
    <row r="147" spans="1:12" x14ac:dyDescent="0.2">
      <c r="A147" t="s">
        <v>709</v>
      </c>
      <c r="B147" t="s">
        <v>710</v>
      </c>
      <c r="C147" t="s">
        <v>19</v>
      </c>
      <c r="D147" t="s">
        <v>711</v>
      </c>
      <c r="E147" t="str">
        <f>HYPERLINK("/pdf/2025_10_1038_s41598_025_17799_0_multi_resolution_transfer_learning_for_tampered_image_classification_using_se_en.pdf","open")</f>
        <v>open</v>
      </c>
      <c r="F147" t="s">
        <v>6279</v>
      </c>
      <c r="G147" t="s">
        <v>148</v>
      </c>
      <c r="H147" t="s">
        <v>6280</v>
      </c>
      <c r="I147" t="s">
        <v>2223</v>
      </c>
      <c r="J147" t="s">
        <v>6281</v>
      </c>
      <c r="K147" t="s">
        <v>2223</v>
      </c>
      <c r="L147" t="s">
        <v>6282</v>
      </c>
    </row>
    <row r="148" spans="1:12" x14ac:dyDescent="0.2">
      <c r="A148" t="s">
        <v>713</v>
      </c>
      <c r="B148" t="s">
        <v>714</v>
      </c>
      <c r="C148" t="s">
        <v>215</v>
      </c>
      <c r="D148" t="s">
        <v>716</v>
      </c>
      <c r="E148" t="str">
        <f>HYPERLINK("/pdf/2015_10.1109_cis.2014.133_Application_research_on_retrospective_analysis_system_in_network_intrusion_detection.pdf","open")</f>
        <v>open</v>
      </c>
      <c r="F148" t="s">
        <v>6283</v>
      </c>
      <c r="G148" t="s">
        <v>6284</v>
      </c>
      <c r="H148" t="s">
        <v>6285</v>
      </c>
      <c r="I148" t="s">
        <v>2223</v>
      </c>
      <c r="J148" t="s">
        <v>6286</v>
      </c>
      <c r="K148" t="s">
        <v>2223</v>
      </c>
      <c r="L148" t="s">
        <v>6287</v>
      </c>
    </row>
    <row r="149" spans="1:12" x14ac:dyDescent="0.2">
      <c r="A149" t="s">
        <v>718</v>
      </c>
      <c r="B149" t="s">
        <v>719</v>
      </c>
      <c r="C149" t="s">
        <v>25</v>
      </c>
      <c r="D149" t="s">
        <v>721</v>
      </c>
      <c r="E149" t="str">
        <f>HYPERLINK("/pdf/2023_10.1109_airosip58759.2023.10873912_Smart_Closed-Loop_Jamming_System.pdf","open")</f>
        <v>open</v>
      </c>
      <c r="F149" t="s">
        <v>6288</v>
      </c>
      <c r="G149" t="s">
        <v>6289</v>
      </c>
      <c r="H149" t="s">
        <v>6290</v>
      </c>
      <c r="I149" t="s">
        <v>2223</v>
      </c>
      <c r="J149" t="s">
        <v>148</v>
      </c>
      <c r="K149" t="s">
        <v>2223</v>
      </c>
      <c r="L149" t="s">
        <v>148</v>
      </c>
    </row>
    <row r="150" spans="1:12" x14ac:dyDescent="0.2">
      <c r="A150" t="s">
        <v>723</v>
      </c>
      <c r="B150" t="s">
        <v>724</v>
      </c>
      <c r="C150" t="s">
        <v>60</v>
      </c>
      <c r="D150" t="s">
        <v>725</v>
      </c>
      <c r="E150" t="str">
        <f>HYPERLINK("/pdf/2024_10.1109_jiot.2024.3385989_An_Authentication_Mechanism_Based_on_Zero_Trust_With_Radio_Frequency_Fingerprint_for_Internet_of_Things_Networ.pdf","open")</f>
        <v>open</v>
      </c>
      <c r="F150" t="s">
        <v>6291</v>
      </c>
      <c r="G150" t="s">
        <v>6292</v>
      </c>
      <c r="H150" t="s">
        <v>6293</v>
      </c>
      <c r="I150" t="s">
        <v>2223</v>
      </c>
      <c r="J150" t="s">
        <v>6294</v>
      </c>
      <c r="K150" t="s">
        <v>2223</v>
      </c>
      <c r="L150" t="s">
        <v>6295</v>
      </c>
    </row>
    <row r="151" spans="1:12" x14ac:dyDescent="0.2">
      <c r="A151" t="s">
        <v>727</v>
      </c>
      <c r="B151" t="s">
        <v>728</v>
      </c>
      <c r="C151" t="s">
        <v>190</v>
      </c>
      <c r="D151" t="s">
        <v>730</v>
      </c>
      <c r="E151" t="str">
        <f>HYPERLINK("/pdf/2017_10.1109_wcsp.2017.8170908_Data_leakage_between_C_S_communication__A_case_study_on_Android_music_app.pdf","open")</f>
        <v>open</v>
      </c>
      <c r="F151" t="s">
        <v>6296</v>
      </c>
      <c r="G151" t="s">
        <v>6297</v>
      </c>
      <c r="H151" t="s">
        <v>6298</v>
      </c>
      <c r="I151" t="s">
        <v>2223</v>
      </c>
      <c r="J151" t="s">
        <v>6299</v>
      </c>
      <c r="K151" t="s">
        <v>2223</v>
      </c>
      <c r="L151" t="s">
        <v>6300</v>
      </c>
    </row>
    <row r="152" spans="1:12" x14ac:dyDescent="0.2">
      <c r="A152" t="s">
        <v>732</v>
      </c>
      <c r="B152" t="s">
        <v>733</v>
      </c>
      <c r="C152" t="s">
        <v>19</v>
      </c>
      <c r="D152" t="s">
        <v>735</v>
      </c>
      <c r="E152" t="str">
        <f>HYPERLINK("/pdf/2025_10.1109_icoict66265.2025.11192987_Federated_Learning_Approaches_for_IoT_Intrusion_Detection_Based_on_FedAvg_and_FedProx_on_IID_and_Non-IID_Data.pdf","open")</f>
        <v>open</v>
      </c>
      <c r="F152" t="s">
        <v>6301</v>
      </c>
      <c r="G152" t="s">
        <v>6302</v>
      </c>
      <c r="H152" t="s">
        <v>6303</v>
      </c>
      <c r="I152" t="s">
        <v>2998</v>
      </c>
      <c r="J152" t="s">
        <v>6304</v>
      </c>
      <c r="K152" t="s">
        <v>2223</v>
      </c>
      <c r="L152" t="s">
        <v>6305</v>
      </c>
    </row>
    <row r="153" spans="1:12" x14ac:dyDescent="0.2">
      <c r="A153" t="s">
        <v>737</v>
      </c>
      <c r="B153" t="s">
        <v>738</v>
      </c>
      <c r="C153" t="s">
        <v>156</v>
      </c>
      <c r="D153" t="s">
        <v>740</v>
      </c>
      <c r="E153" t="str">
        <f>HYPERLINK("/pdf/2013_10.1109_icon.2013.6781950_Security_testing_in_Android_networks_-_A_practical_case_study.pdf","open")</f>
        <v>open</v>
      </c>
      <c r="F153" t="s">
        <v>6306</v>
      </c>
      <c r="G153" t="s">
        <v>148</v>
      </c>
      <c r="H153" t="s">
        <v>6307</v>
      </c>
      <c r="I153" t="s">
        <v>2223</v>
      </c>
      <c r="J153" t="s">
        <v>6308</v>
      </c>
      <c r="K153" t="s">
        <v>2223</v>
      </c>
      <c r="L153" t="s">
        <v>6309</v>
      </c>
    </row>
    <row r="154" spans="1:12" x14ac:dyDescent="0.2">
      <c r="A154" t="s">
        <v>742</v>
      </c>
      <c r="B154" t="s">
        <v>743</v>
      </c>
      <c r="C154" t="s">
        <v>60</v>
      </c>
      <c r="D154" t="s">
        <v>148</v>
      </c>
      <c r="E154" t="str">
        <f>HYPERLINK("/pdf/2024_10.23919_indiacom61295.2024.10499164_A_DNA-based_Authentication_System_for_Securing_Cloud_Data_Storage_and_Transactions.pdf","open")</f>
        <v>open</v>
      </c>
      <c r="F154" t="s">
        <v>6310</v>
      </c>
      <c r="G154" t="s">
        <v>6311</v>
      </c>
      <c r="H154" t="s">
        <v>6312</v>
      </c>
      <c r="I154" t="s">
        <v>2223</v>
      </c>
      <c r="J154" t="s">
        <v>148</v>
      </c>
      <c r="K154" t="s">
        <v>2223</v>
      </c>
      <c r="L154" t="s">
        <v>148</v>
      </c>
    </row>
    <row r="155" spans="1:12" x14ac:dyDescent="0.2">
      <c r="A155" t="s">
        <v>746</v>
      </c>
      <c r="B155" t="s">
        <v>747</v>
      </c>
      <c r="C155" t="s">
        <v>136</v>
      </c>
      <c r="D155" t="s">
        <v>148</v>
      </c>
      <c r="E155" t="str">
        <f>HYPERLINK("/pdf/2019_10.1109_iceei47359.2019.8988832_OTPAF__A_Security_Requirement_Conceptual_Model_of_SaaS_for_Malaysian_Government_based_on_Common_Criteria.pdf","open")</f>
        <v>open</v>
      </c>
      <c r="F155" t="s">
        <v>6313</v>
      </c>
      <c r="G155" t="s">
        <v>6314</v>
      </c>
      <c r="H155" t="s">
        <v>6315</v>
      </c>
      <c r="I155" t="s">
        <v>2223</v>
      </c>
      <c r="J155" t="s">
        <v>148</v>
      </c>
      <c r="K155" t="s">
        <v>2223</v>
      </c>
      <c r="L155" t="s">
        <v>148</v>
      </c>
    </row>
    <row r="156" spans="1:12" x14ac:dyDescent="0.2">
      <c r="A156" t="s">
        <v>750</v>
      </c>
      <c r="B156" t="s">
        <v>751</v>
      </c>
      <c r="C156" t="s">
        <v>60</v>
      </c>
      <c r="D156" t="s">
        <v>148</v>
      </c>
      <c r="E156" t="str">
        <f>HYPERLINK("/pdf/2024_In_Plain_Sight__A_Pragmatic_Exploration_of_the_Italian_Medical_Landscape_(In)security.pdf.pdf","open")</f>
        <v>open</v>
      </c>
      <c r="F156" t="s">
        <v>6316</v>
      </c>
      <c r="G156" t="s">
        <v>6317</v>
      </c>
      <c r="H156" t="s">
        <v>6318</v>
      </c>
      <c r="I156" t="s">
        <v>2223</v>
      </c>
      <c r="J156" t="s">
        <v>6319</v>
      </c>
      <c r="K156" t="s">
        <v>2223</v>
      </c>
      <c r="L156" t="s">
        <v>6320</v>
      </c>
    </row>
    <row r="157" spans="1:12" x14ac:dyDescent="0.2">
      <c r="A157" t="s">
        <v>754</v>
      </c>
      <c r="B157" t="s">
        <v>755</v>
      </c>
      <c r="C157" t="s">
        <v>19</v>
      </c>
      <c r="D157" t="s">
        <v>757</v>
      </c>
      <c r="E157" t="str">
        <f>HYPERLINK("/pdf/2025_10_3390_info16110957_llms_for_cybersecurity_in_the_big_data_era_a_comprehensive_review_of_applications_challe.pdf","open")</f>
        <v>open</v>
      </c>
      <c r="F157" t="s">
        <v>6321</v>
      </c>
      <c r="G157" t="s">
        <v>6322</v>
      </c>
      <c r="H157" t="s">
        <v>6323</v>
      </c>
      <c r="I157" t="s">
        <v>5793</v>
      </c>
      <c r="J157" t="s">
        <v>6324</v>
      </c>
      <c r="K157" t="s">
        <v>957</v>
      </c>
      <c r="L157" t="s">
        <v>6325</v>
      </c>
    </row>
    <row r="158" spans="1:12" x14ac:dyDescent="0.2">
      <c r="A158" t="s">
        <v>759</v>
      </c>
      <c r="B158" t="s">
        <v>760</v>
      </c>
      <c r="C158" t="s">
        <v>48</v>
      </c>
      <c r="D158" t="s">
        <v>761</v>
      </c>
      <c r="E158" t="str">
        <f>HYPERLINK("/pdf/2010_CollSec_2010_-_2010_Workshop_on_Collaborative_Methods_for_Security_and_Privacy.pdf","open")</f>
        <v>open</v>
      </c>
      <c r="F158" t="s">
        <v>6326</v>
      </c>
      <c r="G158" t="s">
        <v>6327</v>
      </c>
      <c r="H158" t="s">
        <v>6328</v>
      </c>
      <c r="I158" t="s">
        <v>2223</v>
      </c>
      <c r="J158" t="s">
        <v>6329</v>
      </c>
      <c r="K158" t="s">
        <v>2998</v>
      </c>
      <c r="L158" t="s">
        <v>6330</v>
      </c>
    </row>
    <row r="159" spans="1:12" x14ac:dyDescent="0.2">
      <c r="A159" t="s">
        <v>763</v>
      </c>
      <c r="B159" t="s">
        <v>764</v>
      </c>
      <c r="C159" t="s">
        <v>136</v>
      </c>
      <c r="D159" t="s">
        <v>765</v>
      </c>
      <c r="E159" t="str">
        <f>HYPERLINK("/pdf/2019_10_1109_access_2019_2951425_covert_channels_in_the_mqtt_based_internet_of_things.pdf","open")</f>
        <v>open</v>
      </c>
      <c r="F159" t="s">
        <v>6331</v>
      </c>
      <c r="G159" t="s">
        <v>6332</v>
      </c>
      <c r="H159" t="s">
        <v>6333</v>
      </c>
      <c r="I159" t="s">
        <v>2223</v>
      </c>
      <c r="J159" t="s">
        <v>148</v>
      </c>
      <c r="K159" t="s">
        <v>2223</v>
      </c>
      <c r="L159" t="s">
        <v>148</v>
      </c>
    </row>
    <row r="160" spans="1:12" x14ac:dyDescent="0.2">
      <c r="A160" t="s">
        <v>767</v>
      </c>
      <c r="B160" t="s">
        <v>768</v>
      </c>
      <c r="C160" t="s">
        <v>100</v>
      </c>
      <c r="D160" t="s">
        <v>770</v>
      </c>
      <c r="E160" t="str">
        <f>HYPERLINK("/pdf/2022_10.1109_asiancon55314.2022.9909471_Data_Leakage_in_Android_and_Anomaly_Based_Intrusion_Detection_and_Prevention_System.pdf","open")</f>
        <v>open</v>
      </c>
      <c r="F160" t="s">
        <v>6334</v>
      </c>
      <c r="G160" t="s">
        <v>6335</v>
      </c>
      <c r="H160" t="s">
        <v>6336</v>
      </c>
      <c r="I160" t="s">
        <v>2223</v>
      </c>
      <c r="J160" t="s">
        <v>148</v>
      </c>
      <c r="K160" t="s">
        <v>2223</v>
      </c>
      <c r="L160" t="s">
        <v>148</v>
      </c>
    </row>
    <row r="161" spans="1:12" x14ac:dyDescent="0.2">
      <c r="A161" t="s">
        <v>772</v>
      </c>
      <c r="B161" t="s">
        <v>773</v>
      </c>
      <c r="C161" t="s">
        <v>19</v>
      </c>
      <c r="D161" t="s">
        <v>775</v>
      </c>
      <c r="E161" t="str">
        <f>HYPERLINK("/pdf/2025_10.1142_s2010324725400119_A_Hybrid_BiLSTM-Attention_and_Homomorphic_Encryption_Framework_for_Privacy-Preserving_Threat_Detection_in_Clou.pdf","open")</f>
        <v>open</v>
      </c>
      <c r="F161" t="s">
        <v>6337</v>
      </c>
      <c r="G161" t="s">
        <v>6338</v>
      </c>
      <c r="H161" t="s">
        <v>6339</v>
      </c>
      <c r="I161" t="s">
        <v>2223</v>
      </c>
      <c r="J161" t="s">
        <v>148</v>
      </c>
      <c r="K161" t="s">
        <v>2998</v>
      </c>
      <c r="L161" t="s">
        <v>6340</v>
      </c>
    </row>
    <row r="162" spans="1:12" x14ac:dyDescent="0.2">
      <c r="A162" t="s">
        <v>445</v>
      </c>
      <c r="B162" t="s">
        <v>446</v>
      </c>
      <c r="C162" t="s">
        <v>19</v>
      </c>
      <c r="D162" t="s">
        <v>448</v>
      </c>
      <c r="E162" t="str">
        <f>HYPERLINK("/pdf/2025_10_3991_ijep_v15i4_53127_integration_of_cybersecurity_into_computer_science_teachers_training_a_systema.pdf","open")</f>
        <v>open</v>
      </c>
      <c r="F162" t="s">
        <v>6341</v>
      </c>
      <c r="G162" t="s">
        <v>6342</v>
      </c>
      <c r="H162" t="s">
        <v>6343</v>
      </c>
      <c r="I162" t="s">
        <v>2223</v>
      </c>
      <c r="J162" t="s">
        <v>6344</v>
      </c>
      <c r="K162" t="s">
        <v>2223</v>
      </c>
      <c r="L162" t="s">
        <v>6345</v>
      </c>
    </row>
    <row r="163" spans="1:12" x14ac:dyDescent="0.2">
      <c r="A163" t="s">
        <v>778</v>
      </c>
      <c r="B163" t="s">
        <v>779</v>
      </c>
      <c r="C163" t="s">
        <v>60</v>
      </c>
      <c r="D163" t="s">
        <v>778</v>
      </c>
      <c r="E163" t="str">
        <f>HYPERLINK("/pdf/2024_10_20473_mi_v7i3_55931_data_leakage_of_the_indonesian_elections_commission_in_legal_aspects_of_personal.pdf","open")</f>
        <v>open</v>
      </c>
      <c r="F163" t="s">
        <v>6346</v>
      </c>
      <c r="G163" t="s">
        <v>6347</v>
      </c>
      <c r="H163" t="s">
        <v>6348</v>
      </c>
      <c r="I163" t="s">
        <v>2223</v>
      </c>
      <c r="J163" t="s">
        <v>148</v>
      </c>
      <c r="K163" t="s">
        <v>2223</v>
      </c>
      <c r="L163" t="s">
        <v>148</v>
      </c>
    </row>
    <row r="164" spans="1:12" x14ac:dyDescent="0.2">
      <c r="A164" t="s">
        <v>782</v>
      </c>
      <c r="B164" t="s">
        <v>783</v>
      </c>
      <c r="C164" t="s">
        <v>148</v>
      </c>
      <c r="D164" t="s">
        <v>148</v>
      </c>
      <c r="E164" t="str">
        <f>HYPERLINK("/pdf/2019_10_1109_gciot47977_2019_9058410_practical_application_of_machine_learning_based_online_intrusion_detection_to_internet_of.pdf","open")</f>
        <v>open</v>
      </c>
      <c r="F164" t="s">
        <v>6349</v>
      </c>
      <c r="G164" t="s">
        <v>6350</v>
      </c>
      <c r="H164" t="s">
        <v>6351</v>
      </c>
      <c r="I164" t="s">
        <v>957</v>
      </c>
      <c r="J164" t="s">
        <v>6352</v>
      </c>
      <c r="K164" t="s">
        <v>2223</v>
      </c>
      <c r="L164" t="s">
        <v>6353</v>
      </c>
    </row>
    <row r="165" spans="1:12" x14ac:dyDescent="0.2">
      <c r="A165" t="s">
        <v>785</v>
      </c>
      <c r="B165" t="s">
        <v>786</v>
      </c>
      <c r="C165" t="s">
        <v>60</v>
      </c>
      <c r="D165" t="s">
        <v>787</v>
      </c>
      <c r="E165" t="str">
        <f>HYPERLINK("/pdf/2024_10.1016_j.cose.2024.103864_MeMalDet__A_memory_analysis-based_malware_detection_framework_using_deep_autoencoders_and_stacked_ensemble_und.pdf","open")</f>
        <v>open</v>
      </c>
      <c r="F165" t="s">
        <v>6354</v>
      </c>
      <c r="G165" t="s">
        <v>6355</v>
      </c>
      <c r="H165" t="s">
        <v>6356</v>
      </c>
      <c r="I165" t="s">
        <v>5793</v>
      </c>
      <c r="J165" t="s">
        <v>6357</v>
      </c>
      <c r="K165" t="s">
        <v>2223</v>
      </c>
      <c r="L165" t="s">
        <v>6358</v>
      </c>
    </row>
    <row r="166" spans="1:12" x14ac:dyDescent="0.2">
      <c r="A166" t="s">
        <v>789</v>
      </c>
      <c r="B166" t="s">
        <v>790</v>
      </c>
      <c r="C166" t="s">
        <v>19</v>
      </c>
      <c r="D166" t="s">
        <v>791</v>
      </c>
      <c r="E166" t="str">
        <f>HYPERLINK("/pdf/2025_10.1109_access.2025.3602562_Enhanced_Intrusion_Detection_via_Hybrid_Data_Resampling_and_Feature_Optimization.pdf","open")</f>
        <v>open</v>
      </c>
      <c r="F166" t="s">
        <v>6359</v>
      </c>
      <c r="G166" t="s">
        <v>6360</v>
      </c>
      <c r="H166" t="s">
        <v>6361</v>
      </c>
      <c r="I166" t="s">
        <v>957</v>
      </c>
      <c r="J166" t="s">
        <v>6362</v>
      </c>
      <c r="K166" t="s">
        <v>2223</v>
      </c>
      <c r="L166" t="s">
        <v>6363</v>
      </c>
    </row>
    <row r="167" spans="1:12" x14ac:dyDescent="0.2">
      <c r="A167" t="s">
        <v>793</v>
      </c>
      <c r="B167" t="s">
        <v>794</v>
      </c>
      <c r="C167" t="s">
        <v>100</v>
      </c>
      <c r="D167" t="s">
        <v>795</v>
      </c>
      <c r="E167" t="str">
        <f>HYPERLINK("/pdf/2022_10.1016_j.cose.2022.102783_Adversarial_training_for_deep_learning-based_cyberattack_detection_in_IoT-based_smart_city_applications.pdf","open")</f>
        <v>open</v>
      </c>
      <c r="F167" t="s">
        <v>6364</v>
      </c>
      <c r="G167" t="s">
        <v>6365</v>
      </c>
      <c r="H167" t="s">
        <v>6366</v>
      </c>
      <c r="I167" t="s">
        <v>2223</v>
      </c>
      <c r="J167" t="s">
        <v>6367</v>
      </c>
      <c r="K167" t="s">
        <v>2223</v>
      </c>
      <c r="L167" t="s">
        <v>6368</v>
      </c>
    </row>
    <row r="168" spans="1:12" x14ac:dyDescent="0.2">
      <c r="A168" t="s">
        <v>797</v>
      </c>
      <c r="B168" t="s">
        <v>798</v>
      </c>
      <c r="C168" t="s">
        <v>36</v>
      </c>
      <c r="D168" t="s">
        <v>800</v>
      </c>
      <c r="E168" t="str">
        <f>HYPERLINK("/pdf/2021_10.1109_jetcas.2021.3075098_Proof-Carrying_Hardware-Based_Information_Flow_Tracking_in_Analog_Mixed-Signal_Designs.pdf","open")</f>
        <v>open</v>
      </c>
      <c r="F168" t="s">
        <v>6369</v>
      </c>
      <c r="G168" t="s">
        <v>6370</v>
      </c>
      <c r="H168" t="s">
        <v>6371</v>
      </c>
      <c r="I168" t="s">
        <v>2223</v>
      </c>
      <c r="J168" t="s">
        <v>148</v>
      </c>
      <c r="K168" t="s">
        <v>2998</v>
      </c>
      <c r="L168" t="s">
        <v>6372</v>
      </c>
    </row>
    <row r="169" spans="1:12" x14ac:dyDescent="0.2">
      <c r="A169" t="s">
        <v>802</v>
      </c>
      <c r="B169" t="s">
        <v>803</v>
      </c>
      <c r="C169" t="s">
        <v>100</v>
      </c>
      <c r="D169" t="s">
        <v>805</v>
      </c>
      <c r="E169" t="str">
        <f>HYPERLINK("/pdf/2022_10.1145_3564625.3567970_Randezvous__Making_Randomization_Effective_on_MCUs.pdf","open")</f>
        <v>open</v>
      </c>
      <c r="F169" t="s">
        <v>148</v>
      </c>
      <c r="G169" t="s">
        <v>6373</v>
      </c>
      <c r="H169" t="s">
        <v>6374</v>
      </c>
      <c r="I169" t="s">
        <v>2223</v>
      </c>
      <c r="J169" t="s">
        <v>148</v>
      </c>
      <c r="K169" t="s">
        <v>2223</v>
      </c>
      <c r="L169" t="s">
        <v>148</v>
      </c>
    </row>
    <row r="170" spans="1:12" x14ac:dyDescent="0.2">
      <c r="A170" t="s">
        <v>807</v>
      </c>
      <c r="B170" t="s">
        <v>146</v>
      </c>
      <c r="C170" t="s">
        <v>136</v>
      </c>
      <c r="D170" t="s">
        <v>148</v>
      </c>
      <c r="E170" t="str">
        <f>HYPERLINK("/pdf/2020_10.1109_iceee49618.2020.9102516_The_Techniques_of_Securing_Imaging_Data_in_Medical_System.pdf","open")</f>
        <v>open</v>
      </c>
      <c r="F170" t="s">
        <v>6375</v>
      </c>
      <c r="G170" t="s">
        <v>6376</v>
      </c>
      <c r="H170" t="s">
        <v>6377</v>
      </c>
      <c r="I170" t="s">
        <v>2223</v>
      </c>
      <c r="J170" t="s">
        <v>6378</v>
      </c>
      <c r="K170" t="s">
        <v>2223</v>
      </c>
      <c r="L170" t="s">
        <v>6379</v>
      </c>
    </row>
    <row r="171" spans="1:12" x14ac:dyDescent="0.2">
      <c r="A171" t="s">
        <v>809</v>
      </c>
      <c r="B171" t="s">
        <v>810</v>
      </c>
      <c r="C171" t="s">
        <v>363</v>
      </c>
      <c r="D171" t="s">
        <v>812</v>
      </c>
      <c r="E171" t="str">
        <f>HYPERLINK("/pdf/2016_10.1145_2976749.2978398_ProvUSB__Block-level_provenance-based_data_protection_for_USB_storage_devices.pdf","open")</f>
        <v>open</v>
      </c>
      <c r="F171" t="s">
        <v>6380</v>
      </c>
      <c r="G171" t="s">
        <v>6381</v>
      </c>
      <c r="H171" t="s">
        <v>6382</v>
      </c>
      <c r="I171" t="s">
        <v>2223</v>
      </c>
      <c r="J171" t="s">
        <v>6383</v>
      </c>
      <c r="K171" t="s">
        <v>957</v>
      </c>
      <c r="L171" t="s">
        <v>6384</v>
      </c>
    </row>
    <row r="172" spans="1:12" x14ac:dyDescent="0.2">
      <c r="A172" t="s">
        <v>814</v>
      </c>
      <c r="B172" t="s">
        <v>815</v>
      </c>
      <c r="C172" t="s">
        <v>210</v>
      </c>
      <c r="D172" t="s">
        <v>817</v>
      </c>
      <c r="E172" t="str">
        <f>HYPERLINK("/pdf/2015_10.1109_msp.2015.88_Can_Content-Based_Data_Loss_Prevention_Solutions_Prevent_Data_Leakage_in_Web_Traffic_.pdf","open")</f>
        <v>open</v>
      </c>
      <c r="F172" t="s">
        <v>6385</v>
      </c>
      <c r="G172" t="s">
        <v>6386</v>
      </c>
      <c r="H172" t="s">
        <v>6387</v>
      </c>
      <c r="I172" t="s">
        <v>2223</v>
      </c>
      <c r="J172" t="s">
        <v>148</v>
      </c>
      <c r="K172" t="s">
        <v>2223</v>
      </c>
      <c r="L172" t="s">
        <v>148</v>
      </c>
    </row>
    <row r="173" spans="1:12" x14ac:dyDescent="0.2">
      <c r="A173" t="s">
        <v>819</v>
      </c>
      <c r="B173" t="s">
        <v>820</v>
      </c>
      <c r="C173" t="s">
        <v>25</v>
      </c>
      <c r="D173" t="s">
        <v>822</v>
      </c>
      <c r="E173" t="str">
        <f>HYPERLINK("/pdf/2023_10.1109_gcat59970.2023.10353244_Exploring_Advanced_Model_Optimization_Strategies_for_Network_Intrusion_Detection_in_cloud_computing.pdf","open")</f>
        <v>open</v>
      </c>
      <c r="F173" t="s">
        <v>6388</v>
      </c>
      <c r="G173" t="s">
        <v>148</v>
      </c>
      <c r="H173" t="s">
        <v>6389</v>
      </c>
      <c r="I173" t="s">
        <v>2223</v>
      </c>
      <c r="J173" t="s">
        <v>148</v>
      </c>
      <c r="K173" t="s">
        <v>2223</v>
      </c>
      <c r="L173" t="s">
        <v>6309</v>
      </c>
    </row>
    <row r="174" spans="1:12" x14ac:dyDescent="0.2">
      <c r="A174" t="s">
        <v>824</v>
      </c>
      <c r="B174" t="s">
        <v>825</v>
      </c>
      <c r="C174" t="s">
        <v>100</v>
      </c>
      <c r="D174" t="s">
        <v>826</v>
      </c>
      <c r="E174" t="str">
        <f>HYPERLINK("/pdf/2022_10_3390_app12042174_assistive_multimodal_robotic_system_amrsys_security_and_privacy_issues_challenges_and.pdf","open")</f>
        <v>open</v>
      </c>
      <c r="F174" t="s">
        <v>6390</v>
      </c>
      <c r="G174" t="s">
        <v>6391</v>
      </c>
      <c r="H174" t="s">
        <v>6392</v>
      </c>
      <c r="I174" t="s">
        <v>2223</v>
      </c>
      <c r="J174" t="s">
        <v>6393</v>
      </c>
      <c r="K174" t="s">
        <v>2998</v>
      </c>
      <c r="L174" t="s">
        <v>6394</v>
      </c>
    </row>
    <row r="175" spans="1:12" x14ac:dyDescent="0.2">
      <c r="A175" t="s">
        <v>828</v>
      </c>
      <c r="B175" t="s">
        <v>829</v>
      </c>
      <c r="C175" t="s">
        <v>60</v>
      </c>
      <c r="D175" t="s">
        <v>831</v>
      </c>
      <c r="E175" t="str">
        <f>HYPERLINK("/pdf/2024_10.1080_23311916.2024.2411859_Investigation_of_cyber_attacks_using_post-installation_app_detection_method.pdf","open")</f>
        <v>open</v>
      </c>
      <c r="F175" t="s">
        <v>6395</v>
      </c>
      <c r="G175" t="s">
        <v>148</v>
      </c>
      <c r="H175" t="s">
        <v>6396</v>
      </c>
      <c r="I175" t="s">
        <v>2998</v>
      </c>
      <c r="J175" t="s">
        <v>6397</v>
      </c>
      <c r="K175" t="s">
        <v>2223</v>
      </c>
      <c r="L175" t="s">
        <v>6398</v>
      </c>
    </row>
    <row r="176" spans="1:12" x14ac:dyDescent="0.2">
      <c r="A176" t="s">
        <v>833</v>
      </c>
      <c r="B176" t="s">
        <v>834</v>
      </c>
      <c r="C176" t="s">
        <v>100</v>
      </c>
      <c r="D176" t="s">
        <v>148</v>
      </c>
      <c r="E176" t="str">
        <f>HYPERLINK("/pdf/2023_10_1109_compsac57700_2023_00106_feature_engineering_based_detection_of_buffer_overflow_vulnerability_in_source_code_using.pdf","open")</f>
        <v>open</v>
      </c>
      <c r="F176" t="s">
        <v>6399</v>
      </c>
      <c r="G176" t="s">
        <v>148</v>
      </c>
      <c r="H176" t="s">
        <v>6400</v>
      </c>
      <c r="I176" t="s">
        <v>2223</v>
      </c>
      <c r="J176" t="s">
        <v>6401</v>
      </c>
      <c r="K176" t="s">
        <v>2223</v>
      </c>
      <c r="L176" t="s">
        <v>6402</v>
      </c>
    </row>
    <row r="177" spans="1:12" x14ac:dyDescent="0.2">
      <c r="A177" t="s">
        <v>836</v>
      </c>
      <c r="B177" t="s">
        <v>837</v>
      </c>
      <c r="C177" t="s">
        <v>36</v>
      </c>
      <c r="D177" t="s">
        <v>839</v>
      </c>
      <c r="E177" t="str">
        <f>HYPERLINK("/pdf/2021_10.4316_aece.2021.03005_Deep_Learning_Based_DNS_Tunneling_Detection_and_Blocking_System.pdf","open")</f>
        <v>open</v>
      </c>
      <c r="F177" t="s">
        <v>148</v>
      </c>
      <c r="G177" t="s">
        <v>148</v>
      </c>
      <c r="H177" t="s">
        <v>6403</v>
      </c>
      <c r="I177" t="s">
        <v>2223</v>
      </c>
      <c r="J177" t="s">
        <v>6404</v>
      </c>
      <c r="K177" t="s">
        <v>2223</v>
      </c>
      <c r="L177" t="s">
        <v>6405</v>
      </c>
    </row>
    <row r="178" spans="1:12" x14ac:dyDescent="0.2">
      <c r="A178" t="s">
        <v>841</v>
      </c>
      <c r="B178" t="s">
        <v>842</v>
      </c>
      <c r="C178" t="s">
        <v>100</v>
      </c>
      <c r="D178" t="s">
        <v>844</v>
      </c>
      <c r="E178" t="str">
        <f>HYPERLINK("/pdf/2022_10.1016_j.ins.2022.07.104_Privacy-preserving_knowledge_transfer_for_intrusion_detection_with_federated_deep_autoencoding_gaussian_mixtur.pdf","open")</f>
        <v>open</v>
      </c>
      <c r="F178" t="s">
        <v>6406</v>
      </c>
      <c r="G178" t="s">
        <v>6407</v>
      </c>
      <c r="H178" t="s">
        <v>6408</v>
      </c>
      <c r="I178" t="s">
        <v>2223</v>
      </c>
      <c r="J178" t="s">
        <v>6409</v>
      </c>
      <c r="K178" t="s">
        <v>2223</v>
      </c>
      <c r="L178" t="s">
        <v>6410</v>
      </c>
    </row>
    <row r="179" spans="1:12" x14ac:dyDescent="0.2">
      <c r="A179" t="s">
        <v>846</v>
      </c>
      <c r="B179" t="s">
        <v>847</v>
      </c>
      <c r="C179" t="s">
        <v>19</v>
      </c>
      <c r="D179" t="s">
        <v>848</v>
      </c>
      <c r="E179" t="str">
        <f>HYPERLINK("/pdf/2025_10_3390_electronics14101982_ficconvnet_a_privacy_preserving_framework_for_malware_detection_using_ckks_homomorphic_en.pdf","open")</f>
        <v>open</v>
      </c>
      <c r="F179" t="s">
        <v>6411</v>
      </c>
      <c r="G179" t="s">
        <v>6412</v>
      </c>
      <c r="H179" t="s">
        <v>6413</v>
      </c>
      <c r="I179" t="s">
        <v>2223</v>
      </c>
      <c r="J179" t="s">
        <v>6414</v>
      </c>
      <c r="K179" t="s">
        <v>2223</v>
      </c>
      <c r="L179" t="s">
        <v>6415</v>
      </c>
    </row>
    <row r="180" spans="1:12" x14ac:dyDescent="0.2">
      <c r="A180" t="s">
        <v>850</v>
      </c>
      <c r="B180" t="s">
        <v>850</v>
      </c>
      <c r="C180" t="s">
        <v>100</v>
      </c>
      <c r="D180" t="s">
        <v>851</v>
      </c>
      <c r="E180" t="str">
        <f>HYPERLINK("/pdf/2022_10.1016_j.cose.2022.102644_Preventive_portfolio_against_data-selling_ransomware—A_game_theory_of_encryption_and_deception.pdf","open")</f>
        <v>open</v>
      </c>
      <c r="F180" t="s">
        <v>6416</v>
      </c>
      <c r="G180" t="s">
        <v>6417</v>
      </c>
      <c r="H180" t="s">
        <v>6418</v>
      </c>
      <c r="I180" t="s">
        <v>2223</v>
      </c>
      <c r="J180" t="s">
        <v>148</v>
      </c>
      <c r="K180" t="s">
        <v>2223</v>
      </c>
      <c r="L180" t="s">
        <v>148</v>
      </c>
    </row>
    <row r="181" spans="1:12" x14ac:dyDescent="0.2">
      <c r="A181" t="s">
        <v>853</v>
      </c>
      <c r="B181" t="s">
        <v>854</v>
      </c>
      <c r="C181" t="s">
        <v>19</v>
      </c>
      <c r="D181" t="s">
        <v>856</v>
      </c>
      <c r="E181" t="str">
        <f>HYPERLINK("/pdf/2025_10.1109_sennet64220.2025.11135967_Secure_IoMT_Networks__A_Federated_Learning_Approach_to_Intrusion_Detection_with_Ensemble_Voting_Classifier.pdf","open")</f>
        <v>open</v>
      </c>
      <c r="F181" t="s">
        <v>6419</v>
      </c>
      <c r="G181" t="s">
        <v>6420</v>
      </c>
      <c r="H181" t="s">
        <v>6421</v>
      </c>
      <c r="I181" t="s">
        <v>2223</v>
      </c>
      <c r="J181" t="s">
        <v>6422</v>
      </c>
      <c r="K181" t="s">
        <v>2223</v>
      </c>
      <c r="L181" t="s">
        <v>6423</v>
      </c>
    </row>
    <row r="182" spans="1:12" x14ac:dyDescent="0.2">
      <c r="A182" t="s">
        <v>858</v>
      </c>
      <c r="B182" t="s">
        <v>859</v>
      </c>
      <c r="C182" t="s">
        <v>25</v>
      </c>
      <c r="D182" t="s">
        <v>861</v>
      </c>
      <c r="E182" t="str">
        <f>HYPERLINK("/pdf/2023_10.1016_j.micpro.2023.104845_Empirical_study_on_security_verification_and_assessment_of_neural_network_accelerator.pdf","open")</f>
        <v>open</v>
      </c>
      <c r="F182" t="s">
        <v>6424</v>
      </c>
      <c r="G182" t="s">
        <v>6425</v>
      </c>
      <c r="H182" t="s">
        <v>6426</v>
      </c>
      <c r="I182" t="s">
        <v>2223</v>
      </c>
      <c r="J182" t="s">
        <v>6427</v>
      </c>
      <c r="K182" t="s">
        <v>2223</v>
      </c>
      <c r="L182" t="s">
        <v>6428</v>
      </c>
    </row>
    <row r="183" spans="1:12" x14ac:dyDescent="0.2">
      <c r="A183" t="s">
        <v>863</v>
      </c>
      <c r="B183" t="s">
        <v>864</v>
      </c>
      <c r="C183" t="s">
        <v>48</v>
      </c>
      <c r="D183" t="s">
        <v>865</v>
      </c>
      <c r="E183" t="str">
        <f>HYPERLINK("/pdf/2026_10_3390_fi18010042_intrusion_detection_for_internet_of_vehicles_can_bus_communications_using_machine_learning.pdf","open")</f>
        <v>open</v>
      </c>
      <c r="F183" t="s">
        <v>6429</v>
      </c>
      <c r="G183" t="s">
        <v>6430</v>
      </c>
      <c r="H183" t="s">
        <v>6431</v>
      </c>
      <c r="I183" t="s">
        <v>5793</v>
      </c>
      <c r="J183" t="s">
        <v>6432</v>
      </c>
      <c r="K183" t="s">
        <v>2998</v>
      </c>
      <c r="L183" t="s">
        <v>6433</v>
      </c>
    </row>
    <row r="184" spans="1:12" x14ac:dyDescent="0.2">
      <c r="A184" t="s">
        <v>867</v>
      </c>
      <c r="B184" t="s">
        <v>868</v>
      </c>
      <c r="C184" t="s">
        <v>54</v>
      </c>
      <c r="D184" t="s">
        <v>867</v>
      </c>
      <c r="E184" t="str">
        <f>HYPERLINK("/pdf/2020_10.34190_ews.20.004_Mitigating_insider_threats__A_case_study_of_data_leak_prevention.pdf","open")</f>
        <v>open</v>
      </c>
      <c r="F184" t="s">
        <v>148</v>
      </c>
      <c r="G184" t="s">
        <v>148</v>
      </c>
      <c r="H184" t="s">
        <v>6434</v>
      </c>
      <c r="I184" t="s">
        <v>2223</v>
      </c>
      <c r="J184" t="s">
        <v>6435</v>
      </c>
      <c r="K184" t="s">
        <v>2223</v>
      </c>
      <c r="L184" t="s">
        <v>6436</v>
      </c>
    </row>
    <row r="185" spans="1:12" x14ac:dyDescent="0.2">
      <c r="A185" t="s">
        <v>871</v>
      </c>
      <c r="B185" t="s">
        <v>872</v>
      </c>
      <c r="C185" t="s">
        <v>363</v>
      </c>
      <c r="D185" t="s">
        <v>873</v>
      </c>
      <c r="E185" t="str">
        <f>HYPERLINK("/pdf/2017_10.1109_asianhost.2016.7835566_RECORD__Temporarily_randomized_encoding_of_combinational_logic_for_resistance_to_data_leakage_from_hardware_Tr.pdf","open")</f>
        <v>open</v>
      </c>
      <c r="F185" t="s">
        <v>148</v>
      </c>
      <c r="G185" t="s">
        <v>6437</v>
      </c>
      <c r="H185" t="s">
        <v>6438</v>
      </c>
      <c r="I185" t="s">
        <v>2223</v>
      </c>
      <c r="J185" t="s">
        <v>148</v>
      </c>
      <c r="K185" t="s">
        <v>2223</v>
      </c>
      <c r="L185" t="s">
        <v>148</v>
      </c>
    </row>
    <row r="186" spans="1:12" x14ac:dyDescent="0.2">
      <c r="A186" t="s">
        <v>875</v>
      </c>
      <c r="B186" t="s">
        <v>876</v>
      </c>
      <c r="C186" t="s">
        <v>48</v>
      </c>
      <c r="D186" t="s">
        <v>877</v>
      </c>
      <c r="E186" t="str">
        <f>HYPERLINK("/pdf/2026_10.3390_fi18010011_Adaptive_Privacy-Preserving_Insider_Threat_Detection_Using_Generative_Sequence_Models.pdf","open")</f>
        <v>open</v>
      </c>
      <c r="F186" t="s">
        <v>6439</v>
      </c>
      <c r="G186" t="s">
        <v>6440</v>
      </c>
      <c r="H186" t="s">
        <v>6441</v>
      </c>
      <c r="I186" t="s">
        <v>5793</v>
      </c>
      <c r="J186" t="s">
        <v>6442</v>
      </c>
      <c r="K186" t="s">
        <v>2998</v>
      </c>
      <c r="L186" t="s">
        <v>6443</v>
      </c>
    </row>
    <row r="187" spans="1:12" x14ac:dyDescent="0.2">
      <c r="A187" t="s">
        <v>879</v>
      </c>
      <c r="B187" t="s">
        <v>880</v>
      </c>
      <c r="C187" t="s">
        <v>215</v>
      </c>
      <c r="D187" t="s">
        <v>882</v>
      </c>
      <c r="E187" t="str">
        <f>HYPERLINK("/pdf/2015_10.1109_cse.2014.136_Fvisor__Towards_thwarting_unauthorized_file_accesses_with_a_light-weght_hypervisor.pdf","open")</f>
        <v>open</v>
      </c>
      <c r="F187" t="s">
        <v>6444</v>
      </c>
      <c r="G187" t="s">
        <v>6445</v>
      </c>
      <c r="H187" t="s">
        <v>6446</v>
      </c>
      <c r="I187" t="s">
        <v>2223</v>
      </c>
      <c r="J187" t="s">
        <v>148</v>
      </c>
      <c r="K187" t="s">
        <v>2223</v>
      </c>
      <c r="L187" t="s">
        <v>148</v>
      </c>
    </row>
    <row r="188" spans="1:12" x14ac:dyDescent="0.2">
      <c r="A188" t="s">
        <v>884</v>
      </c>
      <c r="B188" t="s">
        <v>885</v>
      </c>
      <c r="C188" t="s">
        <v>25</v>
      </c>
      <c r="D188" t="s">
        <v>887</v>
      </c>
      <c r="E188" t="str">
        <f>HYPERLINK("/pdf/2023_10_1109_ijcnn54540_2023_10191926_online_automated_machine_learning_for_class_imbalanced_data_streams.pdf","open")</f>
        <v>open</v>
      </c>
      <c r="F188" t="s">
        <v>6447</v>
      </c>
      <c r="G188" t="s">
        <v>6448</v>
      </c>
      <c r="H188" t="s">
        <v>6449</v>
      </c>
      <c r="I188" t="s">
        <v>957</v>
      </c>
      <c r="J188" t="s">
        <v>6450</v>
      </c>
      <c r="K188" t="s">
        <v>2223</v>
      </c>
      <c r="L188" t="s">
        <v>6451</v>
      </c>
    </row>
    <row r="189" spans="1:12" x14ac:dyDescent="0.2">
      <c r="A189" t="s">
        <v>889</v>
      </c>
      <c r="B189" t="s">
        <v>890</v>
      </c>
      <c r="C189" t="s">
        <v>19</v>
      </c>
      <c r="D189" t="s">
        <v>891</v>
      </c>
      <c r="E189" t="str">
        <f>HYPERLINK("/pdf/2025_10.1007_s11042-024-18349-y_Ensemble_framework_for_concept_drift_detection_and_class_imbalance_in_data_streams.pdf","open")</f>
        <v>open</v>
      </c>
      <c r="F189" t="s">
        <v>6452</v>
      </c>
      <c r="G189" t="s">
        <v>6453</v>
      </c>
      <c r="H189" t="s">
        <v>6454</v>
      </c>
      <c r="I189" t="s">
        <v>2998</v>
      </c>
      <c r="J189" t="s">
        <v>6455</v>
      </c>
      <c r="K189" t="s">
        <v>2223</v>
      </c>
      <c r="L189" t="s">
        <v>6456</v>
      </c>
    </row>
    <row r="190" spans="1:12" x14ac:dyDescent="0.2">
      <c r="A190" t="s">
        <v>893</v>
      </c>
      <c r="B190" t="s">
        <v>894</v>
      </c>
      <c r="C190" t="s">
        <v>60</v>
      </c>
      <c r="D190" t="s">
        <v>896</v>
      </c>
      <c r="E190" t="str">
        <f>HYPERLINK("/pdf/2024_10_3390_fi16110410_design_and_evaluation_of_steganographic_channels_in_fifth_generation_new_radio.pdf","open")</f>
        <v>open</v>
      </c>
      <c r="F190" t="s">
        <v>6457</v>
      </c>
      <c r="G190" t="s">
        <v>6458</v>
      </c>
      <c r="H190" t="s">
        <v>6459</v>
      </c>
      <c r="I190" t="s">
        <v>2223</v>
      </c>
      <c r="J190" t="s">
        <v>6460</v>
      </c>
      <c r="K190" t="s">
        <v>2998</v>
      </c>
      <c r="L190" t="s">
        <v>6461</v>
      </c>
    </row>
    <row r="191" spans="1:12" x14ac:dyDescent="0.2">
      <c r="A191" t="s">
        <v>898</v>
      </c>
      <c r="B191" t="s">
        <v>898</v>
      </c>
      <c r="C191" t="s">
        <v>215</v>
      </c>
      <c r="D191" t="s">
        <v>900</v>
      </c>
      <c r="E191" t="str">
        <f>HYPERLINK("/pdf/2014_10.1145_2671491.2671499_DAVAST__Data-centric_system_level_activity_visualization.pdf","open")</f>
        <v>open</v>
      </c>
      <c r="F191" t="s">
        <v>6462</v>
      </c>
      <c r="G191" t="s">
        <v>6463</v>
      </c>
      <c r="H191" t="s">
        <v>6464</v>
      </c>
      <c r="I191" t="s">
        <v>2223</v>
      </c>
      <c r="J191" t="s">
        <v>6465</v>
      </c>
      <c r="K191" t="s">
        <v>5793</v>
      </c>
      <c r="L191" t="s">
        <v>6466</v>
      </c>
    </row>
    <row r="192" spans="1:12" x14ac:dyDescent="0.2">
      <c r="A192" t="s">
        <v>902</v>
      </c>
      <c r="B192" t="s">
        <v>903</v>
      </c>
      <c r="C192" t="s">
        <v>25</v>
      </c>
      <c r="D192" t="s">
        <v>905</v>
      </c>
      <c r="E192" t="str">
        <f>HYPERLINK("/pdf/2023_10.1109_cscloud-edgecom58631.2023.00043_Federated_Learning-Based_Intrusion_Detection_System_for_IoT_Environments_with_Locally_Adapted_Model.pdf","open")</f>
        <v>open</v>
      </c>
      <c r="F192" t="s">
        <v>6467</v>
      </c>
      <c r="G192" t="s">
        <v>6468</v>
      </c>
      <c r="H192" t="s">
        <v>6469</v>
      </c>
      <c r="I192" t="s">
        <v>2223</v>
      </c>
      <c r="J192" t="s">
        <v>6470</v>
      </c>
      <c r="K192" t="s">
        <v>2223</v>
      </c>
      <c r="L192" t="s">
        <v>6471</v>
      </c>
    </row>
    <row r="193" spans="1:12" x14ac:dyDescent="0.2">
      <c r="A193" t="s">
        <v>907</v>
      </c>
      <c r="B193" t="s">
        <v>908</v>
      </c>
      <c r="C193" t="s">
        <v>60</v>
      </c>
      <c r="D193" t="s">
        <v>910</v>
      </c>
      <c r="E193" t="str">
        <f>HYPERLINK("/pdf/2024_10.1109_ict4da62874.2024.10777078_Long_Short-Term_Memory_and_Synthetic_Minority_Over_Sampling_Technique-Based_Network_Traffic_Classification.pdf","open")</f>
        <v>open</v>
      </c>
      <c r="F193" t="s">
        <v>6472</v>
      </c>
      <c r="G193" t="s">
        <v>6473</v>
      </c>
      <c r="H193" t="s">
        <v>6474</v>
      </c>
      <c r="I193" t="s">
        <v>957</v>
      </c>
      <c r="J193" t="s">
        <v>6475</v>
      </c>
      <c r="K193" t="s">
        <v>2223</v>
      </c>
      <c r="L193" t="s">
        <v>6476</v>
      </c>
    </row>
    <row r="194" spans="1:12" x14ac:dyDescent="0.2">
      <c r="A194" t="s">
        <v>912</v>
      </c>
      <c r="B194" t="s">
        <v>913</v>
      </c>
      <c r="C194" t="s">
        <v>25</v>
      </c>
      <c r="D194" t="s">
        <v>912</v>
      </c>
      <c r="E194" t="str">
        <f>HYPERLINK("/pdf/2023_10.1109_cosite60233.2023.10249650_Evaluation_of_CyPACH__A_Cyber_Privacy_Advisor_Chatbot.pdf","open")</f>
        <v>open</v>
      </c>
      <c r="F194" t="s">
        <v>148</v>
      </c>
      <c r="G194" t="s">
        <v>148</v>
      </c>
      <c r="H194" t="s">
        <v>6477</v>
      </c>
      <c r="I194" t="s">
        <v>2223</v>
      </c>
      <c r="J194" t="s">
        <v>6478</v>
      </c>
      <c r="K194" t="s">
        <v>2223</v>
      </c>
      <c r="L194" t="s">
        <v>6478</v>
      </c>
    </row>
    <row r="195" spans="1:12" x14ac:dyDescent="0.2">
      <c r="B195" t="s">
        <v>916</v>
      </c>
      <c r="C195" t="s">
        <v>100</v>
      </c>
      <c r="D195" t="s">
        <v>918</v>
      </c>
      <c r="E195" t="str">
        <f>HYPERLINK("/pdf/2022_10.1109_ipsn54338.2022.00055_Demo_Abstract__A_Distributed_Power_Side-channel_Auditing_System_for_Online_loT_Intrusion_Detection.pdf","open")</f>
        <v>open</v>
      </c>
      <c r="F195" t="s">
        <v>148</v>
      </c>
      <c r="G195" t="s">
        <v>148</v>
      </c>
      <c r="H195" t="s">
        <v>6479</v>
      </c>
      <c r="I195" t="s">
        <v>2223</v>
      </c>
      <c r="J195" t="s">
        <v>6480</v>
      </c>
      <c r="K195" t="s">
        <v>2223</v>
      </c>
      <c r="L195" t="s">
        <v>6481</v>
      </c>
    </row>
    <row r="196" spans="1:12" x14ac:dyDescent="0.2">
      <c r="A196" t="s">
        <v>920</v>
      </c>
      <c r="B196" t="s">
        <v>921</v>
      </c>
      <c r="C196" t="s">
        <v>60</v>
      </c>
      <c r="D196" t="s">
        <v>923</v>
      </c>
      <c r="E196" t="str">
        <f>HYPERLINK("/pdf/2024_10.1016_j.prime.2024.100590_An_empirical_assessment_of_ML_models_for_5G_network_intrusion_detection__A_data_leakage-free_approach.pdf","open")</f>
        <v>open</v>
      </c>
      <c r="F196" t="s">
        <v>6482</v>
      </c>
      <c r="G196" t="s">
        <v>6483</v>
      </c>
      <c r="H196" t="s">
        <v>6484</v>
      </c>
      <c r="I196" t="s">
        <v>957</v>
      </c>
      <c r="J196" t="s">
        <v>6485</v>
      </c>
      <c r="K196" t="s">
        <v>2223</v>
      </c>
      <c r="L196" t="s">
        <v>6486</v>
      </c>
    </row>
    <row r="197" spans="1:12" x14ac:dyDescent="0.2">
      <c r="A197" t="s">
        <v>925</v>
      </c>
      <c r="B197" t="s">
        <v>926</v>
      </c>
      <c r="C197" t="s">
        <v>268</v>
      </c>
      <c r="D197" t="s">
        <v>148</v>
      </c>
      <c r="E197" t="str">
        <f>HYPERLINK("/pdf/2010_10_14778_1920841_1920849_building_disclosure_risk_aware_query_optimizers_for_relational_databases.pdf","open")</f>
        <v>open</v>
      </c>
      <c r="F197" t="s">
        <v>6487</v>
      </c>
      <c r="G197" t="s">
        <v>6488</v>
      </c>
      <c r="H197" t="s">
        <v>6489</v>
      </c>
      <c r="I197" t="s">
        <v>2223</v>
      </c>
      <c r="J197" t="s">
        <v>148</v>
      </c>
      <c r="K197" t="s">
        <v>2223</v>
      </c>
      <c r="L197" t="s">
        <v>148</v>
      </c>
    </row>
    <row r="198" spans="1:12" x14ac:dyDescent="0.2">
      <c r="A198" t="s">
        <v>929</v>
      </c>
      <c r="B198" t="s">
        <v>930</v>
      </c>
      <c r="C198" t="s">
        <v>48</v>
      </c>
      <c r="D198" t="s">
        <v>929</v>
      </c>
      <c r="E198" t="str">
        <f>HYPERLINK("/pdf/2026_10.1109_tcss.2025.3642006_A_Verifiable_Federated_Learning_Mechanism_for_Digital_Museum_Collection_Based_on_Homomorphic_Proxy_Re-Authenti.pdf","open")</f>
        <v>open</v>
      </c>
      <c r="F198" t="s">
        <v>6490</v>
      </c>
      <c r="G198" t="s">
        <v>6491</v>
      </c>
      <c r="H198" t="s">
        <v>6492</v>
      </c>
      <c r="I198" t="s">
        <v>2223</v>
      </c>
      <c r="J198" t="s">
        <v>6493</v>
      </c>
      <c r="K198" t="s">
        <v>2223</v>
      </c>
      <c r="L198" t="s">
        <v>6494</v>
      </c>
    </row>
    <row r="199" spans="1:12" x14ac:dyDescent="0.2">
      <c r="A199" t="s">
        <v>933</v>
      </c>
      <c r="B199" t="s">
        <v>934</v>
      </c>
      <c r="C199" t="s">
        <v>19</v>
      </c>
      <c r="D199" t="s">
        <v>936</v>
      </c>
      <c r="E199" t="str">
        <f>HYPERLINK("/pdf/2025_10.1007_s11227-025-07116-x_GDT-IDS__graph-based_decision_tree_intrusion_detection_system_for_controller_area_network.pdf.pdf","open")</f>
        <v>open</v>
      </c>
      <c r="F199" t="s">
        <v>6495</v>
      </c>
      <c r="G199" t="s">
        <v>6496</v>
      </c>
      <c r="H199" t="s">
        <v>6497</v>
      </c>
      <c r="I199" t="s">
        <v>2223</v>
      </c>
      <c r="J199" t="s">
        <v>6498</v>
      </c>
      <c r="K199" t="s">
        <v>957</v>
      </c>
      <c r="L199" t="s">
        <v>6499</v>
      </c>
    </row>
    <row r="200" spans="1:12" x14ac:dyDescent="0.2">
      <c r="A200" t="s">
        <v>938</v>
      </c>
      <c r="B200" t="s">
        <v>939</v>
      </c>
      <c r="C200" t="s">
        <v>940</v>
      </c>
      <c r="D200" t="s">
        <v>148</v>
      </c>
      <c r="E200" t="str">
        <f>HYPERLINK("/pdf/2011_Towards_next-generation_intrusion_detection.pdf","open")</f>
        <v>open</v>
      </c>
      <c r="F200" t="s">
        <v>6500</v>
      </c>
      <c r="G200" t="s">
        <v>6501</v>
      </c>
      <c r="H200" t="s">
        <v>6502</v>
      </c>
      <c r="I200" t="s">
        <v>2223</v>
      </c>
      <c r="J200" t="s">
        <v>148</v>
      </c>
      <c r="K200" t="s">
        <v>2223</v>
      </c>
      <c r="L200" t="s">
        <v>148</v>
      </c>
    </row>
    <row r="201" spans="1:12" x14ac:dyDescent="0.2">
      <c r="A201" t="s">
        <v>943</v>
      </c>
      <c r="B201" t="s">
        <v>944</v>
      </c>
      <c r="C201" t="s">
        <v>100</v>
      </c>
      <c r="D201" t="s">
        <v>946</v>
      </c>
      <c r="E201" t="str">
        <f>HYPERLINK("/pdf/2022_10.1109_tce.2021.3129155_Fortified-NoC__A_Robust_Approach_for_Trojan-Resilient_Network-on-Chips_to_Fortify_Multicore-Based_Consumer_Ele.pdf","open")</f>
        <v>open</v>
      </c>
      <c r="F201" t="s">
        <v>6503</v>
      </c>
      <c r="G201" t="s">
        <v>6504</v>
      </c>
      <c r="H201" t="s">
        <v>6505</v>
      </c>
      <c r="I201" t="s">
        <v>2223</v>
      </c>
      <c r="J201" t="s">
        <v>148</v>
      </c>
      <c r="K201" t="s">
        <v>2223</v>
      </c>
      <c r="L201" t="s">
        <v>148</v>
      </c>
    </row>
    <row r="202" spans="1:12" x14ac:dyDescent="0.2">
      <c r="A202" t="s">
        <v>948</v>
      </c>
      <c r="B202" t="s">
        <v>949</v>
      </c>
      <c r="C202" t="s">
        <v>363</v>
      </c>
      <c r="D202" t="s">
        <v>951</v>
      </c>
      <c r="E202" t="str">
        <f>HYPERLINK("/pdf/2016_10.1145_2897073.2897077_Cognitive_mobile_security.pdf","open")</f>
        <v>open</v>
      </c>
      <c r="F202" t="s">
        <v>6506</v>
      </c>
      <c r="G202" t="s">
        <v>6507</v>
      </c>
      <c r="H202" t="s">
        <v>6508</v>
      </c>
      <c r="I202" t="s">
        <v>2223</v>
      </c>
      <c r="J202" t="s">
        <v>148</v>
      </c>
      <c r="K202" t="s">
        <v>957</v>
      </c>
      <c r="L202" t="s">
        <v>6509</v>
      </c>
    </row>
    <row r="203" spans="1:12" x14ac:dyDescent="0.2">
      <c r="A203" t="s">
        <v>953</v>
      </c>
      <c r="B203" t="s">
        <v>954</v>
      </c>
      <c r="C203" t="s">
        <v>19</v>
      </c>
      <c r="D203" t="s">
        <v>956</v>
      </c>
      <c r="E203" t="str">
        <f>HYPERLINK("/pdf/2025_10.1109_icoa66896.2025.11236897_Federated_Learning_for_Privacy-Preserving_Intrusion_Detection_in_IoT_using_Edge_and_Cloud_Infrastructure.pdf","open")</f>
        <v>open</v>
      </c>
      <c r="F203" t="s">
        <v>6510</v>
      </c>
      <c r="G203" t="s">
        <v>6511</v>
      </c>
      <c r="H203" t="s">
        <v>6512</v>
      </c>
      <c r="I203" t="s">
        <v>2223</v>
      </c>
      <c r="J203" t="s">
        <v>6513</v>
      </c>
      <c r="K203" t="s">
        <v>2223</v>
      </c>
      <c r="L203" t="s">
        <v>6514</v>
      </c>
    </row>
    <row r="204" spans="1:12" x14ac:dyDescent="0.2">
      <c r="A204" t="s">
        <v>959</v>
      </c>
      <c r="B204" t="s">
        <v>960</v>
      </c>
      <c r="C204" t="s">
        <v>12</v>
      </c>
      <c r="D204" t="s">
        <v>962</v>
      </c>
      <c r="E204" t="str">
        <f>HYPERLINK("/pdf/2018_10.1109_qrs.2018.00029_Hypervisor-based_sensitive_data_leakage_detector.pdf","open")</f>
        <v>open</v>
      </c>
      <c r="F204" t="s">
        <v>6515</v>
      </c>
      <c r="G204" t="s">
        <v>6516</v>
      </c>
      <c r="H204" t="s">
        <v>6517</v>
      </c>
      <c r="I204" t="s">
        <v>2223</v>
      </c>
      <c r="J204" t="s">
        <v>6518</v>
      </c>
      <c r="K204" t="s">
        <v>2223</v>
      </c>
      <c r="L204" t="s">
        <v>6519</v>
      </c>
    </row>
    <row r="205" spans="1:12" x14ac:dyDescent="0.2">
      <c r="A205" t="s">
        <v>964</v>
      </c>
      <c r="B205" t="s">
        <v>965</v>
      </c>
      <c r="C205" t="s">
        <v>100</v>
      </c>
      <c r="D205" t="s">
        <v>148</v>
      </c>
      <c r="E205" t="str">
        <f>HYPERLINK("/pdf/2022_Data_Leakage_Detection_in_Cloud_Computing_Environment_Using_Classification_Based_on_Deep_Learning_Architecture.pdf","open")</f>
        <v>open</v>
      </c>
      <c r="F205" t="s">
        <v>6520</v>
      </c>
      <c r="G205" t="s">
        <v>6521</v>
      </c>
      <c r="H205" t="s">
        <v>6522</v>
      </c>
      <c r="I205" t="s">
        <v>2223</v>
      </c>
      <c r="J205" t="s">
        <v>6523</v>
      </c>
      <c r="K205" t="s">
        <v>2223</v>
      </c>
      <c r="L205" t="s">
        <v>6524</v>
      </c>
    </row>
    <row r="206" spans="1:12" x14ac:dyDescent="0.2">
      <c r="A206" t="s">
        <v>968</v>
      </c>
      <c r="B206" t="s">
        <v>969</v>
      </c>
      <c r="C206" t="s">
        <v>25</v>
      </c>
      <c r="D206" t="s">
        <v>971</v>
      </c>
      <c r="E206" t="str">
        <f>HYPERLINK("/pdf/2023_10.1109_smc53992.2023.10393972_A_New_Federated_Learning_Model_for_Host_Intrusion_Detection_System_Under_Non-IID_Data.pdf","open")</f>
        <v>open</v>
      </c>
      <c r="F206" t="s">
        <v>6525</v>
      </c>
      <c r="G206" t="s">
        <v>148</v>
      </c>
      <c r="H206" t="s">
        <v>6526</v>
      </c>
      <c r="I206" t="s">
        <v>2998</v>
      </c>
      <c r="J206" t="s">
        <v>6527</v>
      </c>
      <c r="K206" t="s">
        <v>2223</v>
      </c>
      <c r="L206" t="s">
        <v>6528</v>
      </c>
    </row>
    <row r="207" spans="1:12" x14ac:dyDescent="0.2">
      <c r="A207" t="s">
        <v>973</v>
      </c>
      <c r="B207" t="s">
        <v>974</v>
      </c>
      <c r="C207" t="s">
        <v>598</v>
      </c>
      <c r="D207" t="s">
        <v>976</v>
      </c>
      <c r="E207" t="str">
        <f>HYPERLINK("/pdf/2012_10.1109_eidwt.2012.43_A_proposed_framework_for_the_active_detection_of_security_vulnerabilities_in_multi-tenancy_cloud_systems.pdf","open")</f>
        <v>open</v>
      </c>
      <c r="F207" t="s">
        <v>6529</v>
      </c>
      <c r="G207" t="s">
        <v>6530</v>
      </c>
      <c r="H207" t="s">
        <v>6531</v>
      </c>
      <c r="I207" t="s">
        <v>2223</v>
      </c>
      <c r="J207" t="s">
        <v>6532</v>
      </c>
      <c r="K207" t="s">
        <v>2998</v>
      </c>
      <c r="L207" t="s">
        <v>6533</v>
      </c>
    </row>
    <row r="208" spans="1:12" x14ac:dyDescent="0.2">
      <c r="A208" t="s">
        <v>978</v>
      </c>
      <c r="B208" t="s">
        <v>979</v>
      </c>
      <c r="C208" t="s">
        <v>12</v>
      </c>
      <c r="D208" t="s">
        <v>148</v>
      </c>
      <c r="E208" t="str">
        <f>HYPERLINK("/pdf/2021_10_1109_tcc_2019_2905605_a_game_theoretic_framework_for_the_virtual_machines_migration_timing_problem.pdf","open")</f>
        <v>open</v>
      </c>
      <c r="F208" t="s">
        <v>6534</v>
      </c>
      <c r="G208" t="s">
        <v>148</v>
      </c>
      <c r="H208" t="s">
        <v>6535</v>
      </c>
      <c r="I208" t="s">
        <v>2223</v>
      </c>
      <c r="J208" t="s">
        <v>148</v>
      </c>
      <c r="K208" t="s">
        <v>2223</v>
      </c>
      <c r="L208" t="s">
        <v>148</v>
      </c>
    </row>
    <row r="209" spans="1:12" x14ac:dyDescent="0.2">
      <c r="A209" t="s">
        <v>981</v>
      </c>
      <c r="B209" t="s">
        <v>982</v>
      </c>
      <c r="C209" t="s">
        <v>19</v>
      </c>
      <c r="D209" t="s">
        <v>984</v>
      </c>
      <c r="E209" t="str">
        <f>HYPERLINK("/pdf/2025_10_3390_jcp5040092_hashing_in_the_fight_against_csam_technology_at_the_crossroads_of_law_and_ethics.pdf","open")</f>
        <v>open</v>
      </c>
      <c r="F209" t="s">
        <v>6536</v>
      </c>
      <c r="G209" t="s">
        <v>6537</v>
      </c>
      <c r="H209" t="s">
        <v>6538</v>
      </c>
      <c r="I209" t="s">
        <v>2223</v>
      </c>
      <c r="J209" t="s">
        <v>6539</v>
      </c>
      <c r="K209" t="s">
        <v>2223</v>
      </c>
      <c r="L209" t="s">
        <v>6540</v>
      </c>
    </row>
    <row r="210" spans="1:12" x14ac:dyDescent="0.2">
      <c r="A210" t="s">
        <v>986</v>
      </c>
      <c r="B210" t="s">
        <v>319</v>
      </c>
      <c r="C210" t="s">
        <v>25</v>
      </c>
      <c r="D210" t="s">
        <v>321</v>
      </c>
      <c r="E210" t="str">
        <f>HYPERLINK("/pdf/2023_10_1007_s40747_021_00456_0_deep_learning_framework_for_handling_concept_drift_and_class_imbalanced_complex.pdf","open")</f>
        <v>open</v>
      </c>
      <c r="F210" t="s">
        <v>6541</v>
      </c>
      <c r="G210" t="s">
        <v>6542</v>
      </c>
      <c r="H210" t="s">
        <v>6543</v>
      </c>
      <c r="I210" t="s">
        <v>2998</v>
      </c>
      <c r="J210" t="s">
        <v>6544</v>
      </c>
      <c r="K210" t="s">
        <v>2223</v>
      </c>
      <c r="L210" t="s">
        <v>6545</v>
      </c>
    </row>
    <row r="211" spans="1:12" x14ac:dyDescent="0.2">
      <c r="A211" t="s">
        <v>988</v>
      </c>
      <c r="B211" t="s">
        <v>989</v>
      </c>
      <c r="C211" t="s">
        <v>60</v>
      </c>
      <c r="D211" t="s">
        <v>990</v>
      </c>
      <c r="E211" t="str">
        <f>HYPERLINK("/pdf/2024_10.1109_sces61914.2024.10652285_Detecting_Deceptive_URLs__Exploring_Logistic_Regression_and_Decision_Tree_Models.pdf","open")</f>
        <v>open</v>
      </c>
      <c r="F211" t="s">
        <v>6546</v>
      </c>
      <c r="G211" t="s">
        <v>6547</v>
      </c>
      <c r="H211" t="s">
        <v>6548</v>
      </c>
      <c r="I211" t="s">
        <v>2998</v>
      </c>
      <c r="J211" t="s">
        <v>6549</v>
      </c>
      <c r="K211" t="s">
        <v>2223</v>
      </c>
      <c r="L211" t="s">
        <v>148</v>
      </c>
    </row>
    <row r="212" spans="1:12" x14ac:dyDescent="0.2">
      <c r="A212" t="s">
        <v>992</v>
      </c>
      <c r="B212" t="s">
        <v>993</v>
      </c>
      <c r="C212" t="s">
        <v>60</v>
      </c>
      <c r="D212" t="s">
        <v>994</v>
      </c>
      <c r="E212" t="str">
        <f>HYPERLINK("/pdf/2025_10.1007_s11042-024-19916-z_Towards_robust_and_efficient_intrusion_detection_in_IoMT__a_deep_learning_approach_addressing_data_leakage_and.pdf","open")</f>
        <v>open</v>
      </c>
      <c r="F212" t="s">
        <v>6550</v>
      </c>
      <c r="G212" t="s">
        <v>6551</v>
      </c>
      <c r="H212" t="s">
        <v>6552</v>
      </c>
      <c r="I212" t="s">
        <v>5793</v>
      </c>
      <c r="J212" t="s">
        <v>6553</v>
      </c>
      <c r="K212" t="s">
        <v>2223</v>
      </c>
      <c r="L212" t="s">
        <v>6554</v>
      </c>
    </row>
    <row r="213" spans="1:12" x14ac:dyDescent="0.2">
      <c r="A213" t="s">
        <v>996</v>
      </c>
      <c r="B213" t="s">
        <v>603</v>
      </c>
      <c r="C213" t="s">
        <v>19</v>
      </c>
      <c r="D213" t="s">
        <v>605</v>
      </c>
      <c r="E213" t="str">
        <f>HYPERLINK("/pdf/2025_10_1007_s43926_025_00185_7_a_feature_level_ensemble_machine_learning_approach_for_attack_detection_in_iot_n.pdf","open")</f>
        <v>open</v>
      </c>
      <c r="F213" t="s">
        <v>6555</v>
      </c>
      <c r="G213" t="s">
        <v>6556</v>
      </c>
      <c r="H213" t="s">
        <v>6557</v>
      </c>
      <c r="I213" t="s">
        <v>2223</v>
      </c>
      <c r="J213" t="s">
        <v>148</v>
      </c>
      <c r="K213" t="s">
        <v>2223</v>
      </c>
      <c r="L213" t="s">
        <v>148</v>
      </c>
    </row>
    <row r="214" spans="1:12" x14ac:dyDescent="0.2">
      <c r="A214" t="s">
        <v>998</v>
      </c>
      <c r="B214" t="s">
        <v>999</v>
      </c>
      <c r="C214" t="s">
        <v>19</v>
      </c>
      <c r="D214" t="s">
        <v>1000</v>
      </c>
      <c r="E214" t="str">
        <f>HYPERLINK("/pdf/2025_10_1038_s41598_025_89794_4_revolutionary_hybrid_ensembled_deep_learning_model_for_accurate_and_robust_side.pdf","open")</f>
        <v>open</v>
      </c>
      <c r="F214" t="s">
        <v>6558</v>
      </c>
      <c r="G214" t="s">
        <v>6559</v>
      </c>
      <c r="H214" t="s">
        <v>6560</v>
      </c>
      <c r="I214" t="s">
        <v>2223</v>
      </c>
      <c r="J214" t="s">
        <v>6561</v>
      </c>
      <c r="K214" t="s">
        <v>2223</v>
      </c>
      <c r="L214" t="s">
        <v>6562</v>
      </c>
    </row>
    <row r="215" spans="1:12" x14ac:dyDescent="0.2">
      <c r="A215" t="s">
        <v>1002</v>
      </c>
      <c r="B215" t="s">
        <v>1003</v>
      </c>
      <c r="C215" t="s">
        <v>25</v>
      </c>
      <c r="D215" t="s">
        <v>1005</v>
      </c>
      <c r="E215" t="str">
        <f>HYPERLINK("/pdf/2023_10.1109_taes.2023.3306336_ADS-Bchain__A_Blockchain-Based_Trusted_Service_Scheme_for_Automatic_Dependent_Surveillance_Broadcast.pdf","open")</f>
        <v>open</v>
      </c>
      <c r="F215" t="s">
        <v>6563</v>
      </c>
      <c r="G215" t="s">
        <v>6564</v>
      </c>
      <c r="H215" t="s">
        <v>6565</v>
      </c>
      <c r="I215" t="s">
        <v>2223</v>
      </c>
      <c r="J215" t="s">
        <v>6566</v>
      </c>
      <c r="K215" t="s">
        <v>2223</v>
      </c>
      <c r="L215" t="s">
        <v>6567</v>
      </c>
    </row>
    <row r="216" spans="1:12" x14ac:dyDescent="0.2">
      <c r="A216" t="s">
        <v>1007</v>
      </c>
      <c r="B216" t="s">
        <v>1008</v>
      </c>
      <c r="C216" t="s">
        <v>19</v>
      </c>
      <c r="D216" t="s">
        <v>1007</v>
      </c>
      <c r="E216" t="str">
        <f>HYPERLINK("/pdf/2025_10.1109_iciccs65191.2025.10984995_SDN_based_Firewall_with_Real_Time_Policy_Updates.pdf","open")</f>
        <v>open</v>
      </c>
      <c r="F216" t="s">
        <v>148</v>
      </c>
      <c r="G216" t="s">
        <v>6568</v>
      </c>
      <c r="H216" t="s">
        <v>6569</v>
      </c>
      <c r="I216" t="s">
        <v>2223</v>
      </c>
      <c r="J216" t="s">
        <v>148</v>
      </c>
      <c r="K216" t="s">
        <v>2223</v>
      </c>
      <c r="L216" t="s">
        <v>148</v>
      </c>
    </row>
    <row r="217" spans="1:12" x14ac:dyDescent="0.2">
      <c r="A217" t="s">
        <v>1011</v>
      </c>
      <c r="B217" t="s">
        <v>1012</v>
      </c>
      <c r="C217" t="s">
        <v>25</v>
      </c>
      <c r="D217" t="s">
        <v>1014</v>
      </c>
      <c r="E217" t="str">
        <f>HYPERLINK("/pdf/2023_10_3390_app13031977_ai_assisted_security_alert_data_analysis_with_imbalanced_learning_methods.pdf","open")</f>
        <v>open</v>
      </c>
      <c r="F217" t="s">
        <v>6570</v>
      </c>
      <c r="G217" t="s">
        <v>6571</v>
      </c>
      <c r="H217" t="s">
        <v>6572</v>
      </c>
      <c r="I217" t="s">
        <v>957</v>
      </c>
      <c r="J217" t="s">
        <v>6573</v>
      </c>
      <c r="K217" t="s">
        <v>2223</v>
      </c>
      <c r="L217" t="s">
        <v>6574</v>
      </c>
    </row>
    <row r="218" spans="1:12" x14ac:dyDescent="0.2">
      <c r="A218" t="s">
        <v>1016</v>
      </c>
      <c r="B218" t="s">
        <v>1017</v>
      </c>
      <c r="C218" t="s">
        <v>215</v>
      </c>
      <c r="D218" t="s">
        <v>1019</v>
      </c>
      <c r="E218" t="str">
        <f>HYPERLINK("/pdf/2014_10.1145_2656434.2656448_Analysis_of_mobile_malware_based_on_user_awareness.pdf","open")</f>
        <v>open</v>
      </c>
      <c r="F218" t="s">
        <v>148</v>
      </c>
      <c r="G218" t="s">
        <v>148</v>
      </c>
      <c r="H218" t="s">
        <v>6575</v>
      </c>
      <c r="I218" t="s">
        <v>2223</v>
      </c>
      <c r="J218" t="s">
        <v>6576</v>
      </c>
      <c r="K218" t="s">
        <v>2223</v>
      </c>
      <c r="L218" t="s">
        <v>6577</v>
      </c>
    </row>
    <row r="219" spans="1:12" x14ac:dyDescent="0.2">
      <c r="A219" t="s">
        <v>1021</v>
      </c>
      <c r="B219" t="s">
        <v>1022</v>
      </c>
      <c r="C219" t="s">
        <v>12</v>
      </c>
      <c r="D219" t="s">
        <v>1024</v>
      </c>
      <c r="E219" t="str">
        <f>HYPERLINK("/pdf/2018_10_1109_noms_2018_8406122_synaptic_a_formal_checker_for_sdn_based_security_policies.pdf","open")</f>
        <v>open</v>
      </c>
      <c r="F219" t="s">
        <v>148</v>
      </c>
      <c r="G219" t="s">
        <v>148</v>
      </c>
      <c r="H219" t="s">
        <v>6578</v>
      </c>
      <c r="I219" t="s">
        <v>2223</v>
      </c>
      <c r="J219" t="s">
        <v>6579</v>
      </c>
      <c r="K219" t="s">
        <v>2223</v>
      </c>
      <c r="L219" t="s">
        <v>6580</v>
      </c>
    </row>
    <row r="220" spans="1:12" x14ac:dyDescent="0.2">
      <c r="A220" t="s">
        <v>1026</v>
      </c>
      <c r="B220" t="s">
        <v>1027</v>
      </c>
      <c r="C220" t="s">
        <v>136</v>
      </c>
      <c r="D220" t="s">
        <v>148</v>
      </c>
      <c r="E220" t="str">
        <f>HYPERLINK("/pdf/2019_Automated_factorization_of_security_chains_in_software-defined_networks.pdf","open")</f>
        <v>open</v>
      </c>
      <c r="F220" t="s">
        <v>6581</v>
      </c>
      <c r="G220" t="s">
        <v>6582</v>
      </c>
      <c r="H220" t="s">
        <v>6583</v>
      </c>
      <c r="I220" t="s">
        <v>2223</v>
      </c>
      <c r="J220" t="s">
        <v>6584</v>
      </c>
      <c r="K220" t="s">
        <v>2223</v>
      </c>
      <c r="L220" t="s">
        <v>6585</v>
      </c>
    </row>
    <row r="221" spans="1:12" x14ac:dyDescent="0.2">
      <c r="A221" t="s">
        <v>1030</v>
      </c>
      <c r="B221" t="s">
        <v>1031</v>
      </c>
      <c r="C221" t="s">
        <v>100</v>
      </c>
      <c r="D221" t="s">
        <v>148</v>
      </c>
      <c r="E221" t="str">
        <f>HYPERLINK("/pdf/2023_10_1109_icc45041_2023_10278951_a_lightweight_moving_target_defense_framework_for_multi_purpose_malware_affecting_iot_devi.pdf","open")</f>
        <v>open</v>
      </c>
      <c r="F221" t="s">
        <v>6586</v>
      </c>
      <c r="G221" t="s">
        <v>6587</v>
      </c>
      <c r="H221" t="s">
        <v>6588</v>
      </c>
      <c r="I221" t="s">
        <v>2223</v>
      </c>
      <c r="J221" t="s">
        <v>6589</v>
      </c>
      <c r="K221" t="s">
        <v>2223</v>
      </c>
      <c r="L221" t="s">
        <v>6590</v>
      </c>
    </row>
    <row r="222" spans="1:12" x14ac:dyDescent="0.2">
      <c r="A222" t="s">
        <v>1033</v>
      </c>
      <c r="B222" t="s">
        <v>1034</v>
      </c>
      <c r="C222" t="s">
        <v>100</v>
      </c>
      <c r="D222" t="s">
        <v>1036</v>
      </c>
      <c r="E222" t="str">
        <f>HYPERLINK("/pdf/2022_10.1016_j.knosys.2022.109557_A_FKPCA-GWO_WDBiLSTM_classifier_for_intrusion_detection_system_in_cloud_environments.pdf","open")</f>
        <v>open</v>
      </c>
      <c r="F222" t="s">
        <v>6591</v>
      </c>
      <c r="G222" t="s">
        <v>6592</v>
      </c>
      <c r="H222" t="s">
        <v>6593</v>
      </c>
      <c r="I222" t="s">
        <v>2223</v>
      </c>
      <c r="J222" t="s">
        <v>6594</v>
      </c>
      <c r="K222" t="s">
        <v>2223</v>
      </c>
      <c r="L222" t="s">
        <v>6595</v>
      </c>
    </row>
    <row r="223" spans="1:12" x14ac:dyDescent="0.2">
      <c r="A223" t="s">
        <v>1038</v>
      </c>
      <c r="B223" t="s">
        <v>1039</v>
      </c>
      <c r="C223" t="s">
        <v>268</v>
      </c>
      <c r="D223" t="s">
        <v>148</v>
      </c>
      <c r="E223" t="str">
        <f>HYPERLINK("/pdf/2010_10.1109_glocom.2010.5683165_Skip_finite_automaton__A_content_scanning_engine_to_secure_enterprise_networks.pdf","open")</f>
        <v>open</v>
      </c>
      <c r="F223" t="s">
        <v>6596</v>
      </c>
      <c r="G223" t="s">
        <v>148</v>
      </c>
      <c r="H223" t="s">
        <v>6597</v>
      </c>
      <c r="I223" t="s">
        <v>2223</v>
      </c>
      <c r="J223" t="s">
        <v>6598</v>
      </c>
      <c r="K223" t="s">
        <v>2223</v>
      </c>
      <c r="L223" t="s">
        <v>6599</v>
      </c>
    </row>
    <row r="224" spans="1:12" x14ac:dyDescent="0.2">
      <c r="A224" t="s">
        <v>1042</v>
      </c>
      <c r="B224" t="s">
        <v>1043</v>
      </c>
      <c r="C224" t="s">
        <v>210</v>
      </c>
      <c r="D224" t="s">
        <v>148</v>
      </c>
      <c r="E224" t="str">
        <f>HYPERLINK("/pdf/2016_10.1007_978-981-10-0557-2_68_Android_security_analysis_based_on_inter-application_relationships.pdf","open")</f>
        <v>open</v>
      </c>
      <c r="F224" t="s">
        <v>6600</v>
      </c>
      <c r="G224" t="s">
        <v>6601</v>
      </c>
      <c r="H224" t="s">
        <v>6602</v>
      </c>
      <c r="I224" t="s">
        <v>2223</v>
      </c>
      <c r="J224" t="s">
        <v>148</v>
      </c>
      <c r="K224" t="s">
        <v>2223</v>
      </c>
      <c r="L224" t="s">
        <v>148</v>
      </c>
    </row>
    <row r="225" spans="1:12" x14ac:dyDescent="0.2">
      <c r="A225" t="s">
        <v>1046</v>
      </c>
      <c r="B225" t="s">
        <v>1047</v>
      </c>
      <c r="C225" t="s">
        <v>25</v>
      </c>
      <c r="D225" t="s">
        <v>148</v>
      </c>
      <c r="E225" t="str">
        <f>HYPERLINK("/pdf/2023_10_1109_lanman58293_2023_10189424_federated_learning_based_vehicle_trajectory_prediction_against_cyberattacks.pdf","open")</f>
        <v>open</v>
      </c>
      <c r="F225" t="s">
        <v>6603</v>
      </c>
      <c r="G225" t="s">
        <v>6604</v>
      </c>
      <c r="H225" t="s">
        <v>6605</v>
      </c>
      <c r="I225" t="s">
        <v>2223</v>
      </c>
      <c r="J225" t="s">
        <v>148</v>
      </c>
      <c r="K225" t="s">
        <v>2223</v>
      </c>
      <c r="L225" t="s">
        <v>148</v>
      </c>
    </row>
    <row r="226" spans="1:12" x14ac:dyDescent="0.2">
      <c r="B226" t="s">
        <v>1050</v>
      </c>
      <c r="C226" t="s">
        <v>100</v>
      </c>
      <c r="D226" t="s">
        <v>1052</v>
      </c>
      <c r="E226" t="str">
        <f>HYPERLINK("/pdf/2022_10.1109_iccci55554.2022.9850265_Analyzing_SocialArks_Data_Leak_-_A_Brute_Force_Web_Login_Attack.pdf","open")</f>
        <v>open</v>
      </c>
      <c r="F226" t="s">
        <v>6606</v>
      </c>
      <c r="G226" t="s">
        <v>6607</v>
      </c>
      <c r="H226" t="s">
        <v>6608</v>
      </c>
      <c r="I226" t="s">
        <v>2223</v>
      </c>
      <c r="J226" t="s">
        <v>148</v>
      </c>
      <c r="K226" t="s">
        <v>2223</v>
      </c>
      <c r="L226" t="s">
        <v>148</v>
      </c>
    </row>
    <row r="227" spans="1:12" x14ac:dyDescent="0.2">
      <c r="A227" t="s">
        <v>1054</v>
      </c>
      <c r="B227" t="s">
        <v>1055</v>
      </c>
      <c r="C227" t="s">
        <v>148</v>
      </c>
      <c r="D227" t="s">
        <v>148</v>
      </c>
      <c r="E227" t="str">
        <f>HYPERLINK("/pdf/2021_10.1049_icp.2021.2407_Management_Challenges_in_the_Implementation_of_an_Email_Boundary_Control_for_Data_Leakage_Prevention.pdf","open")</f>
        <v>open</v>
      </c>
      <c r="F227" t="s">
        <v>6609</v>
      </c>
      <c r="G227" t="s">
        <v>148</v>
      </c>
      <c r="H227" t="s">
        <v>6610</v>
      </c>
      <c r="I227" t="s">
        <v>2223</v>
      </c>
      <c r="J227" t="s">
        <v>148</v>
      </c>
      <c r="K227" t="s">
        <v>2223</v>
      </c>
      <c r="L227" t="s">
        <v>148</v>
      </c>
    </row>
    <row r="228" spans="1:12" x14ac:dyDescent="0.2">
      <c r="A228" t="s">
        <v>1057</v>
      </c>
      <c r="B228" t="s">
        <v>1058</v>
      </c>
      <c r="C228" t="s">
        <v>19</v>
      </c>
      <c r="D228" t="s">
        <v>1060</v>
      </c>
      <c r="E228" t="str">
        <f>HYPERLINK("/pdf/2025_10.1016_j.eij.2025.100684_Towards_lightweight_model_using_non-local-based_graph_convolution_neural_network_for_SQL_injection_detection.pdf","open")</f>
        <v>open</v>
      </c>
      <c r="F228" t="s">
        <v>6611</v>
      </c>
      <c r="G228" t="s">
        <v>6612</v>
      </c>
      <c r="H228" t="s">
        <v>6613</v>
      </c>
      <c r="I228" t="s">
        <v>2223</v>
      </c>
      <c r="J228" t="s">
        <v>148</v>
      </c>
      <c r="K228" t="s">
        <v>2223</v>
      </c>
      <c r="L228" t="s">
        <v>148</v>
      </c>
    </row>
    <row r="229" spans="1:12" x14ac:dyDescent="0.2">
      <c r="A229" t="s">
        <v>1062</v>
      </c>
      <c r="B229" t="s">
        <v>1063</v>
      </c>
      <c r="C229" t="s">
        <v>54</v>
      </c>
      <c r="D229" t="s">
        <v>1065</v>
      </c>
      <c r="E229" t="str">
        <f>HYPERLINK("/pdf/2020_10.1109_bigdia51454.2020.00035_Analyzing_network_traffic_for_protocol_identification__An_ensemble_online_active_learning_method.pdf","open")</f>
        <v>open</v>
      </c>
      <c r="F229" t="s">
        <v>6614</v>
      </c>
      <c r="G229" t="s">
        <v>6615</v>
      </c>
      <c r="H229" t="s">
        <v>6616</v>
      </c>
      <c r="I229" t="s">
        <v>957</v>
      </c>
      <c r="J229" t="s">
        <v>6617</v>
      </c>
      <c r="K229" t="s">
        <v>2223</v>
      </c>
      <c r="L229" t="s">
        <v>6618</v>
      </c>
    </row>
    <row r="230" spans="1:12" x14ac:dyDescent="0.2">
      <c r="A230" t="s">
        <v>1067</v>
      </c>
      <c r="B230" t="s">
        <v>1068</v>
      </c>
      <c r="C230" t="s">
        <v>363</v>
      </c>
      <c r="D230" t="s">
        <v>1070</v>
      </c>
      <c r="E230" t="str">
        <f>HYPERLINK("/pdf/2016_10.1145_2995959.2995967_Pragmatic_security__Modelling_it_security_management_responsibilities_for_SME_archetypes.pdf","open")</f>
        <v>open</v>
      </c>
      <c r="F230" t="s">
        <v>6619</v>
      </c>
      <c r="G230" t="s">
        <v>6620</v>
      </c>
      <c r="H230" t="s">
        <v>6621</v>
      </c>
      <c r="I230" t="s">
        <v>2223</v>
      </c>
      <c r="J230" t="s">
        <v>6622</v>
      </c>
      <c r="K230" t="s">
        <v>2223</v>
      </c>
      <c r="L230" t="s">
        <v>6623</v>
      </c>
    </row>
    <row r="231" spans="1:12" x14ac:dyDescent="0.2">
      <c r="A231" t="s">
        <v>538</v>
      </c>
      <c r="B231" t="s">
        <v>536</v>
      </c>
      <c r="C231" t="s">
        <v>25</v>
      </c>
      <c r="D231" t="s">
        <v>538</v>
      </c>
      <c r="E231" t="str">
        <f>HYPERLINK("/pdf/2023_10_32604_cmes_2023_044169_enhancing_healthcare_data_security_and_disease_detection_using_crossover_based_multilayer.pdf","open")</f>
        <v>open</v>
      </c>
      <c r="F231" t="s">
        <v>6624</v>
      </c>
      <c r="G231" t="s">
        <v>6625</v>
      </c>
      <c r="H231" t="s">
        <v>6626</v>
      </c>
      <c r="I231" t="s">
        <v>2223</v>
      </c>
      <c r="J231" t="s">
        <v>6627</v>
      </c>
      <c r="K231" t="s">
        <v>2223</v>
      </c>
      <c r="L231" t="s">
        <v>6628</v>
      </c>
    </row>
    <row r="232" spans="1:12" x14ac:dyDescent="0.2">
      <c r="A232" t="s">
        <v>1073</v>
      </c>
      <c r="B232" t="s">
        <v>1074</v>
      </c>
      <c r="C232" t="s">
        <v>210</v>
      </c>
      <c r="D232" t="s">
        <v>148</v>
      </c>
      <c r="E232" t="str">
        <f>HYPERLINK("/pdf/2015_10.1109_icscn.2015.7219827_Complex_Event_Processing_based_Hybrid_Intrusion_Detection_System.pdf","open")</f>
        <v>open</v>
      </c>
      <c r="F232" t="s">
        <v>6629</v>
      </c>
      <c r="G232" t="s">
        <v>148</v>
      </c>
      <c r="H232" t="s">
        <v>6630</v>
      </c>
      <c r="I232" t="s">
        <v>2223</v>
      </c>
      <c r="J232" t="s">
        <v>6631</v>
      </c>
      <c r="K232" t="s">
        <v>2223</v>
      </c>
      <c r="L232" t="s">
        <v>6632</v>
      </c>
    </row>
    <row r="233" spans="1:12" x14ac:dyDescent="0.2">
      <c r="A233" t="s">
        <v>1077</v>
      </c>
      <c r="B233" t="s">
        <v>1078</v>
      </c>
      <c r="C233" t="s">
        <v>190</v>
      </c>
      <c r="D233" t="s">
        <v>1080</v>
      </c>
      <c r="E233" t="str">
        <f>HYPERLINK("/pdf/2017_10.1007_s11277-017-4229-9_The_Vulnerability_Exploitation_Conveying_Digital_Data_Over_Mobile_Voice_Call_Channels.pdf","open")</f>
        <v>open</v>
      </c>
      <c r="F233" t="s">
        <v>6633</v>
      </c>
      <c r="G233" t="s">
        <v>6634</v>
      </c>
      <c r="H233" t="s">
        <v>6635</v>
      </c>
      <c r="I233" t="s">
        <v>2223</v>
      </c>
      <c r="J233" t="s">
        <v>6636</v>
      </c>
      <c r="K233" t="s">
        <v>2223</v>
      </c>
      <c r="L233" t="s">
        <v>6637</v>
      </c>
    </row>
    <row r="234" spans="1:12" x14ac:dyDescent="0.2">
      <c r="A234" t="s">
        <v>1082</v>
      </c>
      <c r="B234" t="s">
        <v>1083</v>
      </c>
      <c r="C234" t="s">
        <v>25</v>
      </c>
      <c r="D234" t="s">
        <v>1085</v>
      </c>
      <c r="E234" t="str">
        <f>HYPERLINK("/pdf/2023_10.1109_comsci59259.2023.10315901_Zero-Trust_in_Instant_Messaging.pdf","open")</f>
        <v>open</v>
      </c>
      <c r="F234" t="s">
        <v>148</v>
      </c>
      <c r="G234" t="s">
        <v>148</v>
      </c>
      <c r="H234" t="s">
        <v>6638</v>
      </c>
      <c r="I234" t="s">
        <v>2223</v>
      </c>
      <c r="J234" t="s">
        <v>148</v>
      </c>
      <c r="K234" t="s">
        <v>2223</v>
      </c>
      <c r="L234" t="s">
        <v>148</v>
      </c>
    </row>
    <row r="235" spans="1:12" x14ac:dyDescent="0.2">
      <c r="A235" t="s">
        <v>1087</v>
      </c>
      <c r="B235" t="s">
        <v>1088</v>
      </c>
      <c r="C235" t="s">
        <v>19</v>
      </c>
      <c r="D235" t="s">
        <v>1087</v>
      </c>
      <c r="E235" t="str">
        <f>HYPERLINK("/pdf/2025_10_11591_ijai_v14_i6_pp4913_4922_comparative_evaluation_of_machine_learning_models_for_intrusion_detection_in_wsns_using_th.pdf","open")</f>
        <v>open</v>
      </c>
      <c r="F235" t="s">
        <v>6639</v>
      </c>
      <c r="G235" t="s">
        <v>6640</v>
      </c>
      <c r="H235" t="s">
        <v>6641</v>
      </c>
      <c r="I235" t="s">
        <v>957</v>
      </c>
      <c r="J235" t="s">
        <v>6642</v>
      </c>
      <c r="K235" t="s">
        <v>2223</v>
      </c>
      <c r="L235" t="s">
        <v>6643</v>
      </c>
    </row>
    <row r="236" spans="1:12" x14ac:dyDescent="0.2">
      <c r="A236" t="s">
        <v>1091</v>
      </c>
      <c r="B236" t="s">
        <v>1092</v>
      </c>
      <c r="C236" t="s">
        <v>60</v>
      </c>
      <c r="D236" t="s">
        <v>1094</v>
      </c>
      <c r="E236" t="str">
        <f>HYPERLINK("/pdf/2025_10.1108_ics-03-2024-0059_Data_breach_announcements__evaluating_the_content_and_timing_of_breach_announcements_and_their_effect_on_firm_.pdf","open")</f>
        <v>open</v>
      </c>
      <c r="F236" t="s">
        <v>6644</v>
      </c>
      <c r="G236" t="s">
        <v>6645</v>
      </c>
      <c r="H236" t="s">
        <v>6646</v>
      </c>
      <c r="I236" t="s">
        <v>2223</v>
      </c>
      <c r="J236" t="s">
        <v>6647</v>
      </c>
      <c r="K236" t="s">
        <v>2223</v>
      </c>
      <c r="L236" t="s">
        <v>6648</v>
      </c>
    </row>
    <row r="237" spans="1:12" x14ac:dyDescent="0.2">
      <c r="A237" t="s">
        <v>1096</v>
      </c>
      <c r="B237" t="s">
        <v>1097</v>
      </c>
      <c r="C237" t="s">
        <v>48</v>
      </c>
      <c r="D237" t="s">
        <v>1099</v>
      </c>
      <c r="E237" t="str">
        <f>HYPERLINK("/pdf/2026_10.1007_s12243-026-01154-z_Intrusion_detection_in_CAN_protocol_using_novel_spatial-temporal_deep_learning_model_for_secure_autonomous_veh.pdf","open")</f>
        <v>open</v>
      </c>
      <c r="F237" t="s">
        <v>6649</v>
      </c>
      <c r="G237" t="s">
        <v>6650</v>
      </c>
      <c r="H237" t="s">
        <v>6651</v>
      </c>
      <c r="I237" t="s">
        <v>957</v>
      </c>
      <c r="J237" t="s">
        <v>6652</v>
      </c>
      <c r="K237" t="s">
        <v>2223</v>
      </c>
      <c r="L237" t="s">
        <v>6653</v>
      </c>
    </row>
    <row r="238" spans="1:12" x14ac:dyDescent="0.2">
      <c r="A238" t="s">
        <v>1101</v>
      </c>
      <c r="B238" t="s">
        <v>1102</v>
      </c>
      <c r="C238" t="s">
        <v>12</v>
      </c>
      <c r="D238" t="s">
        <v>148</v>
      </c>
      <c r="E238" t="str">
        <f>HYPERLINK("/pdf/2018_Propagation_misclassified_instances_to_handle_nonstationary_imbalanced_data_stream.pdf","open")</f>
        <v>open</v>
      </c>
      <c r="F238" t="s">
        <v>6654</v>
      </c>
      <c r="G238" t="s">
        <v>6655</v>
      </c>
      <c r="H238" t="s">
        <v>6656</v>
      </c>
      <c r="I238" t="s">
        <v>2998</v>
      </c>
      <c r="J238" t="s">
        <v>6657</v>
      </c>
      <c r="K238" t="s">
        <v>2223</v>
      </c>
      <c r="L238" t="s">
        <v>6658</v>
      </c>
    </row>
    <row r="239" spans="1:12" x14ac:dyDescent="0.2">
      <c r="A239" t="s">
        <v>1105</v>
      </c>
      <c r="B239" t="s">
        <v>1106</v>
      </c>
      <c r="C239" t="s">
        <v>363</v>
      </c>
      <c r="D239" t="s">
        <v>148</v>
      </c>
      <c r="E239" t="str">
        <f>HYPERLINK("/pdf/2016_10.1109_uemcon.2016.7777821_A_hybrid_analysis_for_mobile_security_threat_detection.pdf","open")</f>
        <v>open</v>
      </c>
      <c r="F239" t="s">
        <v>6659</v>
      </c>
      <c r="G239" t="s">
        <v>6660</v>
      </c>
      <c r="H239" t="s">
        <v>6661</v>
      </c>
      <c r="I239" t="s">
        <v>2223</v>
      </c>
      <c r="J239" t="s">
        <v>6662</v>
      </c>
      <c r="K239" t="s">
        <v>2998</v>
      </c>
      <c r="L239" t="s">
        <v>6663</v>
      </c>
    </row>
    <row r="240" spans="1:12" x14ac:dyDescent="0.2">
      <c r="A240" t="s">
        <v>1108</v>
      </c>
      <c r="B240" t="s">
        <v>1109</v>
      </c>
      <c r="C240" t="s">
        <v>190</v>
      </c>
      <c r="D240" t="s">
        <v>1108</v>
      </c>
      <c r="E240" t="str">
        <f>HYPERLINK("/pdf/2017_10.1155_2017_7397812_Selecting_Critical_Data_Flows_in_Android_Applications_for_Abnormal_Behavior_Detection.pdf","open")</f>
        <v>open</v>
      </c>
      <c r="F240" t="s">
        <v>6664</v>
      </c>
      <c r="G240" t="s">
        <v>6665</v>
      </c>
      <c r="H240" t="s">
        <v>6666</v>
      </c>
      <c r="I240" t="s">
        <v>2223</v>
      </c>
      <c r="J240" t="s">
        <v>6667</v>
      </c>
      <c r="K240" t="s">
        <v>2998</v>
      </c>
      <c r="L240" t="s">
        <v>6668</v>
      </c>
    </row>
    <row r="241" spans="1:12" x14ac:dyDescent="0.2">
      <c r="A241" t="s">
        <v>1112</v>
      </c>
      <c r="B241" t="s">
        <v>1113</v>
      </c>
      <c r="C241" t="s">
        <v>100</v>
      </c>
      <c r="D241" t="s">
        <v>1115</v>
      </c>
      <c r="E241" t="str">
        <f>HYPERLINK("/pdf/2022_10.1109_iccwamtip56608.2022.10016605_A_Novel_and_Efficient_Sequential_Learning-Based_Malware_Classification_Model.pdf","open")</f>
        <v>open</v>
      </c>
      <c r="F241" t="s">
        <v>6669</v>
      </c>
      <c r="G241" t="s">
        <v>6670</v>
      </c>
      <c r="H241" t="s">
        <v>6671</v>
      </c>
      <c r="I241" t="s">
        <v>2223</v>
      </c>
      <c r="J241" t="s">
        <v>6672</v>
      </c>
      <c r="K241" t="s">
        <v>2223</v>
      </c>
      <c r="L241" t="s">
        <v>6673</v>
      </c>
    </row>
    <row r="242" spans="1:12" x14ac:dyDescent="0.2">
      <c r="A242" t="s">
        <v>1117</v>
      </c>
      <c r="B242" t="s">
        <v>1118</v>
      </c>
      <c r="C242" t="s">
        <v>48</v>
      </c>
      <c r="D242" t="s">
        <v>1120</v>
      </c>
      <c r="E242" t="str">
        <f>HYPERLINK("/pdf/2026_10_30598_barekengvol20iss2pp1675_1692_a_comparative_study_of_pipeline_validated_machine_learning_classifiers_for_permission_base.pdf","open")</f>
        <v>open</v>
      </c>
      <c r="F242" t="s">
        <v>6674</v>
      </c>
      <c r="G242" t="s">
        <v>6675</v>
      </c>
      <c r="H242" t="s">
        <v>6676</v>
      </c>
      <c r="I242" t="s">
        <v>957</v>
      </c>
      <c r="J242" t="s">
        <v>6677</v>
      </c>
      <c r="K242" t="s">
        <v>2223</v>
      </c>
      <c r="L242" t="s">
        <v>6678</v>
      </c>
    </row>
    <row r="243" spans="1:12" x14ac:dyDescent="0.2">
      <c r="A243" t="s">
        <v>1122</v>
      </c>
      <c r="B243" t="s">
        <v>1123</v>
      </c>
      <c r="C243" t="s">
        <v>19</v>
      </c>
      <c r="D243" t="s">
        <v>148</v>
      </c>
      <c r="E243" t="str">
        <f>HYPERLINK("/pdf/2025_10_34190_eccws_24_1_3542_cybersecurity_challenges_and_mitigations_for_llms_in_dod_applications.pdf","open")</f>
        <v>open</v>
      </c>
      <c r="F243" t="s">
        <v>6679</v>
      </c>
      <c r="G243" t="s">
        <v>6680</v>
      </c>
      <c r="H243" t="s">
        <v>6681</v>
      </c>
      <c r="I243" t="s">
        <v>2223</v>
      </c>
      <c r="J243" t="s">
        <v>148</v>
      </c>
      <c r="K243" t="s">
        <v>2223</v>
      </c>
      <c r="L243" t="s">
        <v>148</v>
      </c>
    </row>
    <row r="244" spans="1:12" x14ac:dyDescent="0.2">
      <c r="A244" t="s">
        <v>1126</v>
      </c>
      <c r="B244" t="s">
        <v>1127</v>
      </c>
      <c r="C244" t="s">
        <v>25</v>
      </c>
      <c r="D244" t="s">
        <v>1128</v>
      </c>
      <c r="E244" t="str">
        <f>HYPERLINK("/pdf/2023_10_1007_978_3_031_33488_7_20_efficient_network_representation_for_gnn_based_intrusion_detection.pdf","open")</f>
        <v>open</v>
      </c>
      <c r="F244" t="s">
        <v>6682</v>
      </c>
      <c r="G244" t="s">
        <v>6683</v>
      </c>
      <c r="H244" t="s">
        <v>6684</v>
      </c>
      <c r="I244" t="s">
        <v>5793</v>
      </c>
      <c r="J244" t="s">
        <v>6685</v>
      </c>
      <c r="K244" t="s">
        <v>2998</v>
      </c>
      <c r="L244" t="s">
        <v>6686</v>
      </c>
    </row>
    <row r="245" spans="1:12" x14ac:dyDescent="0.2">
      <c r="A245" t="s">
        <v>1130</v>
      </c>
      <c r="B245" t="s">
        <v>710</v>
      </c>
      <c r="C245" t="s">
        <v>19</v>
      </c>
      <c r="D245" t="s">
        <v>711</v>
      </c>
      <c r="E245" t="str">
        <f>HYPERLINK("/pdf/2025_10_1038_s41598_025_17799_0_multi_resolution_transfer_learning_for_tampered_image_classification_using_se_enhanced_fus.pdf","open")</f>
        <v>open</v>
      </c>
      <c r="F245" t="s">
        <v>6687</v>
      </c>
      <c r="G245" t="s">
        <v>6688</v>
      </c>
      <c r="H245" t="s">
        <v>6689</v>
      </c>
      <c r="I245" t="s">
        <v>2223</v>
      </c>
      <c r="J245" t="s">
        <v>6690</v>
      </c>
      <c r="K245" t="s">
        <v>2223</v>
      </c>
      <c r="L245" t="s">
        <v>6691</v>
      </c>
    </row>
    <row r="246" spans="1:12" x14ac:dyDescent="0.2">
      <c r="A246" t="s">
        <v>1132</v>
      </c>
      <c r="B246" t="s">
        <v>1133</v>
      </c>
      <c r="C246" t="s">
        <v>363</v>
      </c>
      <c r="D246" t="s">
        <v>1135</v>
      </c>
      <c r="E246" t="str">
        <f>HYPERLINK("/pdf/2016_10.1016_j.infsof.2016.03.004_Effective_detection_of_android_malware_based_on_the_usage_of_data_flow_APIs_and_machine_learning.pdf","open")</f>
        <v>open</v>
      </c>
      <c r="F246" t="s">
        <v>6692</v>
      </c>
      <c r="G246" t="s">
        <v>6693</v>
      </c>
      <c r="H246" t="s">
        <v>6694</v>
      </c>
      <c r="I246" t="s">
        <v>2223</v>
      </c>
      <c r="J246" t="s">
        <v>6695</v>
      </c>
      <c r="K246" t="s">
        <v>2998</v>
      </c>
      <c r="L246" t="s">
        <v>6696</v>
      </c>
    </row>
    <row r="247" spans="1:12" x14ac:dyDescent="0.2">
      <c r="A247" t="s">
        <v>1137</v>
      </c>
      <c r="B247" t="s">
        <v>1138</v>
      </c>
      <c r="C247" t="s">
        <v>25</v>
      </c>
      <c r="D247" t="s">
        <v>1140</v>
      </c>
      <c r="E247" t="str">
        <f>HYPERLINK("/pdf/2023_10.1109_iceei59426.2023.10346644_Managing_Security_Hazards_in_BYOD__A_Comparative_Analysis_of_Artificial_Intelligent_Techniques.pdf","open")</f>
        <v>open</v>
      </c>
      <c r="F247" t="s">
        <v>6697</v>
      </c>
      <c r="G247" t="s">
        <v>6698</v>
      </c>
      <c r="H247" t="s">
        <v>6699</v>
      </c>
      <c r="I247" t="s">
        <v>2223</v>
      </c>
      <c r="J247" t="s">
        <v>6700</v>
      </c>
      <c r="K247" t="s">
        <v>2223</v>
      </c>
      <c r="L247" t="s">
        <v>6701</v>
      </c>
    </row>
    <row r="248" spans="1:12" x14ac:dyDescent="0.2">
      <c r="A248" t="s">
        <v>1142</v>
      </c>
      <c r="B248" t="s">
        <v>1143</v>
      </c>
      <c r="C248" t="s">
        <v>25</v>
      </c>
      <c r="D248" t="s">
        <v>1142</v>
      </c>
      <c r="E248" t="str">
        <f>HYPERLINK("/pdf/2023_10.1145_3577923.3583650_Infotainment_System_Matters__Understanding_the_Impact_and_Implications_of_In-Vehicle_Infotainment_System_Hacki.pdf","open")</f>
        <v>open</v>
      </c>
      <c r="F248" t="s">
        <v>6702</v>
      </c>
      <c r="G248" t="s">
        <v>6703</v>
      </c>
      <c r="H248" t="s">
        <v>6704</v>
      </c>
      <c r="I248" t="s">
        <v>2223</v>
      </c>
      <c r="J248" t="s">
        <v>148</v>
      </c>
      <c r="K248" t="s">
        <v>2223</v>
      </c>
      <c r="L248" t="s">
        <v>148</v>
      </c>
    </row>
    <row r="249" spans="1:12" x14ac:dyDescent="0.2">
      <c r="A249" t="s">
        <v>1146</v>
      </c>
      <c r="B249" t="s">
        <v>1147</v>
      </c>
      <c r="C249" t="s">
        <v>60</v>
      </c>
      <c r="D249" t="s">
        <v>1149</v>
      </c>
      <c r="E249" t="str">
        <f>HYPERLINK("/pdf/2025_10_3390_virtualworlds4010001_cybersecurity_and_privacy_challenges_in_extended_reality_threats_solutions_and_risk_mit.pdf","open")</f>
        <v>open</v>
      </c>
      <c r="F249" t="s">
        <v>6705</v>
      </c>
      <c r="G249" t="s">
        <v>6706</v>
      </c>
      <c r="H249" t="s">
        <v>6707</v>
      </c>
      <c r="I249" t="s">
        <v>2223</v>
      </c>
      <c r="J249" t="s">
        <v>148</v>
      </c>
      <c r="K249" t="s">
        <v>2223</v>
      </c>
      <c r="L249" t="s">
        <v>148</v>
      </c>
    </row>
    <row r="250" spans="1:12" x14ac:dyDescent="0.2">
      <c r="A250" t="s">
        <v>1151</v>
      </c>
      <c r="B250" t="s">
        <v>1152</v>
      </c>
      <c r="C250" t="s">
        <v>60</v>
      </c>
      <c r="D250" t="s">
        <v>1154</v>
      </c>
      <c r="E250" t="str">
        <f>HYPERLINK("/pdf/2024_10.1109_dicct61038.2024.10532908_Malware_Detection_Using_Control_Flow_Graphs.pdf","open")</f>
        <v>open</v>
      </c>
      <c r="F250" t="s">
        <v>6708</v>
      </c>
      <c r="G250" t="s">
        <v>6709</v>
      </c>
      <c r="H250" t="s">
        <v>6710</v>
      </c>
      <c r="I250" t="s">
        <v>2223</v>
      </c>
      <c r="J250" t="s">
        <v>6711</v>
      </c>
      <c r="K250" t="s">
        <v>2998</v>
      </c>
      <c r="L250" t="s">
        <v>6712</v>
      </c>
    </row>
    <row r="251" spans="1:12" x14ac:dyDescent="0.2">
      <c r="A251" t="s">
        <v>1156</v>
      </c>
      <c r="B251" t="s">
        <v>1157</v>
      </c>
      <c r="C251" t="s">
        <v>54</v>
      </c>
      <c r="D251" t="s">
        <v>1159</v>
      </c>
      <c r="E251" t="str">
        <f>HYPERLINK("/pdf/2020_10.1109_icin48450.2020.9059472_Cache-Property-Aware_Features_for_DNS_Tunneling_Detection.pdf","open")</f>
        <v>open</v>
      </c>
      <c r="F251" t="s">
        <v>6713</v>
      </c>
      <c r="G251" t="s">
        <v>6714</v>
      </c>
      <c r="H251" t="s">
        <v>6715</v>
      </c>
      <c r="I251" t="s">
        <v>2223</v>
      </c>
      <c r="J251" t="s">
        <v>148</v>
      </c>
      <c r="K251" t="s">
        <v>2223</v>
      </c>
      <c r="L251" t="s">
        <v>148</v>
      </c>
    </row>
    <row r="252" spans="1:12" x14ac:dyDescent="0.2">
      <c r="A252" t="s">
        <v>1161</v>
      </c>
      <c r="B252" t="s">
        <v>1162</v>
      </c>
      <c r="C252" t="s">
        <v>60</v>
      </c>
      <c r="D252" t="s">
        <v>1164</v>
      </c>
      <c r="E252" t="str">
        <f>HYPERLINK("/pdf/2024_10.1145_3649403.3656483_A_Privacy_Preserving_Context_Sensitive_Kernel.pdf","open")</f>
        <v>open</v>
      </c>
      <c r="F252" t="s">
        <v>6716</v>
      </c>
      <c r="G252" t="s">
        <v>6717</v>
      </c>
      <c r="H252" t="s">
        <v>6718</v>
      </c>
      <c r="I252" t="s">
        <v>2223</v>
      </c>
      <c r="J252" t="s">
        <v>6719</v>
      </c>
      <c r="K252" t="s">
        <v>2223</v>
      </c>
      <c r="L252" t="s">
        <v>6720</v>
      </c>
    </row>
    <row r="253" spans="1:12" x14ac:dyDescent="0.2">
      <c r="A253" t="s">
        <v>1166</v>
      </c>
      <c r="B253" t="s">
        <v>1167</v>
      </c>
      <c r="C253" t="s">
        <v>25</v>
      </c>
      <c r="D253" t="s">
        <v>1169</v>
      </c>
      <c r="E253" t="str">
        <f>HYPERLINK("/pdf/2023_10.1016_j.procs.2023.03.102_Broadening_the_Solution_Space_of_Feature_Selection_in_Time-interval-based_Malware_Detection.pdf","open")</f>
        <v>open</v>
      </c>
      <c r="F253" t="s">
        <v>6721</v>
      </c>
      <c r="G253" t="s">
        <v>6722</v>
      </c>
      <c r="H253" t="s">
        <v>6723</v>
      </c>
      <c r="I253" t="s">
        <v>2223</v>
      </c>
      <c r="J253" t="s">
        <v>6724</v>
      </c>
      <c r="K253" t="s">
        <v>2998</v>
      </c>
      <c r="L253" t="s">
        <v>6725</v>
      </c>
    </row>
    <row r="254" spans="1:12" x14ac:dyDescent="0.2">
      <c r="A254" t="s">
        <v>1171</v>
      </c>
      <c r="B254" t="s">
        <v>1172</v>
      </c>
      <c r="C254" t="s">
        <v>25</v>
      </c>
      <c r="D254" t="s">
        <v>1174</v>
      </c>
      <c r="E254" t="str">
        <f>HYPERLINK("/pdf/2023_10.1109_i-smac58438.2023.10290155_Efficient_Secured_Cloud_Storage_System_using_Dynamic_Multiple_Clouds_Cryptographic_Algorithm.pdf","open")</f>
        <v>open</v>
      </c>
      <c r="F254" t="s">
        <v>148</v>
      </c>
      <c r="G254" t="s">
        <v>6726</v>
      </c>
      <c r="H254" t="s">
        <v>6727</v>
      </c>
      <c r="I254" t="s">
        <v>2223</v>
      </c>
      <c r="J254" t="s">
        <v>148</v>
      </c>
      <c r="K254" t="s">
        <v>2223</v>
      </c>
      <c r="L254" t="s">
        <v>148</v>
      </c>
    </row>
    <row r="255" spans="1:12" x14ac:dyDescent="0.2">
      <c r="A255" t="s">
        <v>1176</v>
      </c>
      <c r="B255" t="s">
        <v>1177</v>
      </c>
      <c r="C255" t="s">
        <v>136</v>
      </c>
      <c r="D255" t="s">
        <v>1178</v>
      </c>
      <c r="E255" t="str">
        <f>HYPERLINK("/pdf/2019_10_3390_electronics8090968_dynamic_deep_forest_an_ensemble_classification_method_for_network_intrusion_detection.pdf","open")</f>
        <v>open</v>
      </c>
      <c r="F255" t="s">
        <v>6728</v>
      </c>
      <c r="G255" t="s">
        <v>6729</v>
      </c>
      <c r="H255" t="s">
        <v>6730</v>
      </c>
      <c r="I255" t="s">
        <v>2223</v>
      </c>
      <c r="J255" t="s">
        <v>6731</v>
      </c>
      <c r="K255" t="s">
        <v>2223</v>
      </c>
      <c r="L255" t="s">
        <v>6732</v>
      </c>
    </row>
    <row r="256" spans="1:12" x14ac:dyDescent="0.2">
      <c r="A256" t="s">
        <v>1180</v>
      </c>
      <c r="B256" t="s">
        <v>1181</v>
      </c>
      <c r="C256" t="s">
        <v>60</v>
      </c>
      <c r="D256" t="s">
        <v>148</v>
      </c>
      <c r="E256" t="str">
        <f>HYPERLINK("/pdf/2024_10.7492_qcqm1g12_AI-Powered_Cyber_Threat_Detection__Leveraging_Machine_Learning_for_RealTime_Anomaly_Identification_and_Threat_.pdf","open")</f>
        <v>open</v>
      </c>
      <c r="F256" t="s">
        <v>6733</v>
      </c>
      <c r="G256" t="s">
        <v>6734</v>
      </c>
      <c r="H256" t="s">
        <v>6735</v>
      </c>
      <c r="I256" t="s">
        <v>2223</v>
      </c>
      <c r="J256" t="s">
        <v>6736</v>
      </c>
      <c r="K256" t="s">
        <v>2223</v>
      </c>
      <c r="L256" t="s">
        <v>6737</v>
      </c>
    </row>
    <row r="257" spans="1:12" x14ac:dyDescent="0.2">
      <c r="A257" t="s">
        <v>1184</v>
      </c>
      <c r="B257" t="s">
        <v>1185</v>
      </c>
      <c r="C257" t="s">
        <v>54</v>
      </c>
      <c r="D257" t="s">
        <v>1187</v>
      </c>
      <c r="E257" t="str">
        <f>HYPERLINK("/pdf/2020_10.1145_3365578_Hardware_Trojan_mitigation_in_pipelined_MPSoCs.pdf","open")</f>
        <v>open</v>
      </c>
      <c r="F257" t="s">
        <v>148</v>
      </c>
      <c r="G257" t="s">
        <v>148</v>
      </c>
      <c r="H257" t="s">
        <v>6738</v>
      </c>
      <c r="I257" t="s">
        <v>2223</v>
      </c>
      <c r="J257" t="s">
        <v>148</v>
      </c>
      <c r="K257" t="s">
        <v>2223</v>
      </c>
      <c r="L257" t="s">
        <v>148</v>
      </c>
    </row>
    <row r="258" spans="1:12" x14ac:dyDescent="0.2">
      <c r="A258" t="s">
        <v>1189</v>
      </c>
      <c r="B258" t="s">
        <v>1190</v>
      </c>
      <c r="C258" t="s">
        <v>19</v>
      </c>
      <c r="D258" t="s">
        <v>1192</v>
      </c>
      <c r="E258" t="str">
        <f>HYPERLINK("/pdf/2025_10.1109_icoin63865.2025.10993160_Privacy-Preserving_Generative_Adversarial_Network-Based_Data_Synthesis_for_Intelligent_Intrusion_Detection_Sys.pdf","open")</f>
        <v>open</v>
      </c>
      <c r="F258" t="s">
        <v>6739</v>
      </c>
      <c r="G258" t="s">
        <v>6740</v>
      </c>
      <c r="H258" t="s">
        <v>6741</v>
      </c>
      <c r="I258" t="s">
        <v>2998</v>
      </c>
      <c r="J258" t="s">
        <v>6742</v>
      </c>
      <c r="K258" t="s">
        <v>2223</v>
      </c>
      <c r="L258" t="s">
        <v>6743</v>
      </c>
    </row>
    <row r="259" spans="1:12" x14ac:dyDescent="0.2">
      <c r="A259" t="s">
        <v>1194</v>
      </c>
      <c r="B259" t="s">
        <v>1195</v>
      </c>
      <c r="C259" t="s">
        <v>25</v>
      </c>
      <c r="D259" t="s">
        <v>1197</v>
      </c>
      <c r="E259" t="str">
        <f>HYPERLINK("/pdf/2023_10.1145_3603781.3603906_Detection_of_Network_Time_Covert_Channels_Based_on_Image_Processing.pdf","open")</f>
        <v>open</v>
      </c>
      <c r="F259" t="s">
        <v>6744</v>
      </c>
      <c r="G259" t="s">
        <v>6745</v>
      </c>
      <c r="H259" t="s">
        <v>6746</v>
      </c>
      <c r="I259" t="s">
        <v>2998</v>
      </c>
      <c r="J259" t="s">
        <v>6747</v>
      </c>
      <c r="K259" t="s">
        <v>2223</v>
      </c>
      <c r="L259" t="s">
        <v>6748</v>
      </c>
    </row>
    <row r="260" spans="1:12" x14ac:dyDescent="0.2">
      <c r="A260" t="s">
        <v>1199</v>
      </c>
      <c r="B260" t="s">
        <v>1200</v>
      </c>
      <c r="C260" t="s">
        <v>36</v>
      </c>
      <c r="D260" t="s">
        <v>148</v>
      </c>
      <c r="E260" t="str">
        <f>HYPERLINK("/pdf/2022_SECURE_ASPECTS_OF_DIGITALIZATION_IN_MANAGEMENT_ACCOUNTING_AND_FINANCES_OF_THE_SUBJECT_OF_THE_NATIONAL_ECONOMY_.pdf","open")</f>
        <v>open</v>
      </c>
      <c r="F260" t="s">
        <v>6749</v>
      </c>
      <c r="G260" t="s">
        <v>6750</v>
      </c>
      <c r="H260" t="s">
        <v>6751</v>
      </c>
      <c r="I260" t="s">
        <v>2223</v>
      </c>
      <c r="J260" t="s">
        <v>6752</v>
      </c>
      <c r="K260" t="s">
        <v>2223</v>
      </c>
      <c r="L260" t="s">
        <v>6753</v>
      </c>
    </row>
    <row r="261" spans="1:12" x14ac:dyDescent="0.2">
      <c r="B261" t="s">
        <v>1203</v>
      </c>
      <c r="C261" t="s">
        <v>148</v>
      </c>
      <c r="D261" t="s">
        <v>148</v>
      </c>
      <c r="E261" t="str">
        <f>HYPERLINK("/pdf/2014_10.1049_cp.2014.1340_Android's_sensitive_data_leakage_detection_based_on_API_monitoring.pdf","open")</f>
        <v>open</v>
      </c>
      <c r="F261" t="s">
        <v>6754</v>
      </c>
      <c r="G261" t="s">
        <v>6755</v>
      </c>
      <c r="H261" t="s">
        <v>6756</v>
      </c>
      <c r="I261" t="s">
        <v>2223</v>
      </c>
      <c r="J261" t="s">
        <v>6757</v>
      </c>
      <c r="K261" t="s">
        <v>2223</v>
      </c>
      <c r="L261" t="s">
        <v>6758</v>
      </c>
    </row>
    <row r="262" spans="1:12" x14ac:dyDescent="0.2">
      <c r="A262" t="s">
        <v>1205</v>
      </c>
      <c r="B262" t="s">
        <v>1206</v>
      </c>
      <c r="C262" t="s">
        <v>36</v>
      </c>
      <c r="D262" t="s">
        <v>1208</v>
      </c>
      <c r="E262" t="str">
        <f>HYPERLINK("/pdf/2021_10_1109_tnsm_2021_3078428_dns_tunneling_detection_by_cache_property_aware_features.pdf","open")</f>
        <v>open</v>
      </c>
      <c r="F262" t="s">
        <v>6759</v>
      </c>
      <c r="G262" t="s">
        <v>6760</v>
      </c>
      <c r="H262" t="s">
        <v>6761</v>
      </c>
      <c r="I262" t="s">
        <v>2223</v>
      </c>
      <c r="J262" t="s">
        <v>148</v>
      </c>
      <c r="K262" t="s">
        <v>2223</v>
      </c>
      <c r="L262" t="s">
        <v>148</v>
      </c>
    </row>
    <row r="263" spans="1:12" x14ac:dyDescent="0.2">
      <c r="A263" t="s">
        <v>1210</v>
      </c>
      <c r="B263" t="s">
        <v>760</v>
      </c>
      <c r="C263" t="s">
        <v>48</v>
      </c>
      <c r="D263" t="s">
        <v>761</v>
      </c>
      <c r="E263" t="str">
        <f>HYPERLINK("/pdf/2026_10.1038_s41598-026-36731-8_ASTRID-Net__SE-enhanced_triple_attention_deep_learning_framework_for_IoT_and_IIoT_security.pdf","open")</f>
        <v>open</v>
      </c>
      <c r="F263" t="s">
        <v>6762</v>
      </c>
      <c r="G263" t="s">
        <v>6763</v>
      </c>
      <c r="H263" t="s">
        <v>6764</v>
      </c>
      <c r="I263" t="s">
        <v>2223</v>
      </c>
      <c r="J263" t="s">
        <v>148</v>
      </c>
      <c r="K263" t="s">
        <v>2223</v>
      </c>
      <c r="L263" t="s">
        <v>6765</v>
      </c>
    </row>
    <row r="264" spans="1:12" x14ac:dyDescent="0.2">
      <c r="A264" t="s">
        <v>1212</v>
      </c>
      <c r="B264" t="s">
        <v>1213</v>
      </c>
      <c r="C264" t="s">
        <v>19</v>
      </c>
      <c r="D264" t="s">
        <v>1215</v>
      </c>
      <c r="E264" t="str">
        <f>HYPERLINK("/pdf/2025_10.70389_pjs.100115_Psyche_Components_in_the_Organization_of_Safety_Systems__The_Role_of_a_Person_in_the_Protection_of_Facilities_.pdf","open")</f>
        <v>open</v>
      </c>
      <c r="F264" t="s">
        <v>6766</v>
      </c>
      <c r="G264" t="s">
        <v>6767</v>
      </c>
      <c r="H264" t="s">
        <v>6768</v>
      </c>
      <c r="I264" t="s">
        <v>2223</v>
      </c>
      <c r="J264" t="s">
        <v>148</v>
      </c>
      <c r="K264" t="s">
        <v>2223</v>
      </c>
      <c r="L264" t="s">
        <v>148</v>
      </c>
    </row>
    <row r="265" spans="1:12" x14ac:dyDescent="0.2">
      <c r="A265" t="s">
        <v>148</v>
      </c>
      <c r="B265" t="s">
        <v>1217</v>
      </c>
      <c r="C265" t="s">
        <v>25</v>
      </c>
      <c r="D265" t="s">
        <v>1219</v>
      </c>
      <c r="E265" t="str">
        <f>HYPERLINK("/pdf/2023_10.1109_iccasit58768.2023.10351717_Research_and_Application_of_Cybersecurity_Situation_Awareness_for_Smart_Grid_Power_Control_System.pdf","open")</f>
        <v>open</v>
      </c>
      <c r="F265" t="s">
        <v>6769</v>
      </c>
      <c r="G265" t="s">
        <v>6770</v>
      </c>
      <c r="H265" t="s">
        <v>6771</v>
      </c>
      <c r="I265" t="s">
        <v>2223</v>
      </c>
      <c r="J265" t="s">
        <v>148</v>
      </c>
      <c r="K265" t="s">
        <v>957</v>
      </c>
      <c r="L265" t="s">
        <v>6772</v>
      </c>
    </row>
    <row r="266" spans="1:12" x14ac:dyDescent="0.2">
      <c r="A266" t="s">
        <v>1221</v>
      </c>
      <c r="B266" t="s">
        <v>1222</v>
      </c>
      <c r="C266" t="s">
        <v>25</v>
      </c>
      <c r="D266" t="s">
        <v>1224</v>
      </c>
      <c r="E266" t="str">
        <f>HYPERLINK("/pdf/2023_10_1109_fmec59375_2023_10305886_an_overview_of_using_of_artificial_intelligence_in_enhancing_security_and_privac.pdf","open")</f>
        <v>open</v>
      </c>
      <c r="F266" t="s">
        <v>6773</v>
      </c>
      <c r="G266" t="s">
        <v>6774</v>
      </c>
      <c r="H266" t="s">
        <v>6775</v>
      </c>
      <c r="I266" t="s">
        <v>2223</v>
      </c>
      <c r="J266" t="s">
        <v>6776</v>
      </c>
      <c r="K266" t="s">
        <v>2223</v>
      </c>
      <c r="L266" t="s">
        <v>6777</v>
      </c>
    </row>
    <row r="267" spans="1:12" x14ac:dyDescent="0.2">
      <c r="A267" t="s">
        <v>1226</v>
      </c>
      <c r="B267" t="s">
        <v>1227</v>
      </c>
      <c r="C267" t="s">
        <v>363</v>
      </c>
      <c r="D267" t="s">
        <v>1229</v>
      </c>
      <c r="E267" t="str">
        <f>HYPERLINK("/pdf/2016_10_13052_jcsm2245_1439_521_lazarus_data_leakage_with_pgp_and_resurrection_of_the_revoked_user.pdf","open")</f>
        <v>open</v>
      </c>
      <c r="F267" t="s">
        <v>6778</v>
      </c>
      <c r="G267" t="s">
        <v>6779</v>
      </c>
      <c r="H267" t="s">
        <v>6780</v>
      </c>
      <c r="I267" t="s">
        <v>2223</v>
      </c>
      <c r="J267" t="s">
        <v>6781</v>
      </c>
      <c r="K267" t="s">
        <v>2223</v>
      </c>
      <c r="L267" t="s">
        <v>6782</v>
      </c>
    </row>
    <row r="268" spans="1:12" x14ac:dyDescent="0.2">
      <c r="A268" t="s">
        <v>1231</v>
      </c>
      <c r="B268" t="s">
        <v>1232</v>
      </c>
      <c r="C268" t="s">
        <v>190</v>
      </c>
      <c r="D268" t="s">
        <v>1234</v>
      </c>
      <c r="E268" t="str">
        <f>HYPERLINK("/pdf/2017_10.1145_3171592.3171597_Network_behavioral_features_for_detecting_remote_access_trojans_in_the_early_stage.pdf","open")</f>
        <v>open</v>
      </c>
      <c r="F268" t="s">
        <v>6783</v>
      </c>
      <c r="G268" t="s">
        <v>6784</v>
      </c>
      <c r="H268" t="s">
        <v>6785</v>
      </c>
      <c r="I268" t="s">
        <v>2223</v>
      </c>
      <c r="J268" t="s">
        <v>6786</v>
      </c>
      <c r="K268" t="s">
        <v>2223</v>
      </c>
      <c r="L268" t="s">
        <v>6787</v>
      </c>
    </row>
    <row r="269" spans="1:12" x14ac:dyDescent="0.2">
      <c r="A269" t="s">
        <v>1236</v>
      </c>
      <c r="B269" t="s">
        <v>1237</v>
      </c>
      <c r="C269" t="s">
        <v>36</v>
      </c>
      <c r="D269" t="s">
        <v>1239</v>
      </c>
      <c r="E269" t="str">
        <f>HYPERLINK("/pdf/2021_10.1109_ent50460.2021.9681727_Specifics_of_Communication_Organization_and_Attacks_on_Medical_Cyber-physical_Devices.pdf","open")</f>
        <v>open</v>
      </c>
      <c r="F269" t="s">
        <v>6788</v>
      </c>
      <c r="G269" t="s">
        <v>6789</v>
      </c>
      <c r="H269" t="s">
        <v>6790</v>
      </c>
      <c r="I269" t="s">
        <v>2223</v>
      </c>
      <c r="J269" t="s">
        <v>148</v>
      </c>
      <c r="K269" t="s">
        <v>2223</v>
      </c>
      <c r="L269" t="s">
        <v>148</v>
      </c>
    </row>
    <row r="270" spans="1:12" x14ac:dyDescent="0.2">
      <c r="A270" t="s">
        <v>1241</v>
      </c>
      <c r="B270" t="s">
        <v>1043</v>
      </c>
      <c r="C270" t="s">
        <v>210</v>
      </c>
      <c r="D270" t="s">
        <v>148</v>
      </c>
      <c r="E270" t="str">
        <f>HYPERLINK("/pdf/2016_10.1109_ccst.2015.7389685_A_Digital_Triage_Forensics_framework_of_Window_malware_forensic_toolkit__Based_on_ISO_IEC_27037_2012.pdf","open")</f>
        <v>open</v>
      </c>
      <c r="F270" t="s">
        <v>6791</v>
      </c>
      <c r="G270" t="s">
        <v>6601</v>
      </c>
      <c r="H270" t="s">
        <v>6792</v>
      </c>
      <c r="I270" t="s">
        <v>2223</v>
      </c>
      <c r="J270" t="s">
        <v>6793</v>
      </c>
      <c r="K270" t="s">
        <v>2223</v>
      </c>
      <c r="L270" t="s">
        <v>6794</v>
      </c>
    </row>
    <row r="271" spans="1:12" x14ac:dyDescent="0.2">
      <c r="A271" t="s">
        <v>1243</v>
      </c>
      <c r="B271" t="s">
        <v>1244</v>
      </c>
      <c r="C271" t="s">
        <v>100</v>
      </c>
      <c r="D271" t="s">
        <v>148</v>
      </c>
      <c r="E271" t="str">
        <f>HYPERLINK("/pdf/2022_10.23919_apsipaasc55919.2022.9979923_A_Comparison_of_Feature_Selection_and_Feature_Extraction_in_Network_Intrusion_Detection_Systems.pdf","open")</f>
        <v>open</v>
      </c>
      <c r="F271" t="s">
        <v>6795</v>
      </c>
      <c r="G271" t="s">
        <v>148</v>
      </c>
      <c r="H271" t="s">
        <v>6796</v>
      </c>
      <c r="I271" t="s">
        <v>2223</v>
      </c>
      <c r="J271" t="s">
        <v>6797</v>
      </c>
      <c r="K271" t="s">
        <v>2223</v>
      </c>
      <c r="L271" t="s">
        <v>6798</v>
      </c>
    </row>
    <row r="272" spans="1:12" x14ac:dyDescent="0.2">
      <c r="A272" t="s">
        <v>1247</v>
      </c>
      <c r="B272" t="s">
        <v>1248</v>
      </c>
      <c r="C272" t="s">
        <v>54</v>
      </c>
      <c r="D272" t="s">
        <v>1249</v>
      </c>
      <c r="E272" t="str">
        <f>HYPERLINK("/pdf/2020_10_1109_access_2020_2996214_a_machine_learning_security_framework_for_iot_systems.pdf","open")</f>
        <v>open</v>
      </c>
      <c r="F272" t="s">
        <v>6799</v>
      </c>
      <c r="G272" t="s">
        <v>6800</v>
      </c>
      <c r="H272" t="s">
        <v>6801</v>
      </c>
      <c r="I272" t="s">
        <v>2223</v>
      </c>
      <c r="J272" t="s">
        <v>6802</v>
      </c>
      <c r="K272" t="s">
        <v>2223</v>
      </c>
      <c r="L272" t="s">
        <v>6803</v>
      </c>
    </row>
    <row r="273" spans="1:12" x14ac:dyDescent="0.2">
      <c r="A273" t="s">
        <v>1251</v>
      </c>
      <c r="B273" t="s">
        <v>1252</v>
      </c>
      <c r="C273" t="s">
        <v>54</v>
      </c>
      <c r="D273" t="s">
        <v>1254</v>
      </c>
      <c r="E273" t="str">
        <f>HYPERLINK("/pdf/2020_10.1109_msn50589.2020.00060_Optimal_defense_strategy_against_evasion_attacks.pdf","open")</f>
        <v>open</v>
      </c>
      <c r="F273" t="s">
        <v>6804</v>
      </c>
      <c r="G273" t="s">
        <v>6805</v>
      </c>
      <c r="H273" t="s">
        <v>6806</v>
      </c>
      <c r="I273" t="s">
        <v>2223</v>
      </c>
      <c r="J273" t="s">
        <v>148</v>
      </c>
      <c r="K273" t="s">
        <v>2223</v>
      </c>
      <c r="L273" t="s">
        <v>148</v>
      </c>
    </row>
    <row r="274" spans="1:12" x14ac:dyDescent="0.2">
      <c r="A274" t="s">
        <v>1256</v>
      </c>
      <c r="B274" t="s">
        <v>1257</v>
      </c>
      <c r="C274" t="s">
        <v>48</v>
      </c>
      <c r="D274" t="s">
        <v>1258</v>
      </c>
      <c r="E274" t="str">
        <f>HYPERLINK("/pdf/2026_10.1109_tcad.2025.3580649_Dynamic_Interposer_Obfuscation_Through_Distributed_Scramblers_in_Heterogeneously_Integrated_2.5D_ICs.pdf","open")</f>
        <v>open</v>
      </c>
      <c r="F274" t="s">
        <v>148</v>
      </c>
      <c r="G274" t="s">
        <v>6807</v>
      </c>
      <c r="H274" t="s">
        <v>6808</v>
      </c>
      <c r="I274" t="s">
        <v>2223</v>
      </c>
      <c r="J274" t="s">
        <v>148</v>
      </c>
      <c r="K274" t="s">
        <v>2223</v>
      </c>
      <c r="L274" t="s">
        <v>148</v>
      </c>
    </row>
    <row r="275" spans="1:12" x14ac:dyDescent="0.2">
      <c r="A275" t="s">
        <v>1260</v>
      </c>
      <c r="B275" t="s">
        <v>1261</v>
      </c>
      <c r="C275" t="s">
        <v>25</v>
      </c>
      <c r="D275" t="s">
        <v>1263</v>
      </c>
      <c r="E275" t="str">
        <f>HYPERLINK("/pdf/2023_10.1109_rmkmate59243.2023.10369056_A_Survey_on_Cyber_Attack_Detection__Techniques,_Datasets,_and_Challenge.pdf","open")</f>
        <v>open</v>
      </c>
      <c r="F275" t="s">
        <v>6809</v>
      </c>
      <c r="G275" t="s">
        <v>6810</v>
      </c>
      <c r="H275" t="s">
        <v>6811</v>
      </c>
      <c r="I275" t="s">
        <v>2223</v>
      </c>
      <c r="J275" t="s">
        <v>6812</v>
      </c>
      <c r="K275" t="s">
        <v>2223</v>
      </c>
      <c r="L275" t="s">
        <v>6813</v>
      </c>
    </row>
    <row r="276" spans="1:12" x14ac:dyDescent="0.2">
      <c r="A276" t="s">
        <v>1265</v>
      </c>
      <c r="B276" t="s">
        <v>1266</v>
      </c>
      <c r="C276" t="s">
        <v>60</v>
      </c>
      <c r="D276" t="s">
        <v>1268</v>
      </c>
      <c r="E276" t="str">
        <f>HYPERLINK("/pdf/2024_10.1109_dcoss-iot61029.2024.00041_SAfER__Simplified_Auto-encoder_for_(Anomalous)_Event_Recognition.pdf","open")</f>
        <v>open</v>
      </c>
      <c r="F276" t="s">
        <v>6814</v>
      </c>
      <c r="G276" t="s">
        <v>148</v>
      </c>
      <c r="H276" t="s">
        <v>6815</v>
      </c>
      <c r="I276" t="s">
        <v>2223</v>
      </c>
      <c r="J276" t="s">
        <v>6816</v>
      </c>
      <c r="K276" t="s">
        <v>2998</v>
      </c>
      <c r="L276" t="s">
        <v>6817</v>
      </c>
    </row>
    <row r="277" spans="1:12" x14ac:dyDescent="0.2">
      <c r="A277" t="s">
        <v>1270</v>
      </c>
      <c r="B277" t="s">
        <v>1271</v>
      </c>
      <c r="C277" t="s">
        <v>156</v>
      </c>
      <c r="D277" t="s">
        <v>1273</v>
      </c>
      <c r="E277" t="str">
        <f>HYPERLINK("/pdf/2013_10.1145_2484313.2484378_Horizon_extender__Long-term_preservation_of_data_leakage_evidence_in_web_traffic.pdf","open")</f>
        <v>open</v>
      </c>
      <c r="F277" t="s">
        <v>6818</v>
      </c>
      <c r="G277" t="s">
        <v>148</v>
      </c>
      <c r="H277" t="s">
        <v>6819</v>
      </c>
      <c r="I277" t="s">
        <v>2223</v>
      </c>
      <c r="J277" t="s">
        <v>6820</v>
      </c>
      <c r="K277" t="s">
        <v>2223</v>
      </c>
      <c r="L277" t="s">
        <v>6821</v>
      </c>
    </row>
    <row r="278" spans="1:12" x14ac:dyDescent="0.2">
      <c r="A278" t="s">
        <v>1275</v>
      </c>
      <c r="B278" t="s">
        <v>314</v>
      </c>
      <c r="C278" t="s">
        <v>36</v>
      </c>
      <c r="D278" t="s">
        <v>316</v>
      </c>
      <c r="E278" t="str">
        <f>HYPERLINK("/pdf/2022_10_1080_0144929x_2021_1953597_the_relationship_between_online_political_participation_and_privacy_protection.pdf","open")</f>
        <v>open</v>
      </c>
      <c r="F278" t="s">
        <v>6822</v>
      </c>
      <c r="G278" t="s">
        <v>6823</v>
      </c>
      <c r="H278" t="s">
        <v>6824</v>
      </c>
      <c r="I278" t="s">
        <v>2223</v>
      </c>
      <c r="J278" t="s">
        <v>148</v>
      </c>
      <c r="K278" t="s">
        <v>2223</v>
      </c>
      <c r="L278" t="s">
        <v>148</v>
      </c>
    </row>
    <row r="279" spans="1:12" x14ac:dyDescent="0.2">
      <c r="A279" t="s">
        <v>1278</v>
      </c>
      <c r="B279" t="s">
        <v>1279</v>
      </c>
      <c r="C279" t="s">
        <v>60</v>
      </c>
      <c r="D279" t="s">
        <v>1280</v>
      </c>
      <c r="E279" t="str">
        <f>HYPERLINK("/pdf/2024_10_3390_jcp4020009_on_data_leakage_prevention_maturity_adapting_the_c2m2_framework.pdf","open")</f>
        <v>open</v>
      </c>
      <c r="F279" t="s">
        <v>6825</v>
      </c>
      <c r="G279" t="s">
        <v>6826</v>
      </c>
      <c r="H279" t="s">
        <v>6827</v>
      </c>
      <c r="I279" t="s">
        <v>2223</v>
      </c>
      <c r="J279" t="s">
        <v>148</v>
      </c>
      <c r="K279" t="s">
        <v>2223</v>
      </c>
      <c r="L279" t="s">
        <v>148</v>
      </c>
    </row>
    <row r="280" spans="1:12" x14ac:dyDescent="0.2">
      <c r="A280" t="s">
        <v>1282</v>
      </c>
      <c r="B280" t="s">
        <v>1283</v>
      </c>
      <c r="C280" t="s">
        <v>100</v>
      </c>
      <c r="D280" t="s">
        <v>1285</v>
      </c>
      <c r="E280" t="str">
        <f>HYPERLINK("/pdf/2022_10_17341_gazimmfd_641580_a_new_document_classification_algorithm_against_malicious_data_leakage_attacks_zararli_ya.pdf","open")</f>
        <v>open</v>
      </c>
      <c r="F280" t="s">
        <v>6828</v>
      </c>
      <c r="G280" t="s">
        <v>6829</v>
      </c>
      <c r="H280" t="s">
        <v>6830</v>
      </c>
      <c r="I280" t="s">
        <v>2223</v>
      </c>
      <c r="J280" t="s">
        <v>6831</v>
      </c>
      <c r="K280" t="s">
        <v>2223</v>
      </c>
      <c r="L280" t="s">
        <v>6832</v>
      </c>
    </row>
    <row r="281" spans="1:12" x14ac:dyDescent="0.2">
      <c r="A281" t="s">
        <v>1287</v>
      </c>
      <c r="B281" t="s">
        <v>1288</v>
      </c>
      <c r="C281" t="s">
        <v>48</v>
      </c>
      <c r="D281" t="s">
        <v>1290</v>
      </c>
      <c r="E281" t="str">
        <f>HYPERLINK("/pdf/2026_10.1109_tce.2026.3652563_QFedPhish__A_Quantum-Inspired_Federated_Learning_Approach_for_Detecting_AI-Generated_Phishing_Attacks.pdf","open")</f>
        <v>open</v>
      </c>
      <c r="F281" t="s">
        <v>6833</v>
      </c>
      <c r="G281" t="s">
        <v>6834</v>
      </c>
      <c r="H281" t="s">
        <v>6835</v>
      </c>
      <c r="I281" t="s">
        <v>2223</v>
      </c>
      <c r="J281" t="s">
        <v>6836</v>
      </c>
      <c r="K281" t="s">
        <v>2223</v>
      </c>
      <c r="L281" t="s">
        <v>6837</v>
      </c>
    </row>
    <row r="282" spans="1:12" x14ac:dyDescent="0.2">
      <c r="A282" t="s">
        <v>1292</v>
      </c>
      <c r="B282" t="s">
        <v>120</v>
      </c>
      <c r="C282" t="s">
        <v>19</v>
      </c>
      <c r="D282" t="s">
        <v>122</v>
      </c>
      <c r="E282" t="str">
        <f>HYPERLINK("/pdf/2025_10_14445_23488549_ijece_v12i10p115_qryptashield_quantum_inspired_feature_selection_and_rl_calibrated_federated_learning_for.pdf","open")</f>
        <v>open</v>
      </c>
      <c r="F282" t="s">
        <v>6838</v>
      </c>
      <c r="G282" t="s">
        <v>6839</v>
      </c>
      <c r="H282" t="s">
        <v>6840</v>
      </c>
      <c r="I282" t="s">
        <v>2223</v>
      </c>
      <c r="J282" t="s">
        <v>6841</v>
      </c>
      <c r="K282" t="s">
        <v>2998</v>
      </c>
      <c r="L282" t="s">
        <v>6842</v>
      </c>
    </row>
    <row r="283" spans="1:12" x14ac:dyDescent="0.2">
      <c r="A283" t="s">
        <v>1294</v>
      </c>
      <c r="B283" t="s">
        <v>1295</v>
      </c>
      <c r="C283" t="s">
        <v>25</v>
      </c>
      <c r="D283" t="s">
        <v>148</v>
      </c>
      <c r="E283" t="str">
        <f>HYPERLINK("/pdf/2024_10_1007_s10586_023_04089_5_machine_learning_based_intrusion_detection_feature_selection_versus_feature_extraction.pdf","open")</f>
        <v>open</v>
      </c>
      <c r="F283" t="s">
        <v>6843</v>
      </c>
      <c r="G283" t="s">
        <v>6844</v>
      </c>
      <c r="H283" t="s">
        <v>6845</v>
      </c>
      <c r="I283" t="s">
        <v>2223</v>
      </c>
      <c r="J283" t="s">
        <v>148</v>
      </c>
      <c r="K283" t="s">
        <v>2223</v>
      </c>
      <c r="L283" t="s">
        <v>148</v>
      </c>
    </row>
    <row r="284" spans="1:12" x14ac:dyDescent="0.2">
      <c r="A284" t="s">
        <v>1297</v>
      </c>
      <c r="B284" t="s">
        <v>680</v>
      </c>
      <c r="C284" t="s">
        <v>19</v>
      </c>
      <c r="D284" t="s">
        <v>682</v>
      </c>
      <c r="E284" t="str">
        <f>HYPERLINK("/pdf/2025_10_37934_araset_51_2_153176_detecting_wormhole_attack_in_environmental_monitoring_system_for_agriculture_using_deep_le.pdf","open")</f>
        <v>open</v>
      </c>
      <c r="F284" t="s">
        <v>6846</v>
      </c>
      <c r="G284" t="s">
        <v>6847</v>
      </c>
      <c r="H284" t="s">
        <v>6848</v>
      </c>
      <c r="I284" t="s">
        <v>2223</v>
      </c>
      <c r="J284" t="s">
        <v>148</v>
      </c>
      <c r="K284" t="s">
        <v>2223</v>
      </c>
      <c r="L284" t="s">
        <v>148</v>
      </c>
    </row>
    <row r="285" spans="1:12" x14ac:dyDescent="0.2">
      <c r="A285" t="s">
        <v>1299</v>
      </c>
      <c r="B285" t="s">
        <v>1118</v>
      </c>
      <c r="C285" t="s">
        <v>48</v>
      </c>
      <c r="D285" t="s">
        <v>1300</v>
      </c>
      <c r="E285" t="str">
        <f>HYPERLINK("/pdf/2026_10_30598_barekengvol20iss2pp1675_1692_a_comparative_study_of_pipeline_validated_machine_learning_classifiers_for_permi.pdf","open")</f>
        <v>open</v>
      </c>
      <c r="F285" t="s">
        <v>6849</v>
      </c>
      <c r="G285" t="s">
        <v>6850</v>
      </c>
      <c r="H285" t="s">
        <v>6851</v>
      </c>
      <c r="I285" t="s">
        <v>5793</v>
      </c>
      <c r="J285" t="s">
        <v>6852</v>
      </c>
      <c r="K285" t="s">
        <v>2223</v>
      </c>
      <c r="L285" t="s">
        <v>6853</v>
      </c>
    </row>
    <row r="286" spans="1:12" x14ac:dyDescent="0.2">
      <c r="A286" t="s">
        <v>1302</v>
      </c>
      <c r="B286" t="s">
        <v>1303</v>
      </c>
      <c r="C286" t="s">
        <v>60</v>
      </c>
      <c r="D286" t="s">
        <v>1302</v>
      </c>
      <c r="E286" t="str">
        <f>HYPERLINK("/pdf/2024_10.1145_3639821_TROP__TRust-aware_OPportunistic_Routing_in_NoC_with_Hardware_Trojans.pdf","open")</f>
        <v>open</v>
      </c>
      <c r="F286" t="s">
        <v>148</v>
      </c>
      <c r="G286" t="s">
        <v>148</v>
      </c>
      <c r="H286" t="s">
        <v>6854</v>
      </c>
      <c r="I286" t="s">
        <v>2223</v>
      </c>
      <c r="J286" t="s">
        <v>148</v>
      </c>
      <c r="K286" t="s">
        <v>2223</v>
      </c>
      <c r="L286" t="s">
        <v>148</v>
      </c>
    </row>
    <row r="287" spans="1:12" x14ac:dyDescent="0.2">
      <c r="A287" t="s">
        <v>1305</v>
      </c>
      <c r="B287" t="s">
        <v>1306</v>
      </c>
      <c r="C287" t="s">
        <v>19</v>
      </c>
      <c r="D287" t="s">
        <v>1307</v>
      </c>
      <c r="E287" t="str">
        <f>HYPERLINK("/pdf/2025_10.1109_iciccs65191.2025.10984918_Enhancing_Digital_Forensics_Security_Involves_the_Implementation_of_a_Robust_Storage_Framework_that_Employs_AE.pdf","open")</f>
        <v>open</v>
      </c>
      <c r="F287" t="s">
        <v>6855</v>
      </c>
      <c r="G287" t="s">
        <v>6856</v>
      </c>
      <c r="H287" t="s">
        <v>6857</v>
      </c>
      <c r="I287" t="s">
        <v>2223</v>
      </c>
      <c r="J287" t="s">
        <v>148</v>
      </c>
      <c r="K287" t="s">
        <v>2223</v>
      </c>
      <c r="L287" t="s">
        <v>148</v>
      </c>
    </row>
    <row r="288" spans="1:12" x14ac:dyDescent="0.2">
      <c r="A288" t="s">
        <v>1309</v>
      </c>
      <c r="B288" t="s">
        <v>719</v>
      </c>
      <c r="C288" t="s">
        <v>25</v>
      </c>
      <c r="D288" t="s">
        <v>721</v>
      </c>
      <c r="E288" t="str">
        <f>HYPERLINK("/pdf/2023_10.1109_ispa-bdcloud-socialcom-sustaincom59178.2023.00094_PE-FedAvg__A_Privacy-Enhanced_Federated_Learning_for_Distributed_Android_Malware_Detection.pdf","open")</f>
        <v>open</v>
      </c>
      <c r="F288" t="s">
        <v>6858</v>
      </c>
      <c r="G288" t="s">
        <v>6859</v>
      </c>
      <c r="H288" t="s">
        <v>6860</v>
      </c>
      <c r="I288" t="s">
        <v>2223</v>
      </c>
      <c r="J288" t="s">
        <v>148</v>
      </c>
      <c r="K288" t="s">
        <v>2223</v>
      </c>
      <c r="L288" t="s">
        <v>6861</v>
      </c>
    </row>
    <row r="289" spans="1:12" x14ac:dyDescent="0.2">
      <c r="A289" t="s">
        <v>1312</v>
      </c>
      <c r="B289" t="s">
        <v>1313</v>
      </c>
      <c r="C289" t="s">
        <v>19</v>
      </c>
      <c r="D289" t="s">
        <v>1315</v>
      </c>
      <c r="E289" t="str">
        <f>HYPERLINK("/pdf/2025_10.1109_qpain66474.2025.11171834_Analyzing_Threats_in_Public_Wi-Fi__A_Study_of_Attack_Vectors,_Vulnerability_and_User_Awareness.pdf","open")</f>
        <v>open</v>
      </c>
      <c r="F289" t="s">
        <v>148</v>
      </c>
      <c r="G289" t="s">
        <v>148</v>
      </c>
      <c r="H289" t="s">
        <v>6862</v>
      </c>
      <c r="I289" t="s">
        <v>2223</v>
      </c>
      <c r="J289" t="s">
        <v>6863</v>
      </c>
      <c r="K289" t="s">
        <v>2223</v>
      </c>
      <c r="L289" t="s">
        <v>6864</v>
      </c>
    </row>
    <row r="290" spans="1:12" x14ac:dyDescent="0.2">
      <c r="B290" t="s">
        <v>1317</v>
      </c>
      <c r="C290" t="s">
        <v>36</v>
      </c>
      <c r="D290" t="s">
        <v>148</v>
      </c>
      <c r="E290" t="str">
        <f>HYPERLINK("/pdf/2021_10_1109_csr51186_2021_9527960_understanding_and_mitigating_banking_trojans_from_zeus_to_emotet.pdf","open")</f>
        <v>open</v>
      </c>
      <c r="F290" t="s">
        <v>6865</v>
      </c>
      <c r="G290" t="s">
        <v>6866</v>
      </c>
      <c r="H290" t="s">
        <v>6867</v>
      </c>
      <c r="I290" t="s">
        <v>2223</v>
      </c>
      <c r="J290" t="s">
        <v>6868</v>
      </c>
      <c r="K290" t="s">
        <v>957</v>
      </c>
      <c r="L290" t="s">
        <v>6869</v>
      </c>
    </row>
    <row r="291" spans="1:12" x14ac:dyDescent="0.2">
      <c r="A291" t="s">
        <v>1320</v>
      </c>
      <c r="B291" t="s">
        <v>1321</v>
      </c>
      <c r="C291" t="s">
        <v>19</v>
      </c>
      <c r="D291" t="s">
        <v>1323</v>
      </c>
      <c r="E291" t="str">
        <f>HYPERLINK("/pdf/2025_10.1109_icoeca66273.2025.00049_Simulation,_Prevention_and_Mitigation_of_Ransomware,_DDOS_and_Advanced_Persistent_Threats.pdf","open")</f>
        <v>open</v>
      </c>
      <c r="F291" t="s">
        <v>6870</v>
      </c>
      <c r="G291" t="s">
        <v>148</v>
      </c>
      <c r="H291" t="s">
        <v>6871</v>
      </c>
      <c r="I291" t="s">
        <v>2223</v>
      </c>
      <c r="J291" t="s">
        <v>6872</v>
      </c>
      <c r="K291" t="s">
        <v>2223</v>
      </c>
      <c r="L291" t="s">
        <v>6873</v>
      </c>
    </row>
    <row r="292" spans="1:12" x14ac:dyDescent="0.2">
      <c r="A292" t="s">
        <v>1325</v>
      </c>
      <c r="B292" t="s">
        <v>1326</v>
      </c>
      <c r="C292" t="s">
        <v>19</v>
      </c>
      <c r="D292" t="s">
        <v>1328</v>
      </c>
      <c r="E292" t="str">
        <f>HYPERLINK("/pdf/2025_10_3390_jcp5040095_ai_augmented_soc_a_survey_of_llms_and_agents_for_security_automation.pdf","open")</f>
        <v>open</v>
      </c>
      <c r="F292" t="s">
        <v>6874</v>
      </c>
      <c r="G292" t="s">
        <v>6875</v>
      </c>
      <c r="H292" t="s">
        <v>6876</v>
      </c>
      <c r="I292" t="s">
        <v>2223</v>
      </c>
      <c r="J292" t="s">
        <v>6877</v>
      </c>
      <c r="K292" t="s">
        <v>957</v>
      </c>
      <c r="L292" t="s">
        <v>6878</v>
      </c>
    </row>
    <row r="293" spans="1:12" x14ac:dyDescent="0.2">
      <c r="A293" t="s">
        <v>1330</v>
      </c>
      <c r="B293" t="s">
        <v>1331</v>
      </c>
      <c r="C293" t="s">
        <v>25</v>
      </c>
      <c r="D293" t="s">
        <v>1333</v>
      </c>
      <c r="E293" t="str">
        <f>HYPERLINK("/pdf/2023_10.1109_icpics58376.2023.10235404_Detection_of_Data_Leakage_Based_on_DNS_Traffic.pdf","open")</f>
        <v>open</v>
      </c>
      <c r="F293" t="s">
        <v>6879</v>
      </c>
      <c r="G293" t="s">
        <v>6880</v>
      </c>
      <c r="H293" t="s">
        <v>6881</v>
      </c>
      <c r="I293" t="s">
        <v>2223</v>
      </c>
      <c r="J293" t="s">
        <v>148</v>
      </c>
      <c r="K293" t="s">
        <v>2223</v>
      </c>
      <c r="L293" t="s">
        <v>148</v>
      </c>
    </row>
    <row r="294" spans="1:12" x14ac:dyDescent="0.2">
      <c r="A294" t="s">
        <v>1335</v>
      </c>
      <c r="B294" t="s">
        <v>1336</v>
      </c>
      <c r="C294" t="s">
        <v>190</v>
      </c>
      <c r="D294" t="s">
        <v>1338</v>
      </c>
      <c r="E294" t="str">
        <f>HYPERLINK("/pdf/2017_10.5220_0006195803800388_Enhancing_accuracy_of_android_malware_detection_using_intent_instrumentation.pdf","open")</f>
        <v>open</v>
      </c>
      <c r="F294" t="s">
        <v>6882</v>
      </c>
      <c r="G294" t="s">
        <v>6883</v>
      </c>
      <c r="H294" t="s">
        <v>6884</v>
      </c>
      <c r="I294" t="s">
        <v>2223</v>
      </c>
      <c r="J294" t="s">
        <v>148</v>
      </c>
      <c r="K294" t="s">
        <v>2998</v>
      </c>
      <c r="L294" t="s">
        <v>6885</v>
      </c>
    </row>
    <row r="295" spans="1:12" x14ac:dyDescent="0.2">
      <c r="A295" t="s">
        <v>1340</v>
      </c>
      <c r="B295" t="s">
        <v>1341</v>
      </c>
      <c r="C295" t="s">
        <v>19</v>
      </c>
      <c r="D295" t="s">
        <v>1343</v>
      </c>
      <c r="E295" t="str">
        <f>HYPERLINK("/pdf/2025_10.1007_978-981-96-2468-3_63_An_Approach_for_Malware_Classification_via_API_Call_Extraction_from_Disassembly_Code.pdf","open")</f>
        <v>open</v>
      </c>
      <c r="F295" t="s">
        <v>6886</v>
      </c>
      <c r="G295" t="s">
        <v>6887</v>
      </c>
      <c r="H295" t="s">
        <v>6888</v>
      </c>
      <c r="I295" t="s">
        <v>2223</v>
      </c>
      <c r="J295" t="s">
        <v>148</v>
      </c>
      <c r="K295" t="s">
        <v>2223</v>
      </c>
      <c r="L295" t="s">
        <v>148</v>
      </c>
    </row>
    <row r="296" spans="1:12" x14ac:dyDescent="0.2">
      <c r="A296" t="s">
        <v>1345</v>
      </c>
      <c r="B296" t="s">
        <v>1346</v>
      </c>
      <c r="C296" t="s">
        <v>12</v>
      </c>
      <c r="D296" t="s">
        <v>1347</v>
      </c>
      <c r="E296" t="str">
        <f>HYPERLINK("/pdf/2018_10_11591_ijece_v8i4_pp2247_2253_a_survey_data_leakage_detection_techniques.pdf","open")</f>
        <v>open</v>
      </c>
      <c r="F296" t="s">
        <v>6889</v>
      </c>
      <c r="G296" t="s">
        <v>6890</v>
      </c>
      <c r="H296" t="s">
        <v>6891</v>
      </c>
      <c r="I296" t="s">
        <v>2223</v>
      </c>
      <c r="J296" t="s">
        <v>148</v>
      </c>
      <c r="K296" t="s">
        <v>2223</v>
      </c>
      <c r="L296" t="s">
        <v>148</v>
      </c>
    </row>
    <row r="297" spans="1:12" x14ac:dyDescent="0.2">
      <c r="A297" t="s">
        <v>1349</v>
      </c>
      <c r="B297" t="s">
        <v>1350</v>
      </c>
      <c r="C297" t="s">
        <v>100</v>
      </c>
      <c r="D297" t="s">
        <v>148</v>
      </c>
      <c r="E297" t="str">
        <f>HYPERLINK("/pdf/2023_10_1109_tdsc_2022_3179698_blockchain_based_transparency_framework_for_privacy_preserving_third_party_services.pdf","open")</f>
        <v>open</v>
      </c>
      <c r="F297" t="s">
        <v>148</v>
      </c>
      <c r="G297" t="s">
        <v>148</v>
      </c>
      <c r="H297" t="s">
        <v>6892</v>
      </c>
      <c r="I297" t="s">
        <v>2223</v>
      </c>
      <c r="J297" t="s">
        <v>6893</v>
      </c>
      <c r="K297" t="s">
        <v>2223</v>
      </c>
      <c r="L297" t="s">
        <v>6894</v>
      </c>
    </row>
    <row r="298" spans="1:12" x14ac:dyDescent="0.2">
      <c r="A298" t="s">
        <v>1352</v>
      </c>
      <c r="B298" t="s">
        <v>79</v>
      </c>
      <c r="C298" t="s">
        <v>19</v>
      </c>
      <c r="D298" t="s">
        <v>81</v>
      </c>
      <c r="E298" t="str">
        <f>HYPERLINK("/pdf/2025_10_26583_sv_17_5_11_performance_comparison_of_various_software_tools_in_photogrammetry_based_digitization_and.pdf","open")</f>
        <v>open</v>
      </c>
      <c r="F298" t="s">
        <v>6895</v>
      </c>
      <c r="G298" t="s">
        <v>6896</v>
      </c>
      <c r="H298" t="s">
        <v>6897</v>
      </c>
      <c r="I298" t="s">
        <v>2223</v>
      </c>
      <c r="J298" t="s">
        <v>148</v>
      </c>
      <c r="K298" t="s">
        <v>2223</v>
      </c>
      <c r="L298" t="s">
        <v>148</v>
      </c>
    </row>
    <row r="299" spans="1:12" x14ac:dyDescent="0.2">
      <c r="A299" t="s">
        <v>1354</v>
      </c>
      <c r="B299" t="s">
        <v>1341</v>
      </c>
      <c r="C299" t="s">
        <v>19</v>
      </c>
      <c r="D299" t="s">
        <v>1343</v>
      </c>
      <c r="E299" t="str">
        <f>HYPERLINK("/pdf/2025_10.1109_idciot64235.2025.10914826_Artificial_Intelligence_to_Enhance_the_Security_of_Internet_of_Things__A_Comprehensive_Review.pdf","open")</f>
        <v>open</v>
      </c>
      <c r="F299" t="s">
        <v>6898</v>
      </c>
      <c r="G299" t="s">
        <v>6899</v>
      </c>
      <c r="H299" t="s">
        <v>6900</v>
      </c>
      <c r="I299" t="s">
        <v>2223</v>
      </c>
      <c r="J299" t="s">
        <v>148</v>
      </c>
      <c r="K299" t="s">
        <v>2223</v>
      </c>
      <c r="L299" t="s">
        <v>148</v>
      </c>
    </row>
    <row r="300" spans="1:12" x14ac:dyDescent="0.2">
      <c r="A300" t="s">
        <v>1357</v>
      </c>
      <c r="B300" t="s">
        <v>1358</v>
      </c>
      <c r="C300" t="s">
        <v>19</v>
      </c>
      <c r="D300" t="s">
        <v>1359</v>
      </c>
      <c r="E300" t="str">
        <f>HYPERLINK("/pdf/2025_10_14445_23488549_ijece_v12i8p111_real_time_intrusion_detection_using_adaptive_sliding_windows_for_concept_drift.pdf","open")</f>
        <v>open</v>
      </c>
      <c r="F300" t="s">
        <v>6901</v>
      </c>
      <c r="G300" t="s">
        <v>6902</v>
      </c>
      <c r="H300" t="s">
        <v>6903</v>
      </c>
      <c r="I300" t="s">
        <v>2998</v>
      </c>
      <c r="J300" t="s">
        <v>6904</v>
      </c>
      <c r="K300" t="s">
        <v>2223</v>
      </c>
      <c r="L300" t="s">
        <v>6905</v>
      </c>
    </row>
    <row r="301" spans="1:12" x14ac:dyDescent="0.2">
      <c r="A301" t="s">
        <v>1361</v>
      </c>
      <c r="B301" t="s">
        <v>1362</v>
      </c>
      <c r="C301" t="s">
        <v>54</v>
      </c>
      <c r="D301" t="s">
        <v>148</v>
      </c>
      <c r="E301" t="str">
        <f>HYPERLINK("/pdf/2020_10_14569_ijacsa_2020_0111183_plusapps_towards_a_privacy_risk_analysis_for_android_plus_applications.pdf","open")</f>
        <v>open</v>
      </c>
      <c r="F301" t="s">
        <v>6906</v>
      </c>
      <c r="G301" t="s">
        <v>148</v>
      </c>
      <c r="H301" t="s">
        <v>6907</v>
      </c>
      <c r="I301" t="s">
        <v>2998</v>
      </c>
      <c r="J301" t="s">
        <v>6908</v>
      </c>
      <c r="K301" t="s">
        <v>2223</v>
      </c>
      <c r="L301" t="s">
        <v>6909</v>
      </c>
    </row>
    <row r="302" spans="1:12" x14ac:dyDescent="0.2">
      <c r="A302" t="s">
        <v>1365</v>
      </c>
      <c r="B302" t="s">
        <v>1366</v>
      </c>
      <c r="C302" t="s">
        <v>60</v>
      </c>
      <c r="D302" t="s">
        <v>1367</v>
      </c>
      <c r="E302" t="str">
        <f>HYPERLINK("/pdf/2024_10.1016_j.neucom.2024.128010_A_review_of_deep_learning_based_malware_detection_techniques.pdf","open")</f>
        <v>open</v>
      </c>
      <c r="F302" t="s">
        <v>6910</v>
      </c>
      <c r="G302" t="s">
        <v>6911</v>
      </c>
      <c r="H302" t="s">
        <v>6912</v>
      </c>
      <c r="I302" t="s">
        <v>957</v>
      </c>
      <c r="J302" t="s">
        <v>6913</v>
      </c>
      <c r="K302" t="s">
        <v>5793</v>
      </c>
      <c r="L302" t="s">
        <v>6914</v>
      </c>
    </row>
    <row r="303" spans="1:12" x14ac:dyDescent="0.2">
      <c r="A303" t="s">
        <v>1369</v>
      </c>
      <c r="B303" t="s">
        <v>1370</v>
      </c>
      <c r="C303" t="s">
        <v>19</v>
      </c>
      <c r="D303" t="s">
        <v>1371</v>
      </c>
      <c r="E303" t="str">
        <f>HYPERLINK("/pdf/2025_10.1007_s13198-025-03002-0_Artificial_intelligence_big_data_optimization_and_network_security_promote_rural_infrastructure_investment_dec.pdf","open")</f>
        <v>open</v>
      </c>
      <c r="F303" t="s">
        <v>148</v>
      </c>
      <c r="G303" t="s">
        <v>6915</v>
      </c>
      <c r="H303" t="s">
        <v>6916</v>
      </c>
      <c r="I303" t="s">
        <v>2223</v>
      </c>
      <c r="J303" t="s">
        <v>148</v>
      </c>
      <c r="K303" t="s">
        <v>2223</v>
      </c>
      <c r="L303" t="s">
        <v>148</v>
      </c>
    </row>
    <row r="304" spans="1:12" x14ac:dyDescent="0.2">
      <c r="A304" t="s">
        <v>1373</v>
      </c>
      <c r="B304" t="s">
        <v>1374</v>
      </c>
      <c r="C304" t="s">
        <v>19</v>
      </c>
      <c r="D304" t="s">
        <v>1376</v>
      </c>
      <c r="E304" t="str">
        <f>HYPERLINK("/pdf/2025_10.1109_dapic66097.2025.00172_Design_of_Artificial_Intelligence_Aided_Network_Intrusion_Detection_System_for_Critical_Infrastructure.pdf.pdf","open")</f>
        <v>open</v>
      </c>
      <c r="F304" t="s">
        <v>6917</v>
      </c>
      <c r="G304" t="s">
        <v>6918</v>
      </c>
      <c r="H304" t="s">
        <v>6919</v>
      </c>
      <c r="I304" t="s">
        <v>2223</v>
      </c>
      <c r="J304" t="s">
        <v>6920</v>
      </c>
      <c r="K304" t="s">
        <v>2223</v>
      </c>
      <c r="L304" t="s">
        <v>6921</v>
      </c>
    </row>
    <row r="305" spans="1:12" x14ac:dyDescent="0.2">
      <c r="A305" t="s">
        <v>1378</v>
      </c>
      <c r="B305" t="s">
        <v>1379</v>
      </c>
      <c r="C305" t="s">
        <v>60</v>
      </c>
      <c r="D305" t="s">
        <v>148</v>
      </c>
      <c r="E305" t="str">
        <f>HYPERLINK("/pdf/2024_10_14569_ijacsa_2024_0150281_prominent_security_vulnerabilities_in_cloud_computing.pdf","open")</f>
        <v>open</v>
      </c>
      <c r="F305" t="s">
        <v>6922</v>
      </c>
      <c r="G305" t="s">
        <v>6923</v>
      </c>
      <c r="H305" t="s">
        <v>6924</v>
      </c>
      <c r="I305" t="s">
        <v>2223</v>
      </c>
      <c r="J305" t="s">
        <v>148</v>
      </c>
      <c r="K305" t="s">
        <v>2223</v>
      </c>
      <c r="L305" t="s">
        <v>148</v>
      </c>
    </row>
    <row r="306" spans="1:12" x14ac:dyDescent="0.2">
      <c r="A306" t="s">
        <v>1381</v>
      </c>
      <c r="B306" t="s">
        <v>1382</v>
      </c>
      <c r="C306" t="s">
        <v>36</v>
      </c>
      <c r="D306" t="s">
        <v>1384</v>
      </c>
      <c r="E306" t="str">
        <f>HYPERLINK("/pdf/2021_10.1109_icsc53193.2021.9673380_Detection_of_Tunneling_in_DNS_over_HTTPS.pdf","open")</f>
        <v>open</v>
      </c>
      <c r="F306" t="s">
        <v>6925</v>
      </c>
      <c r="G306" t="s">
        <v>6926</v>
      </c>
      <c r="H306" t="s">
        <v>6927</v>
      </c>
      <c r="I306" t="s">
        <v>2223</v>
      </c>
      <c r="J306" t="s">
        <v>148</v>
      </c>
      <c r="K306" t="s">
        <v>2223</v>
      </c>
      <c r="L306" t="s">
        <v>148</v>
      </c>
    </row>
    <row r="307" spans="1:12" x14ac:dyDescent="0.2">
      <c r="A307" t="s">
        <v>1386</v>
      </c>
      <c r="B307" t="s">
        <v>1387</v>
      </c>
      <c r="C307" t="s">
        <v>100</v>
      </c>
      <c r="D307" t="s">
        <v>1389</v>
      </c>
      <c r="E307" t="str">
        <f>HYPERLINK("/pdf/2022_10.1109_icecet55527.2022.9872999_Data_Privacy_on_using_Four_Models-_A_Review.pdf","open")</f>
        <v>open</v>
      </c>
      <c r="F307" t="s">
        <v>6928</v>
      </c>
      <c r="G307" t="s">
        <v>6929</v>
      </c>
      <c r="H307" t="s">
        <v>6930</v>
      </c>
      <c r="I307" t="s">
        <v>2223</v>
      </c>
      <c r="J307" t="s">
        <v>148</v>
      </c>
      <c r="K307" t="s">
        <v>2223</v>
      </c>
      <c r="L307" t="s">
        <v>148</v>
      </c>
    </row>
    <row r="308" spans="1:12" x14ac:dyDescent="0.2">
      <c r="A308" t="s">
        <v>1391</v>
      </c>
      <c r="B308" t="s">
        <v>1392</v>
      </c>
      <c r="C308" t="s">
        <v>156</v>
      </c>
      <c r="D308" t="s">
        <v>148</v>
      </c>
      <c r="E308" t="str">
        <f>HYPERLINK("/pdf/2013_10.1109_ijcnn.2013.6706768_Concept_drift_detection_for_online_class_imbalance_learning.pdf","open")</f>
        <v>open</v>
      </c>
      <c r="F308" t="s">
        <v>6931</v>
      </c>
      <c r="G308" t="s">
        <v>6932</v>
      </c>
      <c r="H308" t="s">
        <v>6933</v>
      </c>
      <c r="I308" t="s">
        <v>2998</v>
      </c>
      <c r="J308" t="s">
        <v>6934</v>
      </c>
      <c r="K308" t="s">
        <v>2223</v>
      </c>
      <c r="L308" t="s">
        <v>6935</v>
      </c>
    </row>
    <row r="309" spans="1:12" x14ac:dyDescent="0.2">
      <c r="A309" t="s">
        <v>1394</v>
      </c>
      <c r="B309" t="s">
        <v>1395</v>
      </c>
      <c r="C309" t="s">
        <v>19</v>
      </c>
      <c r="D309" t="s">
        <v>1397</v>
      </c>
      <c r="E309" t="str">
        <f>HYPERLINK("/pdf/2025_10.1016_j.csa.2025.100098_Leveraging_federated_learning_for_DoS_attack_detection_in_IoT_networks_based_on_ensemble_feature_selection_and.pdf","open")</f>
        <v>open</v>
      </c>
      <c r="F309" t="s">
        <v>6936</v>
      </c>
      <c r="G309" t="s">
        <v>6937</v>
      </c>
      <c r="H309" t="s">
        <v>6938</v>
      </c>
      <c r="I309" t="s">
        <v>2223</v>
      </c>
      <c r="J309" t="s">
        <v>6939</v>
      </c>
      <c r="K309" t="s">
        <v>2223</v>
      </c>
      <c r="L309" t="s">
        <v>6940</v>
      </c>
    </row>
    <row r="310" spans="1:12" x14ac:dyDescent="0.2">
      <c r="A310" t="s">
        <v>1399</v>
      </c>
      <c r="B310" t="s">
        <v>1400</v>
      </c>
      <c r="C310" t="s">
        <v>48</v>
      </c>
      <c r="D310" t="s">
        <v>1401</v>
      </c>
      <c r="E310" t="str">
        <f>HYPERLINK("/pdf/2026_10.32604_cmc.2025.069102_LightweightMulti-Agent_edge_framework_for_cybersecurity_and_resource_optimization_inmobile_sensor_networks.pdf","open")</f>
        <v>open</v>
      </c>
      <c r="F310" t="s">
        <v>6941</v>
      </c>
      <c r="G310" t="s">
        <v>6942</v>
      </c>
      <c r="H310" t="s">
        <v>6943</v>
      </c>
      <c r="I310" t="s">
        <v>2223</v>
      </c>
      <c r="J310" t="s">
        <v>6944</v>
      </c>
      <c r="K310" t="s">
        <v>2998</v>
      </c>
      <c r="L310" t="s">
        <v>6945</v>
      </c>
    </row>
    <row r="311" spans="1:12" x14ac:dyDescent="0.2">
      <c r="A311" t="s">
        <v>1403</v>
      </c>
      <c r="B311" t="s">
        <v>1350</v>
      </c>
      <c r="C311" t="s">
        <v>100</v>
      </c>
      <c r="D311" t="s">
        <v>148</v>
      </c>
      <c r="E311" t="str">
        <f>HYPERLINK("/pdf/2023_10_1109_tdsc_2022_3179698_blockchain_based_transparency_framework_for_privacy_preserving_third_party_servi.pdf","open")</f>
        <v>open</v>
      </c>
      <c r="F311" t="s">
        <v>6946</v>
      </c>
      <c r="G311" t="s">
        <v>148</v>
      </c>
      <c r="H311" t="s">
        <v>6947</v>
      </c>
      <c r="I311" t="s">
        <v>2223</v>
      </c>
      <c r="J311" t="s">
        <v>6948</v>
      </c>
      <c r="K311" t="s">
        <v>2223</v>
      </c>
      <c r="L311" t="s">
        <v>6949</v>
      </c>
    </row>
    <row r="312" spans="1:12" x14ac:dyDescent="0.2">
      <c r="A312" t="s">
        <v>1405</v>
      </c>
      <c r="B312" t="s">
        <v>1406</v>
      </c>
      <c r="C312" t="s">
        <v>19</v>
      </c>
      <c r="D312" t="s">
        <v>1408</v>
      </c>
      <c r="E312" t="str">
        <f>HYPERLINK("/pdf/2025_10.18196_jrc.v6i1.24529_A_Customized_Temporal_Federated_Learning_Through_Adversarial_Networks_for_Cyber_Attack_Detection_in_IoT.pdf","open")</f>
        <v>open</v>
      </c>
      <c r="F312" t="s">
        <v>6950</v>
      </c>
      <c r="G312" t="s">
        <v>6951</v>
      </c>
      <c r="H312" t="s">
        <v>6952</v>
      </c>
      <c r="I312" t="s">
        <v>957</v>
      </c>
      <c r="J312" t="s">
        <v>6953</v>
      </c>
      <c r="K312" t="s">
        <v>2223</v>
      </c>
      <c r="L312" t="s">
        <v>6954</v>
      </c>
    </row>
    <row r="313" spans="1:12" x14ac:dyDescent="0.2">
      <c r="A313" t="s">
        <v>1410</v>
      </c>
      <c r="B313" t="s">
        <v>1411</v>
      </c>
      <c r="C313" t="s">
        <v>12</v>
      </c>
      <c r="D313" t="s">
        <v>1412</v>
      </c>
      <c r="E313" t="str">
        <f>HYPERLINK("/pdf/2018_10_1109_noms_2018_8406153_generation_of_sdn_policies_for_protecting_android_environments_based_on_automata_learning.pdf","open")</f>
        <v>open</v>
      </c>
      <c r="F313" t="s">
        <v>6955</v>
      </c>
      <c r="G313" t="s">
        <v>6956</v>
      </c>
      <c r="H313" t="s">
        <v>6957</v>
      </c>
      <c r="I313" t="s">
        <v>2223</v>
      </c>
      <c r="J313" t="s">
        <v>6958</v>
      </c>
      <c r="K313" t="s">
        <v>2998</v>
      </c>
      <c r="L313" t="s">
        <v>6959</v>
      </c>
    </row>
    <row r="314" spans="1:12" x14ac:dyDescent="0.2">
      <c r="A314" t="s">
        <v>1414</v>
      </c>
      <c r="B314" t="s">
        <v>1415</v>
      </c>
      <c r="C314" t="s">
        <v>60</v>
      </c>
      <c r="D314" t="s">
        <v>1417</v>
      </c>
      <c r="E314" t="str">
        <f>HYPERLINK("/pdf/2024_10.17770_etr2024vol2.8045_Data_Leakage_Prevention_and_Detection_in_Digital_Configurations__А_Survey.pdf","open")</f>
        <v>open</v>
      </c>
      <c r="F314" t="s">
        <v>6960</v>
      </c>
      <c r="G314" t="s">
        <v>6961</v>
      </c>
      <c r="H314" t="s">
        <v>6962</v>
      </c>
      <c r="I314" t="s">
        <v>2223</v>
      </c>
      <c r="J314" t="s">
        <v>148</v>
      </c>
      <c r="K314" t="s">
        <v>2223</v>
      </c>
      <c r="L314" t="s">
        <v>148</v>
      </c>
    </row>
    <row r="315" spans="1:12" x14ac:dyDescent="0.2">
      <c r="A315" t="s">
        <v>1419</v>
      </c>
      <c r="B315" t="s">
        <v>1420</v>
      </c>
      <c r="C315" t="s">
        <v>48</v>
      </c>
      <c r="D315" t="s">
        <v>1422</v>
      </c>
      <c r="E315" t="str">
        <f>HYPERLINK("/pdf/2026_10.1109_emr.2026.3661608_Cognitive_Security_Risks_and_Countermeasures_of_Generative_Artificial_Intelligence_in_Education_Management.pdf","open")</f>
        <v>open</v>
      </c>
      <c r="F315" t="s">
        <v>6963</v>
      </c>
      <c r="G315" t="s">
        <v>6964</v>
      </c>
      <c r="H315" t="s">
        <v>6965</v>
      </c>
      <c r="I315" t="s">
        <v>2223</v>
      </c>
      <c r="J315" t="s">
        <v>148</v>
      </c>
      <c r="K315" t="s">
        <v>2223</v>
      </c>
      <c r="L315" t="s">
        <v>148</v>
      </c>
    </row>
    <row r="316" spans="1:12" x14ac:dyDescent="0.2">
      <c r="A316" t="s">
        <v>998</v>
      </c>
      <c r="B316" t="s">
        <v>999</v>
      </c>
      <c r="C316" t="s">
        <v>19</v>
      </c>
      <c r="D316" t="s">
        <v>1424</v>
      </c>
      <c r="E316" t="str">
        <f>HYPERLINK("/pdf/2025_10_1038_s41598_025_89794_4_revolutionary_hybrid_ensembled_deep_learning_model_for_accurate_and_robust_side_channel_at.pdf","open")</f>
        <v>open</v>
      </c>
      <c r="F316" t="s">
        <v>6966</v>
      </c>
      <c r="G316" t="s">
        <v>6967</v>
      </c>
      <c r="H316" t="s">
        <v>6968</v>
      </c>
      <c r="I316" t="s">
        <v>2998</v>
      </c>
      <c r="J316" t="s">
        <v>6969</v>
      </c>
      <c r="K316" t="s">
        <v>2223</v>
      </c>
      <c r="L316" t="s">
        <v>6970</v>
      </c>
    </row>
    <row r="317" spans="1:12" x14ac:dyDescent="0.2">
      <c r="A317" t="s">
        <v>1426</v>
      </c>
      <c r="B317" t="s">
        <v>1427</v>
      </c>
      <c r="C317" t="s">
        <v>25</v>
      </c>
      <c r="D317" t="s">
        <v>1429</v>
      </c>
      <c r="E317" t="str">
        <f>HYPERLINK("/pdf/2023_10.1109_powercon58120.2023.10331301_Risk_Model_and_Defense_Strategy_for_Operation_and_Maintenance_of_Remote_Terminal_Units_in_Distribution_System.pdf","open")</f>
        <v>open</v>
      </c>
      <c r="F317" t="s">
        <v>6971</v>
      </c>
      <c r="G317" t="s">
        <v>6972</v>
      </c>
      <c r="H317" t="s">
        <v>6973</v>
      </c>
      <c r="I317" t="s">
        <v>2223</v>
      </c>
      <c r="J317" t="s">
        <v>148</v>
      </c>
      <c r="K317" t="s">
        <v>2223</v>
      </c>
      <c r="L317" t="s">
        <v>148</v>
      </c>
    </row>
    <row r="318" spans="1:12" x14ac:dyDescent="0.2">
      <c r="A318" t="s">
        <v>1431</v>
      </c>
      <c r="B318" t="s">
        <v>1432</v>
      </c>
      <c r="C318" t="s">
        <v>19</v>
      </c>
      <c r="D318" t="s">
        <v>1434</v>
      </c>
      <c r="E318" t="str">
        <f>HYPERLINK("/pdf/2025_10.1109_aiotc66747.2025.11198781_Controller_Area_Network_Bus_Intrusion_Detection_Classification_Model_Based_on_Multimodal_Fusion_Mechanism.pdf","open")</f>
        <v>open</v>
      </c>
      <c r="F318" t="s">
        <v>6974</v>
      </c>
      <c r="G318" t="s">
        <v>6975</v>
      </c>
      <c r="H318" t="s">
        <v>6976</v>
      </c>
      <c r="I318" t="s">
        <v>2223</v>
      </c>
      <c r="J318" t="s">
        <v>148</v>
      </c>
      <c r="K318" t="s">
        <v>2223</v>
      </c>
      <c r="L318" t="s">
        <v>148</v>
      </c>
    </row>
    <row r="319" spans="1:12" x14ac:dyDescent="0.2">
      <c r="A319" t="s">
        <v>1436</v>
      </c>
      <c r="B319" t="s">
        <v>1437</v>
      </c>
      <c r="C319" t="s">
        <v>19</v>
      </c>
      <c r="D319" t="s">
        <v>1436</v>
      </c>
      <c r="E319" t="str">
        <f>HYPERLINK("/pdf/2025_10.1109_iceic64972.2025.10879716_A_Study_on_the_Evaluation_of_Cyber_Security_Vulnerabilities_in_Medical_Software.pdf","open")</f>
        <v>open</v>
      </c>
      <c r="F319" t="s">
        <v>6977</v>
      </c>
      <c r="G319" t="s">
        <v>6978</v>
      </c>
      <c r="H319" t="s">
        <v>6979</v>
      </c>
      <c r="I319" t="s">
        <v>2223</v>
      </c>
      <c r="J319" t="s">
        <v>148</v>
      </c>
      <c r="K319" t="s">
        <v>2223</v>
      </c>
      <c r="L319" t="s">
        <v>148</v>
      </c>
    </row>
    <row r="320" spans="1:12" x14ac:dyDescent="0.2">
      <c r="A320" t="s">
        <v>1440</v>
      </c>
      <c r="B320" t="s">
        <v>1441</v>
      </c>
      <c r="C320" t="s">
        <v>19</v>
      </c>
      <c r="D320" t="s">
        <v>1443</v>
      </c>
      <c r="E320" t="str">
        <f>HYPERLINK("/pdf/2025_10.1007_s10489-025-06417-1_A_reinforcement_learning_malware_detection_model_based_on_heterogeneous_information_network_path_representatio.pdf","open")</f>
        <v>open</v>
      </c>
      <c r="F320" t="s">
        <v>6980</v>
      </c>
      <c r="G320" t="s">
        <v>6981</v>
      </c>
      <c r="H320" t="s">
        <v>6982</v>
      </c>
      <c r="I320" t="s">
        <v>2998</v>
      </c>
      <c r="J320" t="s">
        <v>6983</v>
      </c>
      <c r="K320" t="s">
        <v>957</v>
      </c>
      <c r="L320" t="s">
        <v>6984</v>
      </c>
    </row>
    <row r="321" spans="1:12" x14ac:dyDescent="0.2">
      <c r="A321" t="s">
        <v>1445</v>
      </c>
      <c r="B321" t="s">
        <v>1446</v>
      </c>
      <c r="C321" t="s">
        <v>25</v>
      </c>
      <c r="D321" t="s">
        <v>1448</v>
      </c>
      <c r="E321" t="str">
        <f>HYPERLINK("/pdf/2023_10.1109_icecs58634.2023.10382763_FPGA_Based_Intelligent_Hardware_Trojan_Design_and_its_SoC_Implementation.pdf","open")</f>
        <v>open</v>
      </c>
      <c r="F321" t="s">
        <v>148</v>
      </c>
      <c r="G321" t="s">
        <v>148</v>
      </c>
      <c r="H321" t="s">
        <v>6985</v>
      </c>
      <c r="I321" t="s">
        <v>2223</v>
      </c>
      <c r="J321" t="s">
        <v>6986</v>
      </c>
      <c r="K321" t="s">
        <v>2223</v>
      </c>
      <c r="L321" t="s">
        <v>6987</v>
      </c>
    </row>
    <row r="322" spans="1:12" x14ac:dyDescent="0.2">
      <c r="A322" t="s">
        <v>1450</v>
      </c>
      <c r="B322" t="s">
        <v>1451</v>
      </c>
      <c r="C322" t="s">
        <v>60</v>
      </c>
      <c r="D322" t="s">
        <v>1453</v>
      </c>
      <c r="E322" t="str">
        <f>HYPERLINK("/pdf/2024_10.1109_peeec63877.2024.00092_Research_and_Implementation_of_Intelligent_Security_Protection_Algorithm_for_5G_Communication.pdf","open")</f>
        <v>open</v>
      </c>
      <c r="F322" t="s">
        <v>6988</v>
      </c>
      <c r="G322" t="s">
        <v>6989</v>
      </c>
      <c r="H322" t="s">
        <v>6990</v>
      </c>
      <c r="I322" t="s">
        <v>2223</v>
      </c>
      <c r="J322" t="s">
        <v>6991</v>
      </c>
      <c r="K322" t="s">
        <v>2223</v>
      </c>
      <c r="L322" t="s">
        <v>6992</v>
      </c>
    </row>
    <row r="323" spans="1:12" x14ac:dyDescent="0.2">
      <c r="A323" t="s">
        <v>1455</v>
      </c>
      <c r="B323" t="s">
        <v>743</v>
      </c>
      <c r="C323" t="s">
        <v>60</v>
      </c>
      <c r="D323" t="s">
        <v>148</v>
      </c>
      <c r="E323" t="str">
        <f>HYPERLINK("/pdf/2024_10.19363_j.cnki.cn10-1380_tn.2024.01.06_Web_Attack_Detection_Method_Based_on_Stacking_Fusion_Model;_基于_Stacking_融合模型的_Web_攻击检测方法.pdf","open")</f>
        <v>open</v>
      </c>
      <c r="F323" t="s">
        <v>6993</v>
      </c>
      <c r="G323" t="s">
        <v>6994</v>
      </c>
      <c r="H323" t="s">
        <v>6995</v>
      </c>
      <c r="I323" t="s">
        <v>2223</v>
      </c>
      <c r="J323" t="s">
        <v>148</v>
      </c>
      <c r="K323" t="s">
        <v>2223</v>
      </c>
      <c r="L323" t="s">
        <v>148</v>
      </c>
    </row>
    <row r="324" spans="1:12" x14ac:dyDescent="0.2">
      <c r="A324" t="s">
        <v>1457</v>
      </c>
      <c r="B324" t="s">
        <v>1458</v>
      </c>
      <c r="C324" t="s">
        <v>19</v>
      </c>
      <c r="D324" t="s">
        <v>1460</v>
      </c>
      <c r="E324" t="str">
        <f>HYPERLINK("/pdf/2025_10.1109_ijcnn64981.2025.11228082_An_Integrated_Approach_to_Mitigate_Poisoning_Attacks_in_Federated_Learning_Frameworks.pdf","open")</f>
        <v>open</v>
      </c>
      <c r="F324" t="s">
        <v>6996</v>
      </c>
      <c r="G324" t="s">
        <v>148</v>
      </c>
      <c r="H324" t="s">
        <v>6997</v>
      </c>
      <c r="I324" t="s">
        <v>2223</v>
      </c>
      <c r="J324" t="s">
        <v>6998</v>
      </c>
      <c r="K324" t="s">
        <v>2223</v>
      </c>
      <c r="L324" t="s">
        <v>6999</v>
      </c>
    </row>
    <row r="325" spans="1:12" x14ac:dyDescent="0.2">
      <c r="A325" t="s">
        <v>1462</v>
      </c>
      <c r="B325" t="s">
        <v>1463</v>
      </c>
      <c r="C325" t="s">
        <v>136</v>
      </c>
      <c r="D325" t="s">
        <v>148</v>
      </c>
      <c r="E325" t="str">
        <f>HYPERLINK("/pdf/2020_10.1007_978-3-030-15160-7_68_Information_Security_of_Mobile_Systems.pdf","open")</f>
        <v>open</v>
      </c>
      <c r="F325" t="s">
        <v>7000</v>
      </c>
      <c r="G325" t="s">
        <v>7001</v>
      </c>
      <c r="H325" t="s">
        <v>7002</v>
      </c>
      <c r="I325" t="s">
        <v>2223</v>
      </c>
      <c r="J325" t="s">
        <v>7003</v>
      </c>
      <c r="K325" t="s">
        <v>2223</v>
      </c>
      <c r="L325" t="s">
        <v>7004</v>
      </c>
    </row>
    <row r="326" spans="1:12" x14ac:dyDescent="0.2">
      <c r="A326" t="s">
        <v>1465</v>
      </c>
      <c r="B326" t="s">
        <v>1466</v>
      </c>
      <c r="C326" t="s">
        <v>25</v>
      </c>
      <c r="D326" t="s">
        <v>1468</v>
      </c>
      <c r="E326" t="str">
        <f>HYPERLINK("/pdf/2023_10.1109_icodsa58501.2023.10276974_Public_Awareness_of_Phishing_in_Indonesia__System_Literature_Review.pdf","open")</f>
        <v>open</v>
      </c>
      <c r="F326" t="s">
        <v>7005</v>
      </c>
      <c r="G326" t="s">
        <v>7006</v>
      </c>
      <c r="H326" t="s">
        <v>7007</v>
      </c>
      <c r="I326" t="s">
        <v>2223</v>
      </c>
      <c r="J326" t="s">
        <v>7008</v>
      </c>
      <c r="K326" t="s">
        <v>2223</v>
      </c>
      <c r="L326" t="s">
        <v>7009</v>
      </c>
    </row>
    <row r="327" spans="1:12" x14ac:dyDescent="0.2">
      <c r="A327" t="s">
        <v>1470</v>
      </c>
      <c r="B327" t="s">
        <v>779</v>
      </c>
      <c r="C327" t="s">
        <v>60</v>
      </c>
      <c r="D327" t="s">
        <v>778</v>
      </c>
      <c r="E327" t="str">
        <f>HYPERLINK("/pdf/2024_10_20473_mi_v7i3_55931_data_leakage_of_the_indonesian_elections_commission_in_legal_aspects_of_personal_data_prot.pdf","open")</f>
        <v>open</v>
      </c>
      <c r="F327" t="s">
        <v>7010</v>
      </c>
      <c r="G327" t="s">
        <v>7011</v>
      </c>
      <c r="H327" t="s">
        <v>7012</v>
      </c>
      <c r="I327" t="s">
        <v>2223</v>
      </c>
      <c r="J327" t="s">
        <v>148</v>
      </c>
      <c r="K327" t="s">
        <v>2223</v>
      </c>
      <c r="L327" t="s">
        <v>148</v>
      </c>
    </row>
    <row r="328" spans="1:12" x14ac:dyDescent="0.2">
      <c r="A328" t="s">
        <v>1472</v>
      </c>
      <c r="B328" t="s">
        <v>1222</v>
      </c>
      <c r="C328" t="s">
        <v>25</v>
      </c>
      <c r="D328" t="s">
        <v>1224</v>
      </c>
      <c r="E328" t="str">
        <f>HYPERLINK("/pdf/2023_10_1109_fmec59375_2023_10305886_an_overview_of_using_of_artificial_intelligence_in_enhancing_security_and_privacy_in_mobil.pdf","open")</f>
        <v>open</v>
      </c>
      <c r="F328" t="s">
        <v>7013</v>
      </c>
      <c r="G328" t="s">
        <v>7014</v>
      </c>
      <c r="H328" t="s">
        <v>7015</v>
      </c>
      <c r="I328" t="s">
        <v>2223</v>
      </c>
      <c r="J328" t="s">
        <v>148</v>
      </c>
      <c r="K328" t="s">
        <v>2223</v>
      </c>
      <c r="L328" t="s">
        <v>148</v>
      </c>
    </row>
    <row r="329" spans="1:12" x14ac:dyDescent="0.2">
      <c r="A329" t="s">
        <v>1475</v>
      </c>
      <c r="B329" t="s">
        <v>1476</v>
      </c>
      <c r="C329" t="s">
        <v>19</v>
      </c>
      <c r="D329" t="s">
        <v>1477</v>
      </c>
      <c r="E329" t="str">
        <f>HYPERLINK("/pdf/2025_10_1007_s10207_025_01044_w_a_survey_on_malware_attacks_in_industrial_air_gap_systems.pdf","open")</f>
        <v>open</v>
      </c>
      <c r="F329" t="s">
        <v>7016</v>
      </c>
      <c r="G329" t="s">
        <v>7017</v>
      </c>
      <c r="H329" t="s">
        <v>7018</v>
      </c>
      <c r="I329" t="s">
        <v>2223</v>
      </c>
      <c r="J329" t="s">
        <v>7019</v>
      </c>
      <c r="K329" t="s">
        <v>2223</v>
      </c>
      <c r="L329" t="s">
        <v>7020</v>
      </c>
    </row>
    <row r="330" spans="1:12" x14ac:dyDescent="0.2">
      <c r="A330" t="s">
        <v>1479</v>
      </c>
      <c r="B330" t="s">
        <v>1480</v>
      </c>
      <c r="C330" t="s">
        <v>60</v>
      </c>
      <c r="D330" t="s">
        <v>1481</v>
      </c>
      <c r="E330" t="str">
        <f>HYPERLINK("/pdf/2024_10_3390_jcp4040039_enhancing_cybersecurity_through_comprehensive_investigation_of_data_flow_based_attack_scen.pdf","open")</f>
        <v>open</v>
      </c>
      <c r="F330" t="s">
        <v>7021</v>
      </c>
      <c r="G330" t="s">
        <v>7022</v>
      </c>
      <c r="H330" t="s">
        <v>7023</v>
      </c>
      <c r="I330" t="s">
        <v>2223</v>
      </c>
      <c r="J330" t="s">
        <v>7024</v>
      </c>
      <c r="K330" t="s">
        <v>2998</v>
      </c>
      <c r="L330" t="s">
        <v>7025</v>
      </c>
    </row>
    <row r="331" spans="1:12" x14ac:dyDescent="0.2">
      <c r="A331" t="s">
        <v>1483</v>
      </c>
      <c r="B331" t="s">
        <v>1484</v>
      </c>
      <c r="C331" t="s">
        <v>25</v>
      </c>
      <c r="D331" t="s">
        <v>1486</v>
      </c>
      <c r="E331" t="str">
        <f>HYPERLINK("/pdf/2023_10.1109_icicsp59554.2023.10390572_Network_Traffic_Forensics_and_Traceability_Technology_Based_on_Blockchain.pdf","open")</f>
        <v>open</v>
      </c>
      <c r="F331" t="s">
        <v>7026</v>
      </c>
      <c r="G331" t="s">
        <v>148</v>
      </c>
      <c r="H331" t="s">
        <v>7027</v>
      </c>
      <c r="I331" t="s">
        <v>2223</v>
      </c>
      <c r="J331" t="s">
        <v>148</v>
      </c>
      <c r="K331" t="s">
        <v>2998</v>
      </c>
      <c r="L331" t="s">
        <v>7028</v>
      </c>
    </row>
    <row r="332" spans="1:12" x14ac:dyDescent="0.2">
      <c r="A332" t="s">
        <v>1488</v>
      </c>
      <c r="B332" t="s">
        <v>1441</v>
      </c>
      <c r="C332" t="s">
        <v>19</v>
      </c>
      <c r="D332" t="s">
        <v>1443</v>
      </c>
      <c r="E332" t="str">
        <f>HYPERLINK("/pdf/2025_10.1007_s11227-025-07116-x_GDT-IDS__graph-based_decision_tree_intrusion_detection_system_for_controller_area_network.pdf","open")</f>
        <v>open</v>
      </c>
      <c r="F332" t="s">
        <v>7029</v>
      </c>
      <c r="G332" t="s">
        <v>7030</v>
      </c>
      <c r="H332" t="s">
        <v>7031</v>
      </c>
      <c r="I332" t="s">
        <v>2223</v>
      </c>
      <c r="J332" t="s">
        <v>148</v>
      </c>
      <c r="K332" t="s">
        <v>957</v>
      </c>
      <c r="L332" t="s">
        <v>7032</v>
      </c>
    </row>
    <row r="333" spans="1:12" x14ac:dyDescent="0.2">
      <c r="A333" t="s">
        <v>1490</v>
      </c>
      <c r="B333" t="s">
        <v>1491</v>
      </c>
      <c r="C333" t="s">
        <v>54</v>
      </c>
      <c r="D333" t="s">
        <v>1493</v>
      </c>
      <c r="E333" t="str">
        <f>HYPERLINK("/pdf/2020_10.1109_discover50404.2020.9278053_The_Mechanism_to_Combat_Data_Leakage_Trojans_in_Circuits_using_Ranomized_Encoding.pdf","open")</f>
        <v>open</v>
      </c>
      <c r="F333" t="s">
        <v>7033</v>
      </c>
      <c r="G333" t="s">
        <v>7034</v>
      </c>
      <c r="H333" t="s">
        <v>7035</v>
      </c>
      <c r="I333" t="s">
        <v>2223</v>
      </c>
      <c r="J333" t="s">
        <v>7036</v>
      </c>
      <c r="K333" t="s">
        <v>2223</v>
      </c>
      <c r="L333" t="s">
        <v>7037</v>
      </c>
    </row>
    <row r="334" spans="1:12" x14ac:dyDescent="0.2">
      <c r="A334" t="s">
        <v>1495</v>
      </c>
      <c r="B334" t="s">
        <v>1496</v>
      </c>
      <c r="C334" t="s">
        <v>36</v>
      </c>
      <c r="D334" t="s">
        <v>1495</v>
      </c>
      <c r="E334" t="str">
        <f>HYPERLINK("/pdf/2021_10.1145_3453800.3453824_Detect_Android_malware_by_using_deep_learning__Experiment_and_Evaluation.pdf","open")</f>
        <v>open</v>
      </c>
      <c r="F334" t="s">
        <v>7038</v>
      </c>
      <c r="G334" t="s">
        <v>7039</v>
      </c>
      <c r="H334" t="s">
        <v>7040</v>
      </c>
      <c r="I334" t="s">
        <v>2223</v>
      </c>
      <c r="J334" t="s">
        <v>7041</v>
      </c>
      <c r="K334" t="s">
        <v>2223</v>
      </c>
      <c r="L334" t="s">
        <v>7042</v>
      </c>
    </row>
    <row r="335" spans="1:12" x14ac:dyDescent="0.2">
      <c r="A335" t="s">
        <v>1499</v>
      </c>
      <c r="B335" t="s">
        <v>1500</v>
      </c>
      <c r="C335" t="s">
        <v>60</v>
      </c>
      <c r="D335" t="s">
        <v>1502</v>
      </c>
      <c r="E335" t="str">
        <f>HYPERLINK("/pdf/2024_10.1109_itcem65710.2024.00030_Research_on_Network_Security_Threat_Detection_and_Defense_Mechanism_Based_on_Artificial_Intelligence.pdf","open")</f>
        <v>open</v>
      </c>
      <c r="F335" t="s">
        <v>7043</v>
      </c>
      <c r="G335" t="s">
        <v>7044</v>
      </c>
      <c r="H335" t="s">
        <v>7045</v>
      </c>
      <c r="I335" t="s">
        <v>2223</v>
      </c>
      <c r="J335" t="s">
        <v>7046</v>
      </c>
      <c r="K335" t="s">
        <v>2223</v>
      </c>
      <c r="L335" t="s">
        <v>7047</v>
      </c>
    </row>
    <row r="336" spans="1:12" x14ac:dyDescent="0.2">
      <c r="A336" t="s">
        <v>1504</v>
      </c>
      <c r="B336" t="s">
        <v>1505</v>
      </c>
      <c r="C336" t="s">
        <v>19</v>
      </c>
      <c r="D336" t="s">
        <v>1507</v>
      </c>
      <c r="E336" t="str">
        <f>HYPERLINK("/pdf/2025_10.1109_sami63904.2025.10883123_Improving_Cybersecurity_in_Hospital_Information_Systems_through_Anonymization_Techniques.pdf","open")</f>
        <v>open</v>
      </c>
      <c r="F336" t="s">
        <v>7048</v>
      </c>
      <c r="G336" t="s">
        <v>7049</v>
      </c>
      <c r="H336" t="s">
        <v>7050</v>
      </c>
      <c r="I336" t="s">
        <v>2223</v>
      </c>
      <c r="J336" t="s">
        <v>148</v>
      </c>
      <c r="K336" t="s">
        <v>2223</v>
      </c>
      <c r="L336" t="s">
        <v>148</v>
      </c>
    </row>
    <row r="337" spans="1:12" x14ac:dyDescent="0.2">
      <c r="A337" t="s">
        <v>1509</v>
      </c>
      <c r="B337" t="s">
        <v>1088</v>
      </c>
      <c r="C337" t="s">
        <v>19</v>
      </c>
      <c r="D337" t="s">
        <v>1087</v>
      </c>
      <c r="E337" t="str">
        <f>HYPERLINK("/pdf/2025_10_11591_ijai_v14_i6_pp4913_4922_comparative_evaluation_of_machine_learning_models_for_intrusion_detection_in_wsn.pdf","open")</f>
        <v>open</v>
      </c>
      <c r="F337" t="s">
        <v>7051</v>
      </c>
      <c r="G337" t="s">
        <v>7052</v>
      </c>
      <c r="H337" t="s">
        <v>7053</v>
      </c>
      <c r="I337" t="s">
        <v>2223</v>
      </c>
      <c r="J337" t="s">
        <v>7054</v>
      </c>
      <c r="K337" t="s">
        <v>2223</v>
      </c>
      <c r="L337" t="s">
        <v>7055</v>
      </c>
    </row>
    <row r="338" spans="1:12" x14ac:dyDescent="0.2">
      <c r="A338" t="s">
        <v>1511</v>
      </c>
      <c r="B338" t="s">
        <v>1512</v>
      </c>
      <c r="C338" t="s">
        <v>60</v>
      </c>
      <c r="D338" t="s">
        <v>1514</v>
      </c>
      <c r="E338" t="str">
        <f>HYPERLINK("/pdf/2024_10.1109_icctit64404.2024.10928389_Research_and_Construction_of_Multi-model_Fusionbased_Malicious_URL_Detection_Method.pdf","open")</f>
        <v>open</v>
      </c>
      <c r="F338" t="s">
        <v>148</v>
      </c>
      <c r="G338" t="s">
        <v>7056</v>
      </c>
      <c r="H338" t="s">
        <v>148</v>
      </c>
      <c r="I338" t="s">
        <v>2223</v>
      </c>
      <c r="J338" t="s">
        <v>7057</v>
      </c>
      <c r="K338" t="s">
        <v>2223</v>
      </c>
      <c r="L338" t="s">
        <v>7058</v>
      </c>
    </row>
    <row r="339" spans="1:12" x14ac:dyDescent="0.2">
      <c r="A339" t="s">
        <v>1516</v>
      </c>
      <c r="B339" t="s">
        <v>1517</v>
      </c>
      <c r="C339" t="s">
        <v>19</v>
      </c>
      <c r="D339" t="s">
        <v>1518</v>
      </c>
      <c r="E339" t="str">
        <f>HYPERLINK("/pdf/2025_10.1109_access.2025.3588808_A_Federated_Learning_Model_for_Detecting_Cyberattacks_in_Internet_of_Medical_Things_Networks.pdf","open")</f>
        <v>open</v>
      </c>
      <c r="F339" t="s">
        <v>7059</v>
      </c>
      <c r="G339" t="s">
        <v>7060</v>
      </c>
      <c r="H339" t="s">
        <v>7061</v>
      </c>
      <c r="I339" t="s">
        <v>2223</v>
      </c>
      <c r="J339" t="s">
        <v>7062</v>
      </c>
      <c r="K339" t="s">
        <v>2223</v>
      </c>
      <c r="L339" t="s">
        <v>7063</v>
      </c>
    </row>
    <row r="340" spans="1:12" x14ac:dyDescent="0.2">
      <c r="A340" t="s">
        <v>1520</v>
      </c>
      <c r="B340" t="s">
        <v>1521</v>
      </c>
      <c r="C340" t="s">
        <v>25</v>
      </c>
      <c r="D340" t="s">
        <v>1523</v>
      </c>
      <c r="E340" t="str">
        <f>HYPERLINK("/pdf/2023_10.1109_ictc58733.2023.10392902_Federated_Learning_with_Differential_Privacy_for_Intrusion_Detection_in_Internet_of_Flying_Things__A_Robust_Ap.pdf","open")</f>
        <v>open</v>
      </c>
      <c r="F340" t="s">
        <v>7064</v>
      </c>
      <c r="G340" t="s">
        <v>7065</v>
      </c>
      <c r="H340" t="s">
        <v>7066</v>
      </c>
      <c r="I340" t="s">
        <v>2223</v>
      </c>
      <c r="J340" t="s">
        <v>7067</v>
      </c>
      <c r="K340" t="s">
        <v>2223</v>
      </c>
      <c r="L340" t="s">
        <v>7068</v>
      </c>
    </row>
    <row r="341" spans="1:12" x14ac:dyDescent="0.2">
      <c r="A341" t="s">
        <v>1525</v>
      </c>
      <c r="B341" t="s">
        <v>1526</v>
      </c>
      <c r="C341" t="s">
        <v>36</v>
      </c>
      <c r="D341" t="s">
        <v>1528</v>
      </c>
      <c r="E341" t="str">
        <f>HYPERLINK("/pdf/2021_10.1109_infocom42981.2021.9488914_Finding_critical_files_from_a_packet.pdf","open")</f>
        <v>open</v>
      </c>
      <c r="F341" t="s">
        <v>7069</v>
      </c>
      <c r="G341" t="s">
        <v>148</v>
      </c>
      <c r="H341" t="s">
        <v>7070</v>
      </c>
      <c r="I341" t="s">
        <v>2998</v>
      </c>
      <c r="J341" t="s">
        <v>7071</v>
      </c>
      <c r="K341" t="s">
        <v>2223</v>
      </c>
      <c r="L341" t="s">
        <v>148</v>
      </c>
    </row>
    <row r="342" spans="1:12" x14ac:dyDescent="0.2">
      <c r="A342" t="s">
        <v>1530</v>
      </c>
      <c r="B342" t="s">
        <v>541</v>
      </c>
      <c r="C342" t="s">
        <v>25</v>
      </c>
      <c r="D342" t="s">
        <v>540</v>
      </c>
      <c r="E342" t="str">
        <f>HYPERLINK("/pdf/2024_10_1109_tdsc_2023_3323713_leakage_of_authorization_data_in_iot_device_sharing_new_attacks_and_countermeasure.pdf","open")</f>
        <v>open</v>
      </c>
      <c r="F342" t="s">
        <v>7072</v>
      </c>
      <c r="G342" t="s">
        <v>7073</v>
      </c>
      <c r="H342" t="s">
        <v>7074</v>
      </c>
      <c r="I342" t="s">
        <v>2223</v>
      </c>
      <c r="J342" t="s">
        <v>7075</v>
      </c>
      <c r="K342" t="s">
        <v>2223</v>
      </c>
      <c r="L342" t="s">
        <v>7076</v>
      </c>
    </row>
    <row r="343" spans="1:12" x14ac:dyDescent="0.2">
      <c r="A343" t="s">
        <v>1532</v>
      </c>
      <c r="B343" t="s">
        <v>1533</v>
      </c>
      <c r="C343" t="s">
        <v>36</v>
      </c>
      <c r="D343" t="s">
        <v>1535</v>
      </c>
      <c r="E343" t="str">
        <f>HYPERLINK("/pdf/2021_10.1109_mi-sta52233.2021.9464458_Deploying_Risk_Access_Models_in_a_Cloud_Environment__Possibilities_and_Challenges.pdf","open")</f>
        <v>open</v>
      </c>
      <c r="F343" t="s">
        <v>7077</v>
      </c>
      <c r="G343" t="s">
        <v>7078</v>
      </c>
      <c r="H343" t="s">
        <v>7079</v>
      </c>
      <c r="I343" t="s">
        <v>2223</v>
      </c>
      <c r="J343" t="s">
        <v>7080</v>
      </c>
      <c r="K343" t="s">
        <v>2223</v>
      </c>
      <c r="L343" t="s">
        <v>7081</v>
      </c>
    </row>
    <row r="344" spans="1:12" x14ac:dyDescent="0.2">
      <c r="A344" t="s">
        <v>1537</v>
      </c>
      <c r="B344" t="s">
        <v>1283</v>
      </c>
      <c r="C344" t="s">
        <v>100</v>
      </c>
      <c r="D344" t="s">
        <v>1285</v>
      </c>
      <c r="E344" t="str">
        <f>HYPERLINK("/pdf/2022_10_17341_gazimmfd_641580_a_new_document_classification_algorithm_against_malicious_data_leakage_attacks.pdf","open")</f>
        <v>open</v>
      </c>
      <c r="F344" t="s">
        <v>7082</v>
      </c>
      <c r="G344" t="s">
        <v>148</v>
      </c>
      <c r="H344" t="s">
        <v>7083</v>
      </c>
      <c r="I344" t="s">
        <v>2223</v>
      </c>
      <c r="J344" t="s">
        <v>7084</v>
      </c>
      <c r="K344" t="s">
        <v>2223</v>
      </c>
      <c r="L344" t="s">
        <v>7085</v>
      </c>
    </row>
    <row r="345" spans="1:12" x14ac:dyDescent="0.2">
      <c r="A345" t="s">
        <v>1540</v>
      </c>
      <c r="B345" t="s">
        <v>1541</v>
      </c>
      <c r="C345" t="s">
        <v>100</v>
      </c>
      <c r="D345" t="s">
        <v>1543</v>
      </c>
      <c r="E345" t="str">
        <f>HYPERLINK("/pdf/2022_10_1109_ipsn54338_2022_00040_deepauditor_distributed_online_intrusion_detection_system_for_iot_devices_via_power_side.pdf","open")</f>
        <v>open</v>
      </c>
      <c r="F345" t="s">
        <v>7086</v>
      </c>
      <c r="G345" t="s">
        <v>7087</v>
      </c>
      <c r="H345" t="s">
        <v>7088</v>
      </c>
      <c r="I345" t="s">
        <v>957</v>
      </c>
      <c r="J345" t="s">
        <v>7089</v>
      </c>
      <c r="K345" t="s">
        <v>2223</v>
      </c>
      <c r="L345" t="s">
        <v>7090</v>
      </c>
    </row>
    <row r="346" spans="1:12" x14ac:dyDescent="0.2">
      <c r="A346" t="s">
        <v>1545</v>
      </c>
      <c r="B346" t="s">
        <v>1546</v>
      </c>
      <c r="C346" t="s">
        <v>36</v>
      </c>
      <c r="D346" t="s">
        <v>1548</v>
      </c>
      <c r="E346" t="str">
        <f>HYPERLINK("/pdf/2021_10.1109_icsip52628.2021.9689011_A_Covert_Communication_Method_Based_on_Gradient_Model.pdf","open")</f>
        <v>open</v>
      </c>
      <c r="F346" t="s">
        <v>7091</v>
      </c>
      <c r="G346" t="s">
        <v>7092</v>
      </c>
      <c r="H346" t="s">
        <v>7093</v>
      </c>
      <c r="I346" t="s">
        <v>2223</v>
      </c>
      <c r="J346" t="s">
        <v>7094</v>
      </c>
      <c r="K346" t="s">
        <v>2223</v>
      </c>
      <c r="L346" t="s">
        <v>7095</v>
      </c>
    </row>
    <row r="347" spans="1:12" x14ac:dyDescent="0.2">
      <c r="A347" t="s">
        <v>1550</v>
      </c>
      <c r="B347" t="s">
        <v>1551</v>
      </c>
      <c r="C347" t="s">
        <v>25</v>
      </c>
      <c r="D347" t="s">
        <v>148</v>
      </c>
      <c r="E347" t="str">
        <f>HYPERLINK("/pdf/2024_10_1109_tase_2023_3267034_transactive_energy_system_deployment_over_insecure_communication_links.pdf","open")</f>
        <v>open</v>
      </c>
      <c r="F347" t="s">
        <v>7096</v>
      </c>
      <c r="G347" t="s">
        <v>7097</v>
      </c>
      <c r="H347" t="s">
        <v>7098</v>
      </c>
      <c r="I347" t="s">
        <v>2223</v>
      </c>
      <c r="J347" t="s">
        <v>7099</v>
      </c>
      <c r="K347" t="s">
        <v>2223</v>
      </c>
      <c r="L347" t="s">
        <v>7100</v>
      </c>
    </row>
    <row r="348" spans="1:12" x14ac:dyDescent="0.2">
      <c r="A348" t="s">
        <v>1554</v>
      </c>
      <c r="B348" t="s">
        <v>1555</v>
      </c>
      <c r="C348" t="s">
        <v>36</v>
      </c>
      <c r="D348" t="s">
        <v>1557</v>
      </c>
      <c r="E348" t="str">
        <f>HYPERLINK("/pdf/2021_10.1145_3503823.3503886_Uncuffed__A_Blockchain-based_Secure_Messaging_System.pdf","open")</f>
        <v>open</v>
      </c>
      <c r="F348" t="s">
        <v>148</v>
      </c>
      <c r="G348" t="s">
        <v>148</v>
      </c>
      <c r="H348" t="s">
        <v>7101</v>
      </c>
      <c r="I348" t="s">
        <v>2223</v>
      </c>
      <c r="J348" t="s">
        <v>148</v>
      </c>
      <c r="K348" t="s">
        <v>2223</v>
      </c>
      <c r="L348" t="s">
        <v>148</v>
      </c>
    </row>
    <row r="349" spans="1:12" x14ac:dyDescent="0.2">
      <c r="A349" t="s">
        <v>1559</v>
      </c>
      <c r="B349" t="s">
        <v>337</v>
      </c>
      <c r="C349" t="s">
        <v>19</v>
      </c>
      <c r="D349" t="s">
        <v>1560</v>
      </c>
      <c r="E349" t="str">
        <f>HYPERLINK("/pdf/2025_10_1007_s13198_025_03013_x_mobile_network_intelligent_recommendation_based_on_data_mining_and_network_secur.pdf","open")</f>
        <v>open</v>
      </c>
      <c r="F349" t="s">
        <v>148</v>
      </c>
      <c r="G349" t="s">
        <v>148</v>
      </c>
      <c r="H349" t="s">
        <v>7102</v>
      </c>
      <c r="I349" t="s">
        <v>2223</v>
      </c>
      <c r="J349" t="s">
        <v>148</v>
      </c>
      <c r="K349" t="s">
        <v>2223</v>
      </c>
      <c r="L349" t="s">
        <v>148</v>
      </c>
    </row>
    <row r="350" spans="1:12" x14ac:dyDescent="0.2">
      <c r="A350" t="s">
        <v>1562</v>
      </c>
      <c r="B350" t="s">
        <v>59</v>
      </c>
      <c r="C350" t="s">
        <v>60</v>
      </c>
      <c r="D350" t="s">
        <v>62</v>
      </c>
      <c r="E350" t="str">
        <f>HYPERLINK("/pdf/2024_10_17770_etr2024vol2_8062_management_approaches_and_application_areas_of_information_security_in_organizat.pdf","open")</f>
        <v>open</v>
      </c>
      <c r="F350" t="s">
        <v>148</v>
      </c>
      <c r="G350" t="s">
        <v>148</v>
      </c>
      <c r="H350" t="s">
        <v>7103</v>
      </c>
      <c r="I350" t="s">
        <v>2223</v>
      </c>
      <c r="J350" t="s">
        <v>148</v>
      </c>
      <c r="K350" t="s">
        <v>2223</v>
      </c>
      <c r="L350" t="s">
        <v>148</v>
      </c>
    </row>
    <row r="351" spans="1:12" x14ac:dyDescent="0.2">
      <c r="A351" t="s">
        <v>1565</v>
      </c>
      <c r="B351" t="s">
        <v>1566</v>
      </c>
      <c r="C351" t="s">
        <v>60</v>
      </c>
      <c r="D351" t="s">
        <v>1417</v>
      </c>
      <c r="E351" t="str">
        <f>HYPERLINK("/pdf/2024_10_17770_etr2024vol2_8045_data_leakage_prevention_and_detection_in_digital_configurations_a_survey.pdf","open")</f>
        <v>open</v>
      </c>
      <c r="F351" t="s">
        <v>7104</v>
      </c>
      <c r="G351" t="s">
        <v>7105</v>
      </c>
      <c r="H351" t="s">
        <v>148</v>
      </c>
      <c r="I351" t="s">
        <v>2223</v>
      </c>
      <c r="J351" t="s">
        <v>7106</v>
      </c>
      <c r="K351" t="s">
        <v>2223</v>
      </c>
      <c r="L351" t="s">
        <v>7107</v>
      </c>
    </row>
    <row r="352" spans="1:12" x14ac:dyDescent="0.2">
      <c r="A352" t="s">
        <v>34</v>
      </c>
      <c r="B352" t="s">
        <v>35</v>
      </c>
      <c r="C352" t="s">
        <v>36</v>
      </c>
      <c r="D352" t="s">
        <v>38</v>
      </c>
      <c r="E352" t="str">
        <f>HYPERLINK("/pdf/2021_10_32604_cmc_2021_016626_an_optimal_big_data_analytics_with_concept_drift_detection_on_high_dimensional_s.pdf","open")</f>
        <v>open</v>
      </c>
      <c r="F352" t="s">
        <v>7108</v>
      </c>
      <c r="G352" t="s">
        <v>7109</v>
      </c>
      <c r="H352" t="s">
        <v>7110</v>
      </c>
      <c r="I352" t="s">
        <v>2223</v>
      </c>
      <c r="J352" t="s">
        <v>7111</v>
      </c>
      <c r="K352" t="s">
        <v>2223</v>
      </c>
      <c r="L352" t="s">
        <v>7112</v>
      </c>
    </row>
    <row r="353" spans="1:12" x14ac:dyDescent="0.2">
      <c r="A353" t="s">
        <v>69</v>
      </c>
      <c r="B353" t="s">
        <v>70</v>
      </c>
      <c r="C353" t="s">
        <v>25</v>
      </c>
      <c r="D353" t="s">
        <v>72</v>
      </c>
      <c r="E353" t="str">
        <f>HYPERLINK("/pdf/2023_10_7717_peerj_cs_1543_scheduling_algorithms_for_data_protection_based_on_security_classification_const.pdf","open")</f>
        <v>open</v>
      </c>
      <c r="F353" t="s">
        <v>7113</v>
      </c>
      <c r="G353" t="s">
        <v>7114</v>
      </c>
      <c r="H353" t="s">
        <v>7115</v>
      </c>
      <c r="I353" t="s">
        <v>2223</v>
      </c>
      <c r="J353" t="s">
        <v>148</v>
      </c>
      <c r="K353" t="s">
        <v>2223</v>
      </c>
      <c r="L353" t="s">
        <v>148</v>
      </c>
    </row>
    <row r="354" spans="1:12" x14ac:dyDescent="0.2">
      <c r="A354" t="s">
        <v>1554</v>
      </c>
      <c r="B354" t="s">
        <v>1555</v>
      </c>
      <c r="C354" t="s">
        <v>36</v>
      </c>
      <c r="D354" t="s">
        <v>1557</v>
      </c>
      <c r="E354" t="str">
        <f>HYPERLINK("/pdf/2021_10_1145_3503823_3503886_uncuffed_a_blockchain_based_secure_messaging_system.pdf","open")</f>
        <v>open</v>
      </c>
      <c r="F354" t="s">
        <v>148</v>
      </c>
      <c r="G354" t="s">
        <v>148</v>
      </c>
      <c r="H354" t="s">
        <v>7116</v>
      </c>
      <c r="I354" t="s">
        <v>2223</v>
      </c>
      <c r="J354" t="s">
        <v>148</v>
      </c>
      <c r="K354" t="s">
        <v>2223</v>
      </c>
      <c r="L354" t="s">
        <v>148</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1743"/>
  <sheetViews>
    <sheetView workbookViewId="0">
      <pane ySplit="1" topLeftCell="A4" activePane="bottomLeft" state="frozen"/>
      <selection pane="bottomLeft" activeCell="I35" sqref="I35"/>
    </sheetView>
  </sheetViews>
  <sheetFormatPr baseColWidth="10" defaultColWidth="8.83203125" defaultRowHeight="15" x14ac:dyDescent="0.2"/>
  <cols>
    <col min="1" max="8" width="12" customWidth="1"/>
    <col min="9" max="9" width="17" customWidth="1"/>
  </cols>
  <sheetData>
    <row r="1" spans="1:9" ht="16" x14ac:dyDescent="0.2">
      <c r="A1" s="1" t="s">
        <v>0</v>
      </c>
      <c r="B1" s="1" t="s">
        <v>1</v>
      </c>
      <c r="C1" s="1" t="s">
        <v>2</v>
      </c>
      <c r="D1" s="1" t="s">
        <v>4</v>
      </c>
      <c r="E1" s="1" t="s">
        <v>6</v>
      </c>
      <c r="F1" s="1" t="s">
        <v>7117</v>
      </c>
      <c r="G1" s="1" t="s">
        <v>7118</v>
      </c>
      <c r="H1" s="1" t="s">
        <v>7119</v>
      </c>
      <c r="I1" s="1" t="s">
        <v>7120</v>
      </c>
    </row>
    <row r="2" spans="1:9" x14ac:dyDescent="0.2">
      <c r="A2" t="s">
        <v>10</v>
      </c>
      <c r="B2" t="s">
        <v>11</v>
      </c>
      <c r="C2" t="s">
        <v>12</v>
      </c>
      <c r="D2" t="s">
        <v>14</v>
      </c>
      <c r="E2" t="str">
        <f>HYPERLINK("/pdf/2018_10_1007_978_1_4842_3700_7_defending_iot_infrastructures_with_the_raspberry_pi_monitoring_and_detecting_ne.pdf","open")</f>
        <v>open</v>
      </c>
      <c r="F2" t="s">
        <v>7119</v>
      </c>
      <c r="G2" t="s">
        <v>7121</v>
      </c>
      <c r="H2" t="s">
        <v>7122</v>
      </c>
      <c r="I2" t="s">
        <v>7123</v>
      </c>
    </row>
    <row r="3" spans="1:9" x14ac:dyDescent="0.2">
      <c r="A3" t="s">
        <v>10</v>
      </c>
      <c r="B3" t="s">
        <v>11</v>
      </c>
      <c r="C3" t="s">
        <v>12</v>
      </c>
      <c r="D3" t="s">
        <v>14</v>
      </c>
      <c r="E3" t="str">
        <f>HYPERLINK("/pdf/2018_10_1007_978_1_4842_3700_7_defending_iot_infrastructures_with_the_raspberry_pi_monitoring_and_detecting_ne.pdf","open")</f>
        <v>open</v>
      </c>
      <c r="F3" t="s">
        <v>7119</v>
      </c>
      <c r="G3" t="s">
        <v>7124</v>
      </c>
      <c r="H3" t="s">
        <v>7125</v>
      </c>
      <c r="I3" t="s">
        <v>7126</v>
      </c>
    </row>
    <row r="4" spans="1:9" x14ac:dyDescent="0.2">
      <c r="A4" t="s">
        <v>10</v>
      </c>
      <c r="B4" t="s">
        <v>11</v>
      </c>
      <c r="C4" t="s">
        <v>12</v>
      </c>
      <c r="D4" t="s">
        <v>14</v>
      </c>
      <c r="E4" t="str">
        <f>HYPERLINK("/pdf/2018_10_1007_978_1_4842_3700_7_defending_iot_infrastructures_with_the_raspberry_pi_monitoring_and_detecting_ne.pdf","open")</f>
        <v>open</v>
      </c>
      <c r="F4" t="s">
        <v>7119</v>
      </c>
      <c r="G4" t="s">
        <v>7127</v>
      </c>
      <c r="H4" t="s">
        <v>7128</v>
      </c>
      <c r="I4" t="s">
        <v>7129</v>
      </c>
    </row>
    <row r="5" spans="1:9" x14ac:dyDescent="0.2">
      <c r="A5" t="s">
        <v>10</v>
      </c>
      <c r="B5" t="s">
        <v>11</v>
      </c>
      <c r="C5" t="s">
        <v>12</v>
      </c>
      <c r="D5" t="s">
        <v>14</v>
      </c>
      <c r="E5" t="str">
        <f>HYPERLINK("/pdf/2018_10_1007_978_1_4842_3700_7_defending_iot_infrastructures_with_the_raspberry_pi_monitoring_and_detecting_ne.pdf","open")</f>
        <v>open</v>
      </c>
      <c r="F5" t="s">
        <v>7130</v>
      </c>
      <c r="G5" t="s">
        <v>7131</v>
      </c>
      <c r="I5" t="s">
        <v>7132</v>
      </c>
    </row>
    <row r="6" spans="1:9" x14ac:dyDescent="0.2">
      <c r="A6" t="s">
        <v>10</v>
      </c>
      <c r="B6" t="s">
        <v>11</v>
      </c>
      <c r="C6" t="s">
        <v>12</v>
      </c>
      <c r="D6" t="s">
        <v>14</v>
      </c>
      <c r="E6" t="str">
        <f>HYPERLINK("/pdf/2018_10_1007_978_1_4842_3700_7_defending_iot_infrastructures_with_the_raspberry_pi_monitoring_and_detecting_ne.pdf","open")</f>
        <v>open</v>
      </c>
      <c r="F6" t="s">
        <v>7130</v>
      </c>
      <c r="G6" t="s">
        <v>7133</v>
      </c>
      <c r="I6" t="s">
        <v>7134</v>
      </c>
    </row>
    <row r="7" spans="1:9" x14ac:dyDescent="0.2">
      <c r="A7" t="s">
        <v>17</v>
      </c>
      <c r="B7" t="s">
        <v>18</v>
      </c>
      <c r="C7" t="s">
        <v>19</v>
      </c>
      <c r="D7" t="s">
        <v>21</v>
      </c>
      <c r="E7" t="str">
        <f>HYPERLINK("/pdf/2025_10.1109_ecce64574.2025.11013816_Intrusion_Detection_System_on_IoT_Devices_via_Federated_Learning.pdf","open")</f>
        <v>open</v>
      </c>
      <c r="F7" t="s">
        <v>7119</v>
      </c>
      <c r="G7" t="s">
        <v>7135</v>
      </c>
      <c r="H7" t="s">
        <v>7136</v>
      </c>
      <c r="I7" t="s">
        <v>7137</v>
      </c>
    </row>
    <row r="8" spans="1:9" x14ac:dyDescent="0.2">
      <c r="A8" t="s">
        <v>17</v>
      </c>
      <c r="B8" t="s">
        <v>18</v>
      </c>
      <c r="C8" t="s">
        <v>19</v>
      </c>
      <c r="D8" t="s">
        <v>21</v>
      </c>
      <c r="E8" t="str">
        <f>HYPERLINK("/pdf/2025_10.1109_ecce64574.2025.11013816_Intrusion_Detection_System_on_IoT_Devices_via_Federated_Learning.pdf","open")</f>
        <v>open</v>
      </c>
      <c r="F8" t="s">
        <v>7119</v>
      </c>
      <c r="G8" t="s">
        <v>7138</v>
      </c>
      <c r="H8" t="s">
        <v>7139</v>
      </c>
      <c r="I8" t="s">
        <v>7140</v>
      </c>
    </row>
    <row r="9" spans="1:9" x14ac:dyDescent="0.2">
      <c r="A9" t="s">
        <v>17</v>
      </c>
      <c r="B9" t="s">
        <v>18</v>
      </c>
      <c r="C9" t="s">
        <v>19</v>
      </c>
      <c r="D9" t="s">
        <v>21</v>
      </c>
      <c r="E9" t="str">
        <f>HYPERLINK("/pdf/2025_10.1109_ecce64574.2025.11013816_Intrusion_Detection_System_on_IoT_Devices_via_Federated_Learning.pdf","open")</f>
        <v>open</v>
      </c>
      <c r="F9" t="s">
        <v>7119</v>
      </c>
      <c r="G9" t="s">
        <v>7141</v>
      </c>
      <c r="H9" t="s">
        <v>7142</v>
      </c>
      <c r="I9" t="s">
        <v>7143</v>
      </c>
    </row>
    <row r="10" spans="1:9" x14ac:dyDescent="0.2">
      <c r="A10" t="s">
        <v>17</v>
      </c>
      <c r="B10" t="s">
        <v>18</v>
      </c>
      <c r="C10" t="s">
        <v>19</v>
      </c>
      <c r="D10" t="s">
        <v>21</v>
      </c>
      <c r="E10" t="str">
        <f>HYPERLINK("/pdf/2025_10.1109_ecce64574.2025.11013816_Intrusion_Detection_System_on_IoT_Devices_via_Federated_Learning.pdf","open")</f>
        <v>open</v>
      </c>
      <c r="F10" t="s">
        <v>7119</v>
      </c>
      <c r="G10" t="s">
        <v>7144</v>
      </c>
      <c r="H10" t="s">
        <v>7145</v>
      </c>
      <c r="I10" t="s">
        <v>7146</v>
      </c>
    </row>
    <row r="11" spans="1:9" x14ac:dyDescent="0.2">
      <c r="A11" t="s">
        <v>17</v>
      </c>
      <c r="B11" t="s">
        <v>18</v>
      </c>
      <c r="C11" t="s">
        <v>19</v>
      </c>
      <c r="D11" t="s">
        <v>21</v>
      </c>
      <c r="E11" t="str">
        <f>HYPERLINK("/pdf/2025_10.1109_ecce64574.2025.11013816_Intrusion_Detection_System_on_IoT_Devices_via_Federated_Learning.pdf","open")</f>
        <v>open</v>
      </c>
      <c r="F11" t="s">
        <v>7130</v>
      </c>
      <c r="G11" t="s">
        <v>7147</v>
      </c>
      <c r="I11" t="s">
        <v>7148</v>
      </c>
    </row>
    <row r="12" spans="1:9" x14ac:dyDescent="0.2">
      <c r="A12" t="s">
        <v>23</v>
      </c>
      <c r="B12" t="s">
        <v>24</v>
      </c>
      <c r="C12" t="s">
        <v>25</v>
      </c>
      <c r="D12" t="s">
        <v>27</v>
      </c>
      <c r="E12" t="str">
        <f>HYPERLINK("/pdf/2023_10.1109_icict57646.2023.10133997_Enhancing_Home_Security__user_Authentication_Techniques_for_Home_Automation.pdf","open")</f>
        <v>open</v>
      </c>
      <c r="F12" t="s">
        <v>7119</v>
      </c>
      <c r="G12" t="s">
        <v>7149</v>
      </c>
      <c r="H12" t="s">
        <v>7150</v>
      </c>
      <c r="I12" t="s">
        <v>7151</v>
      </c>
    </row>
    <row r="13" spans="1:9" x14ac:dyDescent="0.2">
      <c r="A13" t="s">
        <v>23</v>
      </c>
      <c r="B13" t="s">
        <v>24</v>
      </c>
      <c r="C13" t="s">
        <v>25</v>
      </c>
      <c r="D13" t="s">
        <v>27</v>
      </c>
      <c r="E13" t="str">
        <f>HYPERLINK("/pdf/2023_10.1109_icict57646.2023.10133997_Enhancing_Home_Security__user_Authentication_Techniques_for_Home_Automation.pdf","open")</f>
        <v>open</v>
      </c>
      <c r="F13" t="s">
        <v>7119</v>
      </c>
      <c r="G13" t="s">
        <v>7152</v>
      </c>
      <c r="H13" t="s">
        <v>7153</v>
      </c>
      <c r="I13" t="s">
        <v>7154</v>
      </c>
    </row>
    <row r="14" spans="1:9" x14ac:dyDescent="0.2">
      <c r="A14" t="s">
        <v>23</v>
      </c>
      <c r="B14" t="s">
        <v>24</v>
      </c>
      <c r="C14" t="s">
        <v>25</v>
      </c>
      <c r="D14" t="s">
        <v>27</v>
      </c>
      <c r="E14" t="str">
        <f>HYPERLINK("/pdf/2023_10.1109_icict57646.2023.10133997_Enhancing_Home_Security__user_Authentication_Techniques_for_Home_Automation.pdf","open")</f>
        <v>open</v>
      </c>
      <c r="F14" t="s">
        <v>7119</v>
      </c>
      <c r="G14" t="s">
        <v>7155</v>
      </c>
      <c r="H14" t="s">
        <v>7156</v>
      </c>
      <c r="I14" t="s">
        <v>7157</v>
      </c>
    </row>
    <row r="15" spans="1:9" x14ac:dyDescent="0.2">
      <c r="A15" t="s">
        <v>23</v>
      </c>
      <c r="B15" t="s">
        <v>24</v>
      </c>
      <c r="C15" t="s">
        <v>25</v>
      </c>
      <c r="D15" t="s">
        <v>27</v>
      </c>
      <c r="E15" t="str">
        <f>HYPERLINK("/pdf/2023_10.1109_icict57646.2023.10133997_Enhancing_Home_Security__user_Authentication_Techniques_for_Home_Automation.pdf","open")</f>
        <v>open</v>
      </c>
      <c r="F15" t="s">
        <v>7130</v>
      </c>
      <c r="G15" t="s">
        <v>1571</v>
      </c>
      <c r="I15" t="s">
        <v>7158</v>
      </c>
    </row>
    <row r="16" spans="1:9" x14ac:dyDescent="0.2">
      <c r="A16" t="s">
        <v>23</v>
      </c>
      <c r="B16" t="s">
        <v>24</v>
      </c>
      <c r="C16" t="s">
        <v>25</v>
      </c>
      <c r="D16" t="s">
        <v>27</v>
      </c>
      <c r="E16" t="str">
        <f>HYPERLINK("/pdf/2023_10.1109_icict57646.2023.10133997_Enhancing_Home_Security__user_Authentication_Techniques_for_Home_Automation.pdf","open")</f>
        <v>open</v>
      </c>
      <c r="F16" t="s">
        <v>7130</v>
      </c>
      <c r="G16" t="s">
        <v>7159</v>
      </c>
      <c r="I16" t="s">
        <v>7160</v>
      </c>
    </row>
    <row r="17" spans="1:9" x14ac:dyDescent="0.2">
      <c r="A17" t="s">
        <v>29</v>
      </c>
      <c r="B17" t="s">
        <v>30</v>
      </c>
      <c r="C17" t="s">
        <v>25</v>
      </c>
      <c r="D17" t="s">
        <v>32</v>
      </c>
      <c r="E17" t="str">
        <f t="shared" ref="E17:E22" si="0">HYPERLINK("/pdf/2023_10_3390_s23208407_a_lightweight_unsupervised_intrusion_detection_model_based_on_variational_auto_encoder.pdf","open")</f>
        <v>open</v>
      </c>
      <c r="F17" t="s">
        <v>7119</v>
      </c>
      <c r="G17" t="s">
        <v>7161</v>
      </c>
      <c r="H17" t="s">
        <v>7162</v>
      </c>
      <c r="I17" t="s">
        <v>7163</v>
      </c>
    </row>
    <row r="18" spans="1:9" x14ac:dyDescent="0.2">
      <c r="A18" t="s">
        <v>29</v>
      </c>
      <c r="B18" t="s">
        <v>30</v>
      </c>
      <c r="C18" t="s">
        <v>25</v>
      </c>
      <c r="D18" t="s">
        <v>32</v>
      </c>
      <c r="E18" t="str">
        <f t="shared" si="0"/>
        <v>open</v>
      </c>
      <c r="F18" t="s">
        <v>7119</v>
      </c>
      <c r="G18" t="s">
        <v>7164</v>
      </c>
      <c r="H18" t="s">
        <v>7165</v>
      </c>
      <c r="I18" t="s">
        <v>7166</v>
      </c>
    </row>
    <row r="19" spans="1:9" x14ac:dyDescent="0.2">
      <c r="A19" t="s">
        <v>29</v>
      </c>
      <c r="B19" t="s">
        <v>30</v>
      </c>
      <c r="C19" t="s">
        <v>25</v>
      </c>
      <c r="D19" t="s">
        <v>32</v>
      </c>
      <c r="E19" t="str">
        <f t="shared" si="0"/>
        <v>open</v>
      </c>
      <c r="F19" t="s">
        <v>7119</v>
      </c>
      <c r="G19" t="s">
        <v>7167</v>
      </c>
      <c r="H19" t="s">
        <v>7168</v>
      </c>
      <c r="I19" t="s">
        <v>7169</v>
      </c>
    </row>
    <row r="20" spans="1:9" x14ac:dyDescent="0.2">
      <c r="A20" t="s">
        <v>29</v>
      </c>
      <c r="B20" t="s">
        <v>30</v>
      </c>
      <c r="C20" t="s">
        <v>25</v>
      </c>
      <c r="D20" t="s">
        <v>32</v>
      </c>
      <c r="E20" t="str">
        <f t="shared" si="0"/>
        <v>open</v>
      </c>
      <c r="F20" t="s">
        <v>7119</v>
      </c>
      <c r="G20" t="s">
        <v>7170</v>
      </c>
      <c r="H20" t="s">
        <v>7171</v>
      </c>
      <c r="I20" t="s">
        <v>7172</v>
      </c>
    </row>
    <row r="21" spans="1:9" x14ac:dyDescent="0.2">
      <c r="A21" t="s">
        <v>29</v>
      </c>
      <c r="B21" t="s">
        <v>30</v>
      </c>
      <c r="C21" t="s">
        <v>25</v>
      </c>
      <c r="D21" t="s">
        <v>32</v>
      </c>
      <c r="E21" t="str">
        <f t="shared" si="0"/>
        <v>open</v>
      </c>
      <c r="F21" t="s">
        <v>7130</v>
      </c>
      <c r="G21" t="s">
        <v>7173</v>
      </c>
      <c r="I21" t="s">
        <v>7174</v>
      </c>
    </row>
    <row r="22" spans="1:9" x14ac:dyDescent="0.2">
      <c r="A22" t="s">
        <v>29</v>
      </c>
      <c r="B22" t="s">
        <v>30</v>
      </c>
      <c r="C22" t="s">
        <v>25</v>
      </c>
      <c r="D22" t="s">
        <v>32</v>
      </c>
      <c r="E22" t="str">
        <f t="shared" si="0"/>
        <v>open</v>
      </c>
      <c r="F22" t="s">
        <v>7130</v>
      </c>
      <c r="G22" t="s">
        <v>1597</v>
      </c>
      <c r="I22" t="s">
        <v>7175</v>
      </c>
    </row>
    <row r="23" spans="1:9" x14ac:dyDescent="0.2">
      <c r="A23" t="s">
        <v>34</v>
      </c>
      <c r="B23" t="s">
        <v>35</v>
      </c>
      <c r="C23" t="s">
        <v>36</v>
      </c>
      <c r="D23" t="s">
        <v>38</v>
      </c>
      <c r="E23" t="str">
        <f>HYPERLINK("/pdf/2021_10.32604_cmc.2021.016626_An_optimal_big_data_analytics_with_concept_drift_detection_on_high-dimensional_streaming_data.pdf","open")</f>
        <v>open</v>
      </c>
      <c r="F23" t="s">
        <v>7119</v>
      </c>
      <c r="G23" t="s">
        <v>7176</v>
      </c>
      <c r="H23" t="s">
        <v>7177</v>
      </c>
      <c r="I23" t="s">
        <v>7178</v>
      </c>
    </row>
    <row r="24" spans="1:9" x14ac:dyDescent="0.2">
      <c r="A24" t="s">
        <v>34</v>
      </c>
      <c r="B24" t="s">
        <v>35</v>
      </c>
      <c r="C24" t="s">
        <v>36</v>
      </c>
      <c r="D24" t="s">
        <v>38</v>
      </c>
      <c r="E24" t="str">
        <f>HYPERLINK("/pdf/2021_10.32604_cmc.2021.016626_An_optimal_big_data_analytics_with_concept_drift_detection_on_high-dimensional_streaming_data.pdf","open")</f>
        <v>open</v>
      </c>
      <c r="F24" t="s">
        <v>7119</v>
      </c>
      <c r="G24" t="s">
        <v>7179</v>
      </c>
      <c r="H24" t="s">
        <v>7180</v>
      </c>
      <c r="I24" t="s">
        <v>7178</v>
      </c>
    </row>
    <row r="25" spans="1:9" x14ac:dyDescent="0.2">
      <c r="A25" t="s">
        <v>34</v>
      </c>
      <c r="B25" t="s">
        <v>35</v>
      </c>
      <c r="C25" t="s">
        <v>36</v>
      </c>
      <c r="D25" t="s">
        <v>38</v>
      </c>
      <c r="E25" t="str">
        <f>HYPERLINK("/pdf/2021_10.32604_cmc.2021.016626_An_optimal_big_data_analytics_with_concept_drift_detection_on_high-dimensional_streaming_data.pdf","open")</f>
        <v>open</v>
      </c>
      <c r="F25" t="s">
        <v>7119</v>
      </c>
      <c r="G25" t="s">
        <v>7181</v>
      </c>
      <c r="H25" t="s">
        <v>7182</v>
      </c>
      <c r="I25" t="s">
        <v>7178</v>
      </c>
    </row>
    <row r="26" spans="1:9" x14ac:dyDescent="0.2">
      <c r="A26" t="s">
        <v>34</v>
      </c>
      <c r="B26" t="s">
        <v>35</v>
      </c>
      <c r="C26" t="s">
        <v>36</v>
      </c>
      <c r="D26" t="s">
        <v>38</v>
      </c>
      <c r="E26" t="str">
        <f>HYPERLINK("/pdf/2021_10.32604_cmc.2021.016626_An_optimal_big_data_analytics_with_concept_drift_detection_on_high-dimensional_streaming_data.pdf","open")</f>
        <v>open</v>
      </c>
      <c r="F26" t="s">
        <v>7119</v>
      </c>
      <c r="G26" t="s">
        <v>7183</v>
      </c>
      <c r="H26" t="s">
        <v>7184</v>
      </c>
      <c r="I26" t="s">
        <v>7185</v>
      </c>
    </row>
    <row r="27" spans="1:9" x14ac:dyDescent="0.2">
      <c r="A27" t="s">
        <v>34</v>
      </c>
      <c r="B27" t="s">
        <v>35</v>
      </c>
      <c r="C27" t="s">
        <v>36</v>
      </c>
      <c r="D27" t="s">
        <v>38</v>
      </c>
      <c r="E27" t="str">
        <f>HYPERLINK("/pdf/2021_10.32604_cmc.2021.016626_An_optimal_big_data_analytics_with_concept_drift_detection_on_high-dimensional_streaming_data.pdf","open")</f>
        <v>open</v>
      </c>
      <c r="F27" t="s">
        <v>7130</v>
      </c>
      <c r="G27" t="s">
        <v>1584</v>
      </c>
      <c r="I27" t="s">
        <v>7186</v>
      </c>
    </row>
    <row r="28" spans="1:9" x14ac:dyDescent="0.2">
      <c r="A28" t="s">
        <v>40</v>
      </c>
      <c r="B28" t="s">
        <v>41</v>
      </c>
      <c r="C28" t="s">
        <v>19</v>
      </c>
      <c r="D28" t="s">
        <v>43</v>
      </c>
      <c r="E28" t="str">
        <f>HYPERLINK("/pdf/2025_10.1002_9781394250141.ch11_Security_and_privacy_issues_in_RIS-based_wireless_communication_systems.pdf","open")</f>
        <v>open</v>
      </c>
      <c r="F28" t="s">
        <v>7119</v>
      </c>
      <c r="G28" t="s">
        <v>7187</v>
      </c>
      <c r="H28" t="s">
        <v>41</v>
      </c>
      <c r="I28" t="s">
        <v>7188</v>
      </c>
    </row>
    <row r="29" spans="1:9" x14ac:dyDescent="0.2">
      <c r="A29" t="s">
        <v>40</v>
      </c>
      <c r="B29" t="s">
        <v>41</v>
      </c>
      <c r="C29" t="s">
        <v>19</v>
      </c>
      <c r="D29" t="s">
        <v>43</v>
      </c>
      <c r="E29" t="str">
        <f>HYPERLINK("/pdf/2025_10.1002_9781394250141.ch11_Security_and_privacy_issues_in_RIS-based_wireless_communication_systems.pdf","open")</f>
        <v>open</v>
      </c>
      <c r="F29" t="s">
        <v>7119</v>
      </c>
      <c r="G29" t="s">
        <v>7189</v>
      </c>
      <c r="H29" t="s">
        <v>7190</v>
      </c>
      <c r="I29" t="s">
        <v>7191</v>
      </c>
    </row>
    <row r="30" spans="1:9" x14ac:dyDescent="0.2">
      <c r="A30" t="s">
        <v>40</v>
      </c>
      <c r="B30" t="s">
        <v>41</v>
      </c>
      <c r="C30" t="s">
        <v>19</v>
      </c>
      <c r="D30" t="s">
        <v>43</v>
      </c>
      <c r="E30" t="str">
        <f>HYPERLINK("/pdf/2025_10.1002_9781394250141.ch11_Security_and_privacy_issues_in_RIS-based_wireless_communication_systems.pdf","open")</f>
        <v>open</v>
      </c>
      <c r="F30" t="s">
        <v>7119</v>
      </c>
      <c r="G30" t="s">
        <v>7192</v>
      </c>
      <c r="H30" t="s">
        <v>7193</v>
      </c>
      <c r="I30" t="s">
        <v>7194</v>
      </c>
    </row>
    <row r="31" spans="1:9" x14ac:dyDescent="0.2">
      <c r="A31" t="s">
        <v>40</v>
      </c>
      <c r="B31" t="s">
        <v>41</v>
      </c>
      <c r="C31" t="s">
        <v>19</v>
      </c>
      <c r="D31" t="s">
        <v>43</v>
      </c>
      <c r="E31" t="str">
        <f>HYPERLINK("/pdf/2025_10.1002_9781394250141.ch11_Security_and_privacy_issues_in_RIS-based_wireless_communication_systems.pdf","open")</f>
        <v>open</v>
      </c>
      <c r="F31" t="s">
        <v>7130</v>
      </c>
      <c r="G31" t="s">
        <v>1571</v>
      </c>
      <c r="I31" t="s">
        <v>7195</v>
      </c>
    </row>
    <row r="32" spans="1:9" x14ac:dyDescent="0.2">
      <c r="A32" t="s">
        <v>40</v>
      </c>
      <c r="B32" t="s">
        <v>41</v>
      </c>
      <c r="C32" t="s">
        <v>19</v>
      </c>
      <c r="D32" t="s">
        <v>43</v>
      </c>
      <c r="E32" t="str">
        <f>HYPERLINK("/pdf/2025_10.1002_9781394250141.ch11_Security_and_privacy_issues_in_RIS-based_wireless_communication_systems.pdf","open")</f>
        <v>open</v>
      </c>
      <c r="F32" t="s">
        <v>7130</v>
      </c>
      <c r="G32" t="s">
        <v>7196</v>
      </c>
      <c r="I32" t="s">
        <v>7197</v>
      </c>
    </row>
    <row r="33" spans="1:9" x14ac:dyDescent="0.2">
      <c r="A33" t="s">
        <v>46</v>
      </c>
      <c r="B33" t="s">
        <v>47</v>
      </c>
      <c r="C33" t="s">
        <v>48</v>
      </c>
      <c r="D33" t="s">
        <v>50</v>
      </c>
      <c r="E33" t="str">
        <f t="shared" ref="E33:E38" si="1">HYPERLINK("/pdf/2026_10.1109_mcomstd.2026.3653959_Robust_and_Privacy-Aware_Network_Flow_Watermarking_for_Digital_Twin_Communications_in_5G_6G_Edge_Environments.pdf","open")</f>
        <v>open</v>
      </c>
      <c r="F33" t="s">
        <v>7119</v>
      </c>
      <c r="G33" t="s">
        <v>7198</v>
      </c>
      <c r="H33" t="s">
        <v>7199</v>
      </c>
      <c r="I33" t="s">
        <v>7172</v>
      </c>
    </row>
    <row r="34" spans="1:9" x14ac:dyDescent="0.2">
      <c r="A34" t="s">
        <v>46</v>
      </c>
      <c r="B34" t="s">
        <v>47</v>
      </c>
      <c r="C34" t="s">
        <v>48</v>
      </c>
      <c r="D34" t="s">
        <v>50</v>
      </c>
      <c r="E34" t="str">
        <f t="shared" si="1"/>
        <v>open</v>
      </c>
      <c r="F34" t="s">
        <v>7119</v>
      </c>
      <c r="G34" t="s">
        <v>7200</v>
      </c>
      <c r="H34" t="s">
        <v>7201</v>
      </c>
      <c r="I34" t="s">
        <v>7202</v>
      </c>
    </row>
    <row r="35" spans="1:9" x14ac:dyDescent="0.2">
      <c r="A35" t="s">
        <v>46</v>
      </c>
      <c r="B35" t="s">
        <v>47</v>
      </c>
      <c r="C35" t="s">
        <v>48</v>
      </c>
      <c r="D35" t="s">
        <v>50</v>
      </c>
      <c r="E35" t="str">
        <f t="shared" si="1"/>
        <v>open</v>
      </c>
      <c r="F35" t="s">
        <v>7119</v>
      </c>
      <c r="G35" t="s">
        <v>7203</v>
      </c>
      <c r="H35" t="s">
        <v>7204</v>
      </c>
      <c r="I35" t="s">
        <v>7202</v>
      </c>
    </row>
    <row r="36" spans="1:9" x14ac:dyDescent="0.2">
      <c r="A36" t="s">
        <v>46</v>
      </c>
      <c r="B36" t="s">
        <v>47</v>
      </c>
      <c r="C36" t="s">
        <v>48</v>
      </c>
      <c r="D36" t="s">
        <v>50</v>
      </c>
      <c r="E36" t="str">
        <f t="shared" si="1"/>
        <v>open</v>
      </c>
      <c r="F36" t="s">
        <v>7119</v>
      </c>
      <c r="G36" t="s">
        <v>7205</v>
      </c>
      <c r="H36" t="s">
        <v>7206</v>
      </c>
      <c r="I36" t="s">
        <v>7151</v>
      </c>
    </row>
    <row r="37" spans="1:9" x14ac:dyDescent="0.2">
      <c r="A37" t="s">
        <v>46</v>
      </c>
      <c r="B37" t="s">
        <v>47</v>
      </c>
      <c r="C37" t="s">
        <v>48</v>
      </c>
      <c r="D37" t="s">
        <v>50</v>
      </c>
      <c r="E37" t="str">
        <f t="shared" si="1"/>
        <v>open</v>
      </c>
      <c r="F37" t="s">
        <v>7130</v>
      </c>
      <c r="G37" t="s">
        <v>1571</v>
      </c>
      <c r="I37" t="s">
        <v>7158</v>
      </c>
    </row>
    <row r="38" spans="1:9" x14ac:dyDescent="0.2">
      <c r="A38" t="s">
        <v>46</v>
      </c>
      <c r="B38" t="s">
        <v>47</v>
      </c>
      <c r="C38" t="s">
        <v>48</v>
      </c>
      <c r="D38" t="s">
        <v>50</v>
      </c>
      <c r="E38" t="str">
        <f t="shared" si="1"/>
        <v>open</v>
      </c>
      <c r="F38" t="s">
        <v>7130</v>
      </c>
      <c r="G38" t="s">
        <v>1597</v>
      </c>
      <c r="I38" t="s">
        <v>7200</v>
      </c>
    </row>
    <row r="39" spans="1:9" x14ac:dyDescent="0.2">
      <c r="A39" t="s">
        <v>52</v>
      </c>
      <c r="B39" t="s">
        <v>53</v>
      </c>
      <c r="C39" t="s">
        <v>54</v>
      </c>
      <c r="D39" t="s">
        <v>56</v>
      </c>
      <c r="E39" t="str">
        <f t="shared" ref="E39:E44" si="2">HYPERLINK("/pdf/2020_10_3390_app10113978_droid_portrait_android_malware_portrait_construction_based_on_multidimensional_behavior_a.pdf","open")</f>
        <v>open</v>
      </c>
      <c r="F39" t="s">
        <v>7119</v>
      </c>
      <c r="G39" t="s">
        <v>7207</v>
      </c>
      <c r="H39" t="s">
        <v>7208</v>
      </c>
      <c r="I39" t="s">
        <v>7209</v>
      </c>
    </row>
    <row r="40" spans="1:9" x14ac:dyDescent="0.2">
      <c r="A40" t="s">
        <v>52</v>
      </c>
      <c r="B40" t="s">
        <v>53</v>
      </c>
      <c r="C40" t="s">
        <v>54</v>
      </c>
      <c r="D40" t="s">
        <v>56</v>
      </c>
      <c r="E40" t="str">
        <f t="shared" si="2"/>
        <v>open</v>
      </c>
      <c r="F40" t="s">
        <v>7119</v>
      </c>
      <c r="G40" t="s">
        <v>7210</v>
      </c>
      <c r="H40" t="s">
        <v>7211</v>
      </c>
      <c r="I40" t="s">
        <v>7212</v>
      </c>
    </row>
    <row r="41" spans="1:9" x14ac:dyDescent="0.2">
      <c r="A41" t="s">
        <v>52</v>
      </c>
      <c r="B41" t="s">
        <v>53</v>
      </c>
      <c r="C41" t="s">
        <v>54</v>
      </c>
      <c r="D41" t="s">
        <v>56</v>
      </c>
      <c r="E41" t="str">
        <f t="shared" si="2"/>
        <v>open</v>
      </c>
      <c r="F41" t="s">
        <v>7119</v>
      </c>
      <c r="G41" t="s">
        <v>7213</v>
      </c>
      <c r="H41" t="s">
        <v>7214</v>
      </c>
      <c r="I41" t="s">
        <v>7212</v>
      </c>
    </row>
    <row r="42" spans="1:9" x14ac:dyDescent="0.2">
      <c r="A42" t="s">
        <v>52</v>
      </c>
      <c r="B42" t="s">
        <v>53</v>
      </c>
      <c r="C42" t="s">
        <v>54</v>
      </c>
      <c r="D42" t="s">
        <v>56</v>
      </c>
      <c r="E42" t="str">
        <f t="shared" si="2"/>
        <v>open</v>
      </c>
      <c r="F42" t="s">
        <v>7119</v>
      </c>
      <c r="G42" t="s">
        <v>7215</v>
      </c>
      <c r="H42" t="s">
        <v>7216</v>
      </c>
      <c r="I42" t="s">
        <v>7172</v>
      </c>
    </row>
    <row r="43" spans="1:9" x14ac:dyDescent="0.2">
      <c r="A43" t="s">
        <v>52</v>
      </c>
      <c r="B43" t="s">
        <v>53</v>
      </c>
      <c r="C43" t="s">
        <v>54</v>
      </c>
      <c r="D43" t="s">
        <v>56</v>
      </c>
      <c r="E43" t="str">
        <f t="shared" si="2"/>
        <v>open</v>
      </c>
      <c r="F43" t="s">
        <v>7130</v>
      </c>
      <c r="G43" t="s">
        <v>1584</v>
      </c>
      <c r="I43" t="s">
        <v>7217</v>
      </c>
    </row>
    <row r="44" spans="1:9" x14ac:dyDescent="0.2">
      <c r="A44" t="s">
        <v>52</v>
      </c>
      <c r="B44" t="s">
        <v>53</v>
      </c>
      <c r="C44" t="s">
        <v>54</v>
      </c>
      <c r="D44" t="s">
        <v>56</v>
      </c>
      <c r="E44" t="str">
        <f t="shared" si="2"/>
        <v>open</v>
      </c>
      <c r="F44" t="s">
        <v>7130</v>
      </c>
      <c r="G44" t="s">
        <v>1592</v>
      </c>
      <c r="I44" t="s">
        <v>7218</v>
      </c>
    </row>
    <row r="45" spans="1:9" x14ac:dyDescent="0.2">
      <c r="A45" t="s">
        <v>58</v>
      </c>
      <c r="B45" t="s">
        <v>59</v>
      </c>
      <c r="C45" t="s">
        <v>60</v>
      </c>
      <c r="D45" t="s">
        <v>62</v>
      </c>
      <c r="E45" t="str">
        <f>HYPERLINK("/pdf/2024_10.17770_etr2024vol2.8062_Management_approaches_and_application_areas_of_information_security_in_organizations.pdf","open")</f>
        <v>open</v>
      </c>
      <c r="F45" t="s">
        <v>7119</v>
      </c>
      <c r="G45" t="s">
        <v>7219</v>
      </c>
      <c r="H45" t="s">
        <v>7220</v>
      </c>
      <c r="I45" t="s">
        <v>7178</v>
      </c>
    </row>
    <row r="46" spans="1:9" x14ac:dyDescent="0.2">
      <c r="A46" t="s">
        <v>58</v>
      </c>
      <c r="B46" t="s">
        <v>59</v>
      </c>
      <c r="C46" t="s">
        <v>60</v>
      </c>
      <c r="D46" t="s">
        <v>62</v>
      </c>
      <c r="E46" t="str">
        <f>HYPERLINK("/pdf/2024_10.17770_etr2024vol2.8062_Management_approaches_and_application_areas_of_information_security_in_organizations.pdf","open")</f>
        <v>open</v>
      </c>
      <c r="F46" t="s">
        <v>7119</v>
      </c>
      <c r="G46" t="s">
        <v>7221</v>
      </c>
      <c r="H46" t="s">
        <v>7222</v>
      </c>
      <c r="I46" t="s">
        <v>7178</v>
      </c>
    </row>
    <row r="47" spans="1:9" x14ac:dyDescent="0.2">
      <c r="A47" t="s">
        <v>58</v>
      </c>
      <c r="B47" t="s">
        <v>59</v>
      </c>
      <c r="C47" t="s">
        <v>60</v>
      </c>
      <c r="D47" t="s">
        <v>62</v>
      </c>
      <c r="E47" t="str">
        <f>HYPERLINK("/pdf/2024_10.17770_etr2024vol2.8062_Management_approaches_and_application_areas_of_information_security_in_organizations.pdf","open")</f>
        <v>open</v>
      </c>
      <c r="F47" t="s">
        <v>7119</v>
      </c>
      <c r="G47" t="s">
        <v>7223</v>
      </c>
      <c r="H47" t="s">
        <v>7224</v>
      </c>
      <c r="I47" t="s">
        <v>7225</v>
      </c>
    </row>
    <row r="48" spans="1:9" x14ac:dyDescent="0.2">
      <c r="A48" t="s">
        <v>58</v>
      </c>
      <c r="B48" t="s">
        <v>59</v>
      </c>
      <c r="C48" t="s">
        <v>60</v>
      </c>
      <c r="D48" t="s">
        <v>62</v>
      </c>
      <c r="E48" t="str">
        <f>HYPERLINK("/pdf/2024_10.17770_etr2024vol2.8062_Management_approaches_and_application_areas_of_information_security_in_organizations.pdf","open")</f>
        <v>open</v>
      </c>
      <c r="F48" t="s">
        <v>7130</v>
      </c>
      <c r="G48" t="s">
        <v>1571</v>
      </c>
      <c r="I48" t="s">
        <v>7158</v>
      </c>
    </row>
    <row r="49" spans="1:9" x14ac:dyDescent="0.2">
      <c r="A49" t="s">
        <v>58</v>
      </c>
      <c r="B49" t="s">
        <v>59</v>
      </c>
      <c r="C49" t="s">
        <v>60</v>
      </c>
      <c r="D49" t="s">
        <v>62</v>
      </c>
      <c r="E49" t="str">
        <f>HYPERLINK("/pdf/2024_10.17770_etr2024vol2.8062_Management_approaches_and_application_areas_of_information_security_in_organizations.pdf","open")</f>
        <v>open</v>
      </c>
      <c r="F49" t="s">
        <v>7130</v>
      </c>
      <c r="G49" t="s">
        <v>1592</v>
      </c>
      <c r="I49" t="s">
        <v>7226</v>
      </c>
    </row>
    <row r="50" spans="1:9" x14ac:dyDescent="0.2">
      <c r="A50" t="s">
        <v>64</v>
      </c>
      <c r="B50" t="s">
        <v>65</v>
      </c>
      <c r="C50" t="s">
        <v>12</v>
      </c>
      <c r="D50" t="s">
        <v>67</v>
      </c>
      <c r="E50" t="str">
        <f t="shared" ref="E50:E55" si="3">HYPERLINK("/pdf/2018_10.1109_tse.2017.2697848_Towards_Model_Checking_Android_Applications.pdf","open")</f>
        <v>open</v>
      </c>
      <c r="F50" t="s">
        <v>7119</v>
      </c>
      <c r="G50" t="s">
        <v>7227</v>
      </c>
      <c r="H50" t="s">
        <v>7228</v>
      </c>
      <c r="I50" t="s">
        <v>7178</v>
      </c>
    </row>
    <row r="51" spans="1:9" x14ac:dyDescent="0.2">
      <c r="A51" t="s">
        <v>64</v>
      </c>
      <c r="B51" t="s">
        <v>65</v>
      </c>
      <c r="C51" t="s">
        <v>12</v>
      </c>
      <c r="D51" t="s">
        <v>67</v>
      </c>
      <c r="E51" t="str">
        <f t="shared" si="3"/>
        <v>open</v>
      </c>
      <c r="F51" t="s">
        <v>7119</v>
      </c>
      <c r="G51" t="s">
        <v>7229</v>
      </c>
      <c r="H51" t="s">
        <v>7230</v>
      </c>
      <c r="I51" t="s">
        <v>7231</v>
      </c>
    </row>
    <row r="52" spans="1:9" x14ac:dyDescent="0.2">
      <c r="A52" t="s">
        <v>64</v>
      </c>
      <c r="B52" t="s">
        <v>65</v>
      </c>
      <c r="C52" t="s">
        <v>12</v>
      </c>
      <c r="D52" t="s">
        <v>67</v>
      </c>
      <c r="E52" t="str">
        <f t="shared" si="3"/>
        <v>open</v>
      </c>
      <c r="F52" t="s">
        <v>7119</v>
      </c>
      <c r="G52" t="s">
        <v>7232</v>
      </c>
      <c r="H52" t="s">
        <v>7233</v>
      </c>
      <c r="I52" t="s">
        <v>7234</v>
      </c>
    </row>
    <row r="53" spans="1:9" x14ac:dyDescent="0.2">
      <c r="A53" t="s">
        <v>64</v>
      </c>
      <c r="B53" t="s">
        <v>65</v>
      </c>
      <c r="C53" t="s">
        <v>12</v>
      </c>
      <c r="D53" t="s">
        <v>67</v>
      </c>
      <c r="E53" t="str">
        <f t="shared" si="3"/>
        <v>open</v>
      </c>
      <c r="F53" t="s">
        <v>7119</v>
      </c>
      <c r="G53" t="s">
        <v>7235</v>
      </c>
      <c r="H53" t="s">
        <v>7236</v>
      </c>
      <c r="I53" t="s">
        <v>7237</v>
      </c>
    </row>
    <row r="54" spans="1:9" x14ac:dyDescent="0.2">
      <c r="A54" t="s">
        <v>64</v>
      </c>
      <c r="B54" t="s">
        <v>65</v>
      </c>
      <c r="C54" t="s">
        <v>12</v>
      </c>
      <c r="D54" t="s">
        <v>67</v>
      </c>
      <c r="E54" t="str">
        <f t="shared" si="3"/>
        <v>open</v>
      </c>
      <c r="F54" t="s">
        <v>7130</v>
      </c>
      <c r="G54" t="s">
        <v>1597</v>
      </c>
      <c r="I54" t="s">
        <v>7238</v>
      </c>
    </row>
    <row r="55" spans="1:9" x14ac:dyDescent="0.2">
      <c r="A55" t="s">
        <v>64</v>
      </c>
      <c r="B55" t="s">
        <v>65</v>
      </c>
      <c r="C55" t="s">
        <v>12</v>
      </c>
      <c r="D55" t="s">
        <v>67</v>
      </c>
      <c r="E55" t="str">
        <f t="shared" si="3"/>
        <v>open</v>
      </c>
      <c r="F55" t="s">
        <v>7130</v>
      </c>
      <c r="G55" t="s">
        <v>1575</v>
      </c>
      <c r="I55" t="s">
        <v>7239</v>
      </c>
    </row>
    <row r="56" spans="1:9" x14ac:dyDescent="0.2">
      <c r="A56" t="s">
        <v>69</v>
      </c>
      <c r="B56" t="s">
        <v>70</v>
      </c>
      <c r="C56" t="s">
        <v>25</v>
      </c>
      <c r="D56" t="s">
        <v>72</v>
      </c>
      <c r="E56" t="str">
        <f>HYPERLINK("/pdf/2023_10.7717_peerj-cs.1543_Scheduling_algorithms_for_data-protection_based_on_security-classification_constraints_to_data-dissemination.pdf","open")</f>
        <v>open</v>
      </c>
      <c r="F56" t="s">
        <v>7119</v>
      </c>
      <c r="G56" t="s">
        <v>7240</v>
      </c>
      <c r="H56" t="s">
        <v>7241</v>
      </c>
      <c r="I56" t="s">
        <v>7178</v>
      </c>
    </row>
    <row r="57" spans="1:9" x14ac:dyDescent="0.2">
      <c r="A57" t="s">
        <v>69</v>
      </c>
      <c r="B57" t="s">
        <v>70</v>
      </c>
      <c r="C57" t="s">
        <v>25</v>
      </c>
      <c r="D57" t="s">
        <v>72</v>
      </c>
      <c r="E57" t="str">
        <f>HYPERLINK("/pdf/2023_10.7717_peerj-cs.1543_Scheduling_algorithms_for_data-protection_based_on_security-classification_constraints_to_data-dissemination.pdf","open")</f>
        <v>open</v>
      </c>
      <c r="F57" t="s">
        <v>7119</v>
      </c>
      <c r="G57" t="s">
        <v>7242</v>
      </c>
      <c r="H57" t="s">
        <v>7243</v>
      </c>
      <c r="I57" t="s">
        <v>7244</v>
      </c>
    </row>
    <row r="58" spans="1:9" x14ac:dyDescent="0.2">
      <c r="A58" t="s">
        <v>69</v>
      </c>
      <c r="B58" t="s">
        <v>70</v>
      </c>
      <c r="C58" t="s">
        <v>25</v>
      </c>
      <c r="D58" t="s">
        <v>72</v>
      </c>
      <c r="E58" t="str">
        <f>HYPERLINK("/pdf/2023_10.7717_peerj-cs.1543_Scheduling_algorithms_for_data-protection_based_on_security-classification_constraints_to_data-dissemination.pdf","open")</f>
        <v>open</v>
      </c>
      <c r="F58" t="s">
        <v>7119</v>
      </c>
      <c r="G58" t="s">
        <v>7245</v>
      </c>
      <c r="H58" t="s">
        <v>7246</v>
      </c>
      <c r="I58" t="s">
        <v>7247</v>
      </c>
    </row>
    <row r="59" spans="1:9" x14ac:dyDescent="0.2">
      <c r="A59" t="s">
        <v>69</v>
      </c>
      <c r="B59" t="s">
        <v>70</v>
      </c>
      <c r="C59" t="s">
        <v>25</v>
      </c>
      <c r="D59" t="s">
        <v>72</v>
      </c>
      <c r="E59" t="str">
        <f>HYPERLINK("/pdf/2023_10.7717_peerj-cs.1543_Scheduling_algorithms_for_data-protection_based_on_security-classification_constraints_to_data-dissemination.pdf","open")</f>
        <v>open</v>
      </c>
      <c r="F59" t="s">
        <v>7130</v>
      </c>
      <c r="G59" t="s">
        <v>1571</v>
      </c>
      <c r="I59" t="s">
        <v>7178</v>
      </c>
    </row>
    <row r="60" spans="1:9" x14ac:dyDescent="0.2">
      <c r="A60" t="s">
        <v>69</v>
      </c>
      <c r="B60" t="s">
        <v>70</v>
      </c>
      <c r="C60" t="s">
        <v>25</v>
      </c>
      <c r="D60" t="s">
        <v>72</v>
      </c>
      <c r="E60" t="str">
        <f>HYPERLINK("/pdf/2023_10.7717_peerj-cs.1543_Scheduling_algorithms_for_data-protection_based_on_security-classification_constraints_to_data-dissemination.pdf","open")</f>
        <v>open</v>
      </c>
      <c r="F60" t="s">
        <v>7130</v>
      </c>
      <c r="G60" t="s">
        <v>1592</v>
      </c>
      <c r="I60" t="s">
        <v>7248</v>
      </c>
    </row>
    <row r="61" spans="1:9" x14ac:dyDescent="0.2">
      <c r="A61" t="s">
        <v>74</v>
      </c>
      <c r="B61" t="s">
        <v>75</v>
      </c>
      <c r="C61" t="s">
        <v>25</v>
      </c>
      <c r="D61" t="s">
        <v>74</v>
      </c>
      <c r="E61" t="str">
        <f>HYPERLINK("/pdf/2024_10_1109_access_2024_3363640_how_can_credit_supervision_mechanism_improve_security_crowdsourcing_ecosystem_go.pdf","open")</f>
        <v>open</v>
      </c>
      <c r="F61" t="s">
        <v>7119</v>
      </c>
      <c r="G61" t="s">
        <v>7249</v>
      </c>
      <c r="H61" t="s">
        <v>7250</v>
      </c>
      <c r="I61" t="s">
        <v>7151</v>
      </c>
    </row>
    <row r="62" spans="1:9" x14ac:dyDescent="0.2">
      <c r="A62" t="s">
        <v>74</v>
      </c>
      <c r="B62" t="s">
        <v>75</v>
      </c>
      <c r="C62" t="s">
        <v>25</v>
      </c>
      <c r="D62" t="s">
        <v>74</v>
      </c>
      <c r="E62" t="str">
        <f>HYPERLINK("/pdf/2024_10_1109_access_2024_3363640_how_can_credit_supervision_mechanism_improve_security_crowdsourcing_ecosystem_go.pdf","open")</f>
        <v>open</v>
      </c>
      <c r="F62" t="s">
        <v>7119</v>
      </c>
      <c r="G62" t="s">
        <v>7251</v>
      </c>
      <c r="H62" t="s">
        <v>7252</v>
      </c>
      <c r="I62" t="s">
        <v>7253</v>
      </c>
    </row>
    <row r="63" spans="1:9" x14ac:dyDescent="0.2">
      <c r="A63" t="s">
        <v>74</v>
      </c>
      <c r="B63" t="s">
        <v>75</v>
      </c>
      <c r="C63" t="s">
        <v>25</v>
      </c>
      <c r="D63" t="s">
        <v>74</v>
      </c>
      <c r="E63" t="str">
        <f>HYPERLINK("/pdf/2024_10_1109_access_2024_3363640_how_can_credit_supervision_mechanism_improve_security_crowdsourcing_ecosystem_go.pdf","open")</f>
        <v>open</v>
      </c>
      <c r="F63" t="s">
        <v>7119</v>
      </c>
      <c r="G63" t="s">
        <v>7254</v>
      </c>
      <c r="H63" t="s">
        <v>7255</v>
      </c>
      <c r="I63" t="s">
        <v>7256</v>
      </c>
    </row>
    <row r="64" spans="1:9" x14ac:dyDescent="0.2">
      <c r="A64" t="s">
        <v>74</v>
      </c>
      <c r="B64" t="s">
        <v>75</v>
      </c>
      <c r="C64" t="s">
        <v>25</v>
      </c>
      <c r="D64" t="s">
        <v>74</v>
      </c>
      <c r="E64" t="str">
        <f>HYPERLINK("/pdf/2024_10_1109_access_2024_3363640_how_can_credit_supervision_mechanism_improve_security_crowdsourcing_ecosystem_go.pdf","open")</f>
        <v>open</v>
      </c>
      <c r="F64" t="s">
        <v>7130</v>
      </c>
      <c r="G64" t="s">
        <v>1571</v>
      </c>
      <c r="I64" t="s">
        <v>7178</v>
      </c>
    </row>
    <row r="65" spans="1:9" x14ac:dyDescent="0.2">
      <c r="A65" t="s">
        <v>74</v>
      </c>
      <c r="B65" t="s">
        <v>75</v>
      </c>
      <c r="C65" t="s">
        <v>25</v>
      </c>
      <c r="D65" t="s">
        <v>74</v>
      </c>
      <c r="E65" t="str">
        <f>HYPERLINK("/pdf/2024_10_1109_access_2024_3363640_how_can_credit_supervision_mechanism_improve_security_crowdsourcing_ecosystem_go.pdf","open")</f>
        <v>open</v>
      </c>
      <c r="F65" t="s">
        <v>7130</v>
      </c>
      <c r="G65" t="s">
        <v>1592</v>
      </c>
      <c r="I65" t="s">
        <v>7257</v>
      </c>
    </row>
    <row r="66" spans="1:9" x14ac:dyDescent="0.2">
      <c r="A66" t="s">
        <v>78</v>
      </c>
      <c r="B66" t="s">
        <v>79</v>
      </c>
      <c r="C66" t="s">
        <v>19</v>
      </c>
      <c r="D66" t="s">
        <v>81</v>
      </c>
      <c r="E66" t="str">
        <f>HYPERLINK("/pdf/2025_10_26583_sv_17_5_11_performance_comparison_of_various_software_tools_in_photogrammetry_based_digitiz.pdf","open")</f>
        <v>open</v>
      </c>
      <c r="F66" t="s">
        <v>7119</v>
      </c>
      <c r="G66" t="s">
        <v>7258</v>
      </c>
      <c r="H66" t="s">
        <v>7259</v>
      </c>
      <c r="I66" t="s">
        <v>7178</v>
      </c>
    </row>
    <row r="67" spans="1:9" x14ac:dyDescent="0.2">
      <c r="A67" t="s">
        <v>78</v>
      </c>
      <c r="B67" t="s">
        <v>79</v>
      </c>
      <c r="C67" t="s">
        <v>19</v>
      </c>
      <c r="D67" t="s">
        <v>81</v>
      </c>
      <c r="E67" t="str">
        <f>HYPERLINK("/pdf/2025_10_26583_sv_17_5_11_performance_comparison_of_various_software_tools_in_photogrammetry_based_digitiz.pdf","open")</f>
        <v>open</v>
      </c>
      <c r="F67" t="s">
        <v>7119</v>
      </c>
      <c r="G67" t="s">
        <v>7260</v>
      </c>
      <c r="H67" t="s">
        <v>7261</v>
      </c>
      <c r="I67" t="s">
        <v>7215</v>
      </c>
    </row>
    <row r="68" spans="1:9" x14ac:dyDescent="0.2">
      <c r="A68" t="s">
        <v>78</v>
      </c>
      <c r="B68" t="s">
        <v>79</v>
      </c>
      <c r="C68" t="s">
        <v>19</v>
      </c>
      <c r="D68" t="s">
        <v>81</v>
      </c>
      <c r="E68" t="str">
        <f>HYPERLINK("/pdf/2025_10_26583_sv_17_5_11_performance_comparison_of_various_software_tools_in_photogrammetry_based_digitiz.pdf","open")</f>
        <v>open</v>
      </c>
      <c r="F68" t="s">
        <v>7119</v>
      </c>
      <c r="G68" t="s">
        <v>7262</v>
      </c>
      <c r="H68" t="s">
        <v>7263</v>
      </c>
      <c r="I68" t="s">
        <v>7264</v>
      </c>
    </row>
    <row r="69" spans="1:9" x14ac:dyDescent="0.2">
      <c r="A69" t="s">
        <v>78</v>
      </c>
      <c r="B69" t="s">
        <v>79</v>
      </c>
      <c r="C69" t="s">
        <v>19</v>
      </c>
      <c r="D69" t="s">
        <v>81</v>
      </c>
      <c r="E69" t="str">
        <f>HYPERLINK("/pdf/2025_10_26583_sv_17_5_11_performance_comparison_of_various_software_tools_in_photogrammetry_based_digitiz.pdf","open")</f>
        <v>open</v>
      </c>
      <c r="F69" t="s">
        <v>7130</v>
      </c>
      <c r="G69" t="s">
        <v>1571</v>
      </c>
      <c r="I69" t="s">
        <v>7178</v>
      </c>
    </row>
    <row r="70" spans="1:9" x14ac:dyDescent="0.2">
      <c r="A70" t="s">
        <v>78</v>
      </c>
      <c r="B70" t="s">
        <v>79</v>
      </c>
      <c r="C70" t="s">
        <v>19</v>
      </c>
      <c r="D70" t="s">
        <v>81</v>
      </c>
      <c r="E70" t="str">
        <f>HYPERLINK("/pdf/2025_10_26583_sv_17_5_11_performance_comparison_of_various_software_tools_in_photogrammetry_based_digitiz.pdf","open")</f>
        <v>open</v>
      </c>
      <c r="F70" t="s">
        <v>7130</v>
      </c>
      <c r="G70" t="s">
        <v>1580</v>
      </c>
      <c r="I70" t="s">
        <v>7265</v>
      </c>
    </row>
    <row r="71" spans="1:9" x14ac:dyDescent="0.2">
      <c r="A71" t="s">
        <v>83</v>
      </c>
      <c r="B71" t="s">
        <v>84</v>
      </c>
      <c r="C71" t="s">
        <v>19</v>
      </c>
      <c r="D71" t="s">
        <v>86</v>
      </c>
      <c r="E71" t="str">
        <f t="shared" ref="E71:E76" si="4">HYPERLINK("/pdf/2025_10.1016_j.icte.2025.05.002_Lightweight_federated_learning-based_intrusion_detection_system_for_industrial_internet_of_things.pdf","open")</f>
        <v>open</v>
      </c>
      <c r="F71" t="s">
        <v>7119</v>
      </c>
      <c r="G71" t="s">
        <v>7266</v>
      </c>
      <c r="H71" t="s">
        <v>7267</v>
      </c>
      <c r="I71" t="s">
        <v>7268</v>
      </c>
    </row>
    <row r="72" spans="1:9" x14ac:dyDescent="0.2">
      <c r="A72" t="s">
        <v>83</v>
      </c>
      <c r="B72" t="s">
        <v>84</v>
      </c>
      <c r="C72" t="s">
        <v>19</v>
      </c>
      <c r="D72" t="s">
        <v>86</v>
      </c>
      <c r="E72" t="str">
        <f t="shared" si="4"/>
        <v>open</v>
      </c>
      <c r="F72" t="s">
        <v>7119</v>
      </c>
      <c r="G72" t="s">
        <v>7269</v>
      </c>
      <c r="H72" t="s">
        <v>7270</v>
      </c>
      <c r="I72" t="s">
        <v>7268</v>
      </c>
    </row>
    <row r="73" spans="1:9" x14ac:dyDescent="0.2">
      <c r="A73" t="s">
        <v>83</v>
      </c>
      <c r="B73" t="s">
        <v>84</v>
      </c>
      <c r="C73" t="s">
        <v>19</v>
      </c>
      <c r="D73" t="s">
        <v>86</v>
      </c>
      <c r="E73" t="str">
        <f t="shared" si="4"/>
        <v>open</v>
      </c>
      <c r="F73" t="s">
        <v>7119</v>
      </c>
      <c r="G73" t="s">
        <v>7271</v>
      </c>
      <c r="H73" t="s">
        <v>7272</v>
      </c>
      <c r="I73" t="s">
        <v>7268</v>
      </c>
    </row>
    <row r="74" spans="1:9" x14ac:dyDescent="0.2">
      <c r="A74" t="s">
        <v>83</v>
      </c>
      <c r="B74" t="s">
        <v>84</v>
      </c>
      <c r="C74" t="s">
        <v>19</v>
      </c>
      <c r="D74" t="s">
        <v>86</v>
      </c>
      <c r="E74" t="str">
        <f t="shared" si="4"/>
        <v>open</v>
      </c>
      <c r="F74" t="s">
        <v>7119</v>
      </c>
      <c r="G74" t="s">
        <v>7273</v>
      </c>
      <c r="H74" t="s">
        <v>7274</v>
      </c>
      <c r="I74" t="s">
        <v>7275</v>
      </c>
    </row>
    <row r="75" spans="1:9" x14ac:dyDescent="0.2">
      <c r="A75" t="s">
        <v>83</v>
      </c>
      <c r="B75" t="s">
        <v>84</v>
      </c>
      <c r="C75" t="s">
        <v>19</v>
      </c>
      <c r="D75" t="s">
        <v>86</v>
      </c>
      <c r="E75" t="str">
        <f t="shared" si="4"/>
        <v>open</v>
      </c>
      <c r="F75" t="s">
        <v>7130</v>
      </c>
      <c r="G75" t="s">
        <v>1584</v>
      </c>
      <c r="I75" t="s">
        <v>7276</v>
      </c>
    </row>
    <row r="76" spans="1:9" x14ac:dyDescent="0.2">
      <c r="A76" t="s">
        <v>83</v>
      </c>
      <c r="B76" t="s">
        <v>84</v>
      </c>
      <c r="C76" t="s">
        <v>19</v>
      </c>
      <c r="D76" t="s">
        <v>86</v>
      </c>
      <c r="E76" t="str">
        <f t="shared" si="4"/>
        <v>open</v>
      </c>
      <c r="F76" t="s">
        <v>7130</v>
      </c>
      <c r="G76" t="s">
        <v>1574</v>
      </c>
      <c r="I76" t="s">
        <v>7277</v>
      </c>
    </row>
    <row r="77" spans="1:9" x14ac:dyDescent="0.2">
      <c r="A77" t="s">
        <v>88</v>
      </c>
      <c r="B77" t="s">
        <v>89</v>
      </c>
      <c r="C77" t="s">
        <v>60</v>
      </c>
      <c r="D77" t="s">
        <v>91</v>
      </c>
      <c r="E77" t="str">
        <f t="shared" ref="E77:E82" si="5">HYPERLINK("/pdf/2024_10.1109_icstem61137.2024.10560825_SentinelGuard__An_Integration_of_Intelligent_Text_Data_Loss_Prevention_Mechanism_for_Organizational_Security_(.pdf","open")</f>
        <v>open</v>
      </c>
      <c r="F77" t="s">
        <v>7119</v>
      </c>
      <c r="G77" t="s">
        <v>7278</v>
      </c>
      <c r="H77" t="s">
        <v>7279</v>
      </c>
      <c r="I77" t="s">
        <v>7151</v>
      </c>
    </row>
    <row r="78" spans="1:9" x14ac:dyDescent="0.2">
      <c r="A78" t="s">
        <v>88</v>
      </c>
      <c r="B78" t="s">
        <v>89</v>
      </c>
      <c r="C78" t="s">
        <v>60</v>
      </c>
      <c r="D78" t="s">
        <v>91</v>
      </c>
      <c r="E78" t="str">
        <f t="shared" si="5"/>
        <v>open</v>
      </c>
      <c r="F78" t="s">
        <v>7119</v>
      </c>
      <c r="G78" t="s">
        <v>7280</v>
      </c>
      <c r="H78" t="s">
        <v>7281</v>
      </c>
      <c r="I78" t="s">
        <v>7282</v>
      </c>
    </row>
    <row r="79" spans="1:9" x14ac:dyDescent="0.2">
      <c r="A79" t="s">
        <v>88</v>
      </c>
      <c r="B79" t="s">
        <v>89</v>
      </c>
      <c r="C79" t="s">
        <v>60</v>
      </c>
      <c r="D79" t="s">
        <v>91</v>
      </c>
      <c r="E79" t="str">
        <f t="shared" si="5"/>
        <v>open</v>
      </c>
      <c r="F79" t="s">
        <v>7119</v>
      </c>
      <c r="G79" t="s">
        <v>7283</v>
      </c>
      <c r="H79" t="s">
        <v>7284</v>
      </c>
      <c r="I79" t="s">
        <v>7282</v>
      </c>
    </row>
    <row r="80" spans="1:9" x14ac:dyDescent="0.2">
      <c r="A80" t="s">
        <v>88</v>
      </c>
      <c r="B80" t="s">
        <v>89</v>
      </c>
      <c r="C80" t="s">
        <v>60</v>
      </c>
      <c r="D80" t="s">
        <v>91</v>
      </c>
      <c r="E80" t="str">
        <f t="shared" si="5"/>
        <v>open</v>
      </c>
      <c r="F80" t="s">
        <v>7119</v>
      </c>
      <c r="G80" t="s">
        <v>7285</v>
      </c>
      <c r="H80" t="s">
        <v>7286</v>
      </c>
      <c r="I80" t="s">
        <v>7282</v>
      </c>
    </row>
    <row r="81" spans="1:9" x14ac:dyDescent="0.2">
      <c r="A81" t="s">
        <v>88</v>
      </c>
      <c r="B81" t="s">
        <v>89</v>
      </c>
      <c r="C81" t="s">
        <v>60</v>
      </c>
      <c r="D81" t="s">
        <v>91</v>
      </c>
      <c r="E81" t="str">
        <f t="shared" si="5"/>
        <v>open</v>
      </c>
      <c r="F81" t="s">
        <v>7130</v>
      </c>
      <c r="G81" t="s">
        <v>1597</v>
      </c>
      <c r="I81" t="s">
        <v>7287</v>
      </c>
    </row>
    <row r="82" spans="1:9" x14ac:dyDescent="0.2">
      <c r="A82" t="s">
        <v>88</v>
      </c>
      <c r="B82" t="s">
        <v>89</v>
      </c>
      <c r="C82" t="s">
        <v>60</v>
      </c>
      <c r="D82" t="s">
        <v>91</v>
      </c>
      <c r="E82" t="str">
        <f t="shared" si="5"/>
        <v>open</v>
      </c>
      <c r="F82" t="s">
        <v>7130</v>
      </c>
      <c r="G82" t="s">
        <v>7288</v>
      </c>
      <c r="I82" t="s">
        <v>7289</v>
      </c>
    </row>
    <row r="83" spans="1:9" x14ac:dyDescent="0.2">
      <c r="A83" t="s">
        <v>93</v>
      </c>
      <c r="B83" t="s">
        <v>94</v>
      </c>
      <c r="C83" t="s">
        <v>19</v>
      </c>
      <c r="D83" t="s">
        <v>96</v>
      </c>
      <c r="E83" t="str">
        <f t="shared" ref="E83:E89" si="6">HYPERLINK("/pdf/2025_10.1109_itc58126.2025.00011_QuEST__Quantitative_Entropy_based_Security_and_Trojan_Detection_Framework_for_Confidentiality_Verification.pdf","open")</f>
        <v>open</v>
      </c>
      <c r="F83" t="s">
        <v>7119</v>
      </c>
      <c r="G83" t="s">
        <v>7290</v>
      </c>
      <c r="H83" t="s">
        <v>94</v>
      </c>
      <c r="I83" t="s">
        <v>7291</v>
      </c>
    </row>
    <row r="84" spans="1:9" x14ac:dyDescent="0.2">
      <c r="A84" t="s">
        <v>93</v>
      </c>
      <c r="B84" t="s">
        <v>94</v>
      </c>
      <c r="C84" t="s">
        <v>19</v>
      </c>
      <c r="D84" t="s">
        <v>96</v>
      </c>
      <c r="E84" t="str">
        <f t="shared" si="6"/>
        <v>open</v>
      </c>
      <c r="F84" t="s">
        <v>7119</v>
      </c>
      <c r="G84" t="s">
        <v>7292</v>
      </c>
      <c r="H84" t="s">
        <v>7293</v>
      </c>
      <c r="I84" t="s">
        <v>7294</v>
      </c>
    </row>
    <row r="85" spans="1:9" x14ac:dyDescent="0.2">
      <c r="A85" t="s">
        <v>93</v>
      </c>
      <c r="B85" t="s">
        <v>94</v>
      </c>
      <c r="C85" t="s">
        <v>19</v>
      </c>
      <c r="D85" t="s">
        <v>96</v>
      </c>
      <c r="E85" t="str">
        <f t="shared" si="6"/>
        <v>open</v>
      </c>
      <c r="F85" t="s">
        <v>7119</v>
      </c>
      <c r="G85" t="s">
        <v>7295</v>
      </c>
      <c r="H85" t="s">
        <v>7296</v>
      </c>
      <c r="I85" t="s">
        <v>7297</v>
      </c>
    </row>
    <row r="86" spans="1:9" x14ac:dyDescent="0.2">
      <c r="A86" t="s">
        <v>93</v>
      </c>
      <c r="B86" t="s">
        <v>94</v>
      </c>
      <c r="C86" t="s">
        <v>19</v>
      </c>
      <c r="D86" t="s">
        <v>96</v>
      </c>
      <c r="E86" t="str">
        <f t="shared" si="6"/>
        <v>open</v>
      </c>
      <c r="F86" t="s">
        <v>7119</v>
      </c>
      <c r="G86" t="s">
        <v>7203</v>
      </c>
      <c r="H86" t="s">
        <v>7298</v>
      </c>
      <c r="I86" t="s">
        <v>7299</v>
      </c>
    </row>
    <row r="87" spans="1:9" x14ac:dyDescent="0.2">
      <c r="A87" t="s">
        <v>93</v>
      </c>
      <c r="B87" t="s">
        <v>94</v>
      </c>
      <c r="C87" t="s">
        <v>19</v>
      </c>
      <c r="D87" t="s">
        <v>96</v>
      </c>
      <c r="E87" t="str">
        <f t="shared" si="6"/>
        <v>open</v>
      </c>
      <c r="F87" t="s">
        <v>7119</v>
      </c>
      <c r="G87" t="s">
        <v>7300</v>
      </c>
      <c r="H87" t="s">
        <v>7301</v>
      </c>
      <c r="I87" t="s">
        <v>7302</v>
      </c>
    </row>
    <row r="88" spans="1:9" x14ac:dyDescent="0.2">
      <c r="A88" t="s">
        <v>93</v>
      </c>
      <c r="B88" t="s">
        <v>94</v>
      </c>
      <c r="C88" t="s">
        <v>19</v>
      </c>
      <c r="D88" t="s">
        <v>96</v>
      </c>
      <c r="E88" t="str">
        <f t="shared" si="6"/>
        <v>open</v>
      </c>
      <c r="F88" t="s">
        <v>7130</v>
      </c>
      <c r="G88" t="s">
        <v>7215</v>
      </c>
      <c r="I88" t="s">
        <v>7303</v>
      </c>
    </row>
    <row r="89" spans="1:9" x14ac:dyDescent="0.2">
      <c r="A89" t="s">
        <v>93</v>
      </c>
      <c r="B89" t="s">
        <v>94</v>
      </c>
      <c r="C89" t="s">
        <v>19</v>
      </c>
      <c r="D89" t="s">
        <v>96</v>
      </c>
      <c r="E89" t="str">
        <f t="shared" si="6"/>
        <v>open</v>
      </c>
      <c r="F89" t="s">
        <v>7130</v>
      </c>
      <c r="G89" t="s">
        <v>7159</v>
      </c>
      <c r="I89" t="s">
        <v>7304</v>
      </c>
    </row>
    <row r="90" spans="1:9" x14ac:dyDescent="0.2">
      <c r="A90" t="s">
        <v>98</v>
      </c>
      <c r="B90" t="s">
        <v>99</v>
      </c>
      <c r="C90" t="s">
        <v>100</v>
      </c>
      <c r="D90" t="s">
        <v>102</v>
      </c>
      <c r="E90" t="str">
        <f>HYPERLINK("/pdf/2022_10.1109_icced56140.2022.10010685_Patient_Data_Security_in_Telemedicine_Services_from_Data_Misuse_in_Health_Practice.pdf","open")</f>
        <v>open</v>
      </c>
      <c r="F90" t="s">
        <v>7119</v>
      </c>
      <c r="G90" t="s">
        <v>7305</v>
      </c>
      <c r="H90" t="s">
        <v>7306</v>
      </c>
      <c r="I90" t="s">
        <v>7307</v>
      </c>
    </row>
    <row r="91" spans="1:9" x14ac:dyDescent="0.2">
      <c r="A91" t="s">
        <v>98</v>
      </c>
      <c r="B91" t="s">
        <v>99</v>
      </c>
      <c r="C91" t="s">
        <v>100</v>
      </c>
      <c r="D91" t="s">
        <v>102</v>
      </c>
      <c r="E91" t="str">
        <f>HYPERLINK("/pdf/2022_10.1109_icced56140.2022.10010685_Patient_Data_Security_in_Telemedicine_Services_from_Data_Misuse_in_Health_Practice.pdf","open")</f>
        <v>open</v>
      </c>
      <c r="F91" t="s">
        <v>7119</v>
      </c>
      <c r="G91" t="s">
        <v>7308</v>
      </c>
      <c r="H91" t="s">
        <v>7309</v>
      </c>
      <c r="I91" t="s">
        <v>7310</v>
      </c>
    </row>
    <row r="92" spans="1:9" x14ac:dyDescent="0.2">
      <c r="A92" t="s">
        <v>98</v>
      </c>
      <c r="B92" t="s">
        <v>99</v>
      </c>
      <c r="C92" t="s">
        <v>100</v>
      </c>
      <c r="D92" t="s">
        <v>102</v>
      </c>
      <c r="E92" t="str">
        <f>HYPERLINK("/pdf/2022_10.1109_icced56140.2022.10010685_Patient_Data_Security_in_Telemedicine_Services_from_Data_Misuse_in_Health_Practice.pdf","open")</f>
        <v>open</v>
      </c>
      <c r="F92" t="s">
        <v>7119</v>
      </c>
      <c r="G92" t="s">
        <v>7311</v>
      </c>
      <c r="H92" t="s">
        <v>7312</v>
      </c>
      <c r="I92" t="s">
        <v>7313</v>
      </c>
    </row>
    <row r="93" spans="1:9" x14ac:dyDescent="0.2">
      <c r="A93" t="s">
        <v>98</v>
      </c>
      <c r="B93" t="s">
        <v>99</v>
      </c>
      <c r="C93" t="s">
        <v>100</v>
      </c>
      <c r="D93" t="s">
        <v>102</v>
      </c>
      <c r="E93" t="str">
        <f>HYPERLINK("/pdf/2022_10.1109_icced56140.2022.10010685_Patient_Data_Security_in_Telemedicine_Services_from_Data_Misuse_in_Health_Practice.pdf","open")</f>
        <v>open</v>
      </c>
      <c r="F93" t="s">
        <v>7130</v>
      </c>
      <c r="G93" t="s">
        <v>7215</v>
      </c>
      <c r="I93" t="s">
        <v>7314</v>
      </c>
    </row>
    <row r="94" spans="1:9" x14ac:dyDescent="0.2">
      <c r="A94" t="s">
        <v>98</v>
      </c>
      <c r="B94" t="s">
        <v>99</v>
      </c>
      <c r="C94" t="s">
        <v>100</v>
      </c>
      <c r="D94" t="s">
        <v>102</v>
      </c>
      <c r="E94" t="str">
        <f>HYPERLINK("/pdf/2022_10.1109_icced56140.2022.10010685_Patient_Data_Security_in_Telemedicine_Services_from_Data_Misuse_in_Health_Practice.pdf","open")</f>
        <v>open</v>
      </c>
      <c r="F94" t="s">
        <v>7130</v>
      </c>
      <c r="G94" t="s">
        <v>7315</v>
      </c>
      <c r="I94" t="s">
        <v>7316</v>
      </c>
    </row>
    <row r="95" spans="1:9" x14ac:dyDescent="0.2">
      <c r="A95" t="s">
        <v>104</v>
      </c>
      <c r="B95" t="s">
        <v>105</v>
      </c>
      <c r="C95" t="s">
        <v>25</v>
      </c>
      <c r="D95" t="s">
        <v>107</v>
      </c>
      <c r="E95" t="str">
        <f>HYPERLINK("/pdf/2023_10.1109_cises58720.2023.10183402_Security_Threats_in_Healthcare_Big_Data__A_Comparative_Study.pdf","open")</f>
        <v>open</v>
      </c>
      <c r="F95" t="s">
        <v>7119</v>
      </c>
      <c r="G95" t="s">
        <v>7317</v>
      </c>
      <c r="H95" t="s">
        <v>7318</v>
      </c>
      <c r="I95" t="s">
        <v>7178</v>
      </c>
    </row>
    <row r="96" spans="1:9" x14ac:dyDescent="0.2">
      <c r="A96" t="s">
        <v>104</v>
      </c>
      <c r="B96" t="s">
        <v>105</v>
      </c>
      <c r="C96" t="s">
        <v>25</v>
      </c>
      <c r="D96" t="s">
        <v>107</v>
      </c>
      <c r="E96" t="str">
        <f>HYPERLINK("/pdf/2023_10.1109_cises58720.2023.10183402_Security_Threats_in_Healthcare_Big_Data__A_Comparative_Study.pdf","open")</f>
        <v>open</v>
      </c>
      <c r="F96" t="s">
        <v>7119</v>
      </c>
      <c r="G96" t="s">
        <v>7319</v>
      </c>
      <c r="H96" t="s">
        <v>7320</v>
      </c>
      <c r="I96" t="s">
        <v>7321</v>
      </c>
    </row>
    <row r="97" spans="1:9" x14ac:dyDescent="0.2">
      <c r="A97" t="s">
        <v>104</v>
      </c>
      <c r="B97" t="s">
        <v>105</v>
      </c>
      <c r="C97" t="s">
        <v>25</v>
      </c>
      <c r="D97" t="s">
        <v>107</v>
      </c>
      <c r="E97" t="str">
        <f>HYPERLINK("/pdf/2023_10.1109_cises58720.2023.10183402_Security_Threats_in_Healthcare_Big_Data__A_Comparative_Study.pdf","open")</f>
        <v>open</v>
      </c>
      <c r="F97" t="s">
        <v>7119</v>
      </c>
      <c r="G97" t="s">
        <v>7322</v>
      </c>
      <c r="H97" t="s">
        <v>7323</v>
      </c>
      <c r="I97" t="s">
        <v>7324</v>
      </c>
    </row>
    <row r="98" spans="1:9" x14ac:dyDescent="0.2">
      <c r="A98" t="s">
        <v>104</v>
      </c>
      <c r="B98" t="s">
        <v>105</v>
      </c>
      <c r="C98" t="s">
        <v>25</v>
      </c>
      <c r="D98" t="s">
        <v>107</v>
      </c>
      <c r="E98" t="str">
        <f>HYPERLINK("/pdf/2023_10.1109_cises58720.2023.10183402_Security_Threats_in_Healthcare_Big_Data__A_Comparative_Study.pdf","open")</f>
        <v>open</v>
      </c>
      <c r="F98" t="s">
        <v>7130</v>
      </c>
      <c r="G98" t="s">
        <v>7200</v>
      </c>
      <c r="I98" t="s">
        <v>7325</v>
      </c>
    </row>
    <row r="99" spans="1:9" x14ac:dyDescent="0.2">
      <c r="A99" t="s">
        <v>109</v>
      </c>
      <c r="B99" t="s">
        <v>110</v>
      </c>
      <c r="C99" t="s">
        <v>36</v>
      </c>
      <c r="D99" t="s">
        <v>112</v>
      </c>
      <c r="E99" t="str">
        <f t="shared" ref="E99:E104" si="7">HYPERLINK("/pdf/2021_10_1109_iccd53106_2021_00097_qflow_quantitative_information_flow_for_security_aware_hardware_design_in_verilog.pdf","open")</f>
        <v>open</v>
      </c>
      <c r="F99" t="s">
        <v>7119</v>
      </c>
      <c r="G99" t="s">
        <v>7319</v>
      </c>
      <c r="H99" t="s">
        <v>7326</v>
      </c>
      <c r="I99" t="s">
        <v>7151</v>
      </c>
    </row>
    <row r="100" spans="1:9" x14ac:dyDescent="0.2">
      <c r="A100" t="s">
        <v>109</v>
      </c>
      <c r="B100" t="s">
        <v>110</v>
      </c>
      <c r="C100" t="s">
        <v>36</v>
      </c>
      <c r="D100" t="s">
        <v>112</v>
      </c>
      <c r="E100" t="str">
        <f t="shared" si="7"/>
        <v>open</v>
      </c>
      <c r="F100" t="s">
        <v>7119</v>
      </c>
      <c r="G100" t="s">
        <v>7327</v>
      </c>
      <c r="H100" t="s">
        <v>7328</v>
      </c>
      <c r="I100" t="s">
        <v>7329</v>
      </c>
    </row>
    <row r="101" spans="1:9" x14ac:dyDescent="0.2">
      <c r="A101" t="s">
        <v>109</v>
      </c>
      <c r="B101" t="s">
        <v>110</v>
      </c>
      <c r="C101" t="s">
        <v>36</v>
      </c>
      <c r="D101" t="s">
        <v>112</v>
      </c>
      <c r="E101" t="str">
        <f t="shared" si="7"/>
        <v>open</v>
      </c>
      <c r="F101" t="s">
        <v>7119</v>
      </c>
      <c r="G101" t="s">
        <v>7330</v>
      </c>
      <c r="H101" t="s">
        <v>7331</v>
      </c>
      <c r="I101" t="s">
        <v>7332</v>
      </c>
    </row>
    <row r="102" spans="1:9" x14ac:dyDescent="0.2">
      <c r="A102" t="s">
        <v>109</v>
      </c>
      <c r="B102" t="s">
        <v>110</v>
      </c>
      <c r="C102" t="s">
        <v>36</v>
      </c>
      <c r="D102" t="s">
        <v>112</v>
      </c>
      <c r="E102" t="str">
        <f t="shared" si="7"/>
        <v>open</v>
      </c>
      <c r="F102" t="s">
        <v>7119</v>
      </c>
      <c r="G102" t="s">
        <v>7333</v>
      </c>
      <c r="H102" t="s">
        <v>7334</v>
      </c>
      <c r="I102" t="s">
        <v>7335</v>
      </c>
    </row>
    <row r="103" spans="1:9" x14ac:dyDescent="0.2">
      <c r="A103" t="s">
        <v>109</v>
      </c>
      <c r="B103" t="s">
        <v>110</v>
      </c>
      <c r="C103" t="s">
        <v>36</v>
      </c>
      <c r="D103" t="s">
        <v>112</v>
      </c>
      <c r="E103" t="str">
        <f t="shared" si="7"/>
        <v>open</v>
      </c>
      <c r="F103" t="s">
        <v>7119</v>
      </c>
      <c r="G103" t="s">
        <v>7124</v>
      </c>
      <c r="H103" t="s">
        <v>7336</v>
      </c>
      <c r="I103" t="s">
        <v>7329</v>
      </c>
    </row>
    <row r="104" spans="1:9" x14ac:dyDescent="0.2">
      <c r="A104" t="s">
        <v>109</v>
      </c>
      <c r="B104" t="s">
        <v>110</v>
      </c>
      <c r="C104" t="s">
        <v>36</v>
      </c>
      <c r="D104" t="s">
        <v>112</v>
      </c>
      <c r="E104" t="str">
        <f t="shared" si="7"/>
        <v>open</v>
      </c>
      <c r="F104" t="s">
        <v>7130</v>
      </c>
      <c r="G104" t="s">
        <v>7215</v>
      </c>
      <c r="I104" t="s">
        <v>7337</v>
      </c>
    </row>
    <row r="105" spans="1:9" x14ac:dyDescent="0.2">
      <c r="A105" t="s">
        <v>114</v>
      </c>
      <c r="B105" t="s">
        <v>115</v>
      </c>
      <c r="C105" t="s">
        <v>100</v>
      </c>
      <c r="D105" t="s">
        <v>117</v>
      </c>
      <c r="E105" t="str">
        <f>HYPERLINK("/pdf/2022_10.1016_j.cose.2022.102874_Background_knowledge_attacks_in_privacy-preserving_data_publishing_models.pdf","open")</f>
        <v>open</v>
      </c>
      <c r="F105" t="s">
        <v>7119</v>
      </c>
      <c r="G105" t="s">
        <v>7338</v>
      </c>
      <c r="H105" t="s">
        <v>7339</v>
      </c>
      <c r="I105" t="s">
        <v>7340</v>
      </c>
    </row>
    <row r="106" spans="1:9" x14ac:dyDescent="0.2">
      <c r="A106" t="s">
        <v>114</v>
      </c>
      <c r="B106" t="s">
        <v>115</v>
      </c>
      <c r="C106" t="s">
        <v>100</v>
      </c>
      <c r="D106" t="s">
        <v>117</v>
      </c>
      <c r="E106" t="str">
        <f>HYPERLINK("/pdf/2022_10.1016_j.cose.2022.102874_Background_knowledge_attacks_in_privacy-preserving_data_publishing_models.pdf","open")</f>
        <v>open</v>
      </c>
      <c r="F106" t="s">
        <v>7119</v>
      </c>
      <c r="G106" t="s">
        <v>7341</v>
      </c>
      <c r="H106" t="s">
        <v>7342</v>
      </c>
      <c r="I106" t="s">
        <v>7343</v>
      </c>
    </row>
    <row r="107" spans="1:9" x14ac:dyDescent="0.2">
      <c r="A107" t="s">
        <v>114</v>
      </c>
      <c r="B107" t="s">
        <v>115</v>
      </c>
      <c r="C107" t="s">
        <v>100</v>
      </c>
      <c r="D107" t="s">
        <v>117</v>
      </c>
      <c r="E107" t="str">
        <f>HYPERLINK("/pdf/2022_10.1016_j.cose.2022.102874_Background_knowledge_attacks_in_privacy-preserving_data_publishing_models.pdf","open")</f>
        <v>open</v>
      </c>
      <c r="F107" t="s">
        <v>7119</v>
      </c>
      <c r="G107" t="s">
        <v>7344</v>
      </c>
      <c r="H107" t="s">
        <v>7345</v>
      </c>
      <c r="I107" t="s">
        <v>7346</v>
      </c>
    </row>
    <row r="108" spans="1:9" x14ac:dyDescent="0.2">
      <c r="A108" t="s">
        <v>114</v>
      </c>
      <c r="B108" t="s">
        <v>115</v>
      </c>
      <c r="C108" t="s">
        <v>100</v>
      </c>
      <c r="D108" t="s">
        <v>117</v>
      </c>
      <c r="E108" t="str">
        <f>HYPERLINK("/pdf/2022_10.1016_j.cose.2022.102874_Background_knowledge_attacks_in_privacy-preserving_data_publishing_models.pdf","open")</f>
        <v>open</v>
      </c>
      <c r="F108" t="s">
        <v>7130</v>
      </c>
      <c r="G108" t="s">
        <v>1571</v>
      </c>
      <c r="I108" t="s">
        <v>7347</v>
      </c>
    </row>
    <row r="109" spans="1:9" x14ac:dyDescent="0.2">
      <c r="A109" t="s">
        <v>114</v>
      </c>
      <c r="B109" t="s">
        <v>115</v>
      </c>
      <c r="C109" t="s">
        <v>100</v>
      </c>
      <c r="D109" t="s">
        <v>117</v>
      </c>
      <c r="E109" t="str">
        <f>HYPERLINK("/pdf/2022_10.1016_j.cose.2022.102874_Background_knowledge_attacks_in_privacy-preserving_data_publishing_models.pdf","open")</f>
        <v>open</v>
      </c>
      <c r="F109" t="s">
        <v>7130</v>
      </c>
      <c r="G109" t="s">
        <v>7203</v>
      </c>
      <c r="I109" t="s">
        <v>7348</v>
      </c>
    </row>
    <row r="110" spans="1:9" x14ac:dyDescent="0.2">
      <c r="A110" t="s">
        <v>119</v>
      </c>
      <c r="B110" t="s">
        <v>120</v>
      </c>
      <c r="C110" t="s">
        <v>19</v>
      </c>
      <c r="D110" t="s">
        <v>122</v>
      </c>
      <c r="E110" t="str">
        <f t="shared" ref="E110:E116" si="8">HYPERLINK("/pdf/2025_10_14445_23488549_ijece_v12i10p115_qryptashield_quantum_inspired_feature_selection_and_rl_calibrated_federated_lea.pdf","open")</f>
        <v>open</v>
      </c>
      <c r="F110" t="s">
        <v>7119</v>
      </c>
      <c r="G110" t="s">
        <v>7349</v>
      </c>
      <c r="H110" t="s">
        <v>7350</v>
      </c>
      <c r="I110" t="s">
        <v>7351</v>
      </c>
    </row>
    <row r="111" spans="1:9" x14ac:dyDescent="0.2">
      <c r="A111" t="s">
        <v>119</v>
      </c>
      <c r="B111" t="s">
        <v>120</v>
      </c>
      <c r="C111" t="s">
        <v>19</v>
      </c>
      <c r="D111" t="s">
        <v>122</v>
      </c>
      <c r="E111" t="str">
        <f t="shared" si="8"/>
        <v>open</v>
      </c>
      <c r="F111" t="s">
        <v>7119</v>
      </c>
      <c r="G111" t="s">
        <v>7352</v>
      </c>
      <c r="H111" t="s">
        <v>7353</v>
      </c>
      <c r="I111" t="s">
        <v>7351</v>
      </c>
    </row>
    <row r="112" spans="1:9" x14ac:dyDescent="0.2">
      <c r="A112" t="s">
        <v>119</v>
      </c>
      <c r="B112" t="s">
        <v>120</v>
      </c>
      <c r="C112" t="s">
        <v>19</v>
      </c>
      <c r="D112" t="s">
        <v>122</v>
      </c>
      <c r="E112" t="str">
        <f t="shared" si="8"/>
        <v>open</v>
      </c>
      <c r="F112" t="s">
        <v>7119</v>
      </c>
      <c r="G112" t="s">
        <v>7354</v>
      </c>
      <c r="H112" t="s">
        <v>7355</v>
      </c>
      <c r="I112" t="s">
        <v>7356</v>
      </c>
    </row>
    <row r="113" spans="1:9" x14ac:dyDescent="0.2">
      <c r="A113" t="s">
        <v>119</v>
      </c>
      <c r="B113" t="s">
        <v>120</v>
      </c>
      <c r="C113" t="s">
        <v>19</v>
      </c>
      <c r="D113" t="s">
        <v>122</v>
      </c>
      <c r="E113" t="str">
        <f t="shared" si="8"/>
        <v>open</v>
      </c>
      <c r="F113" t="s">
        <v>7119</v>
      </c>
      <c r="G113" t="s">
        <v>7357</v>
      </c>
      <c r="H113" t="s">
        <v>7358</v>
      </c>
      <c r="I113" t="s">
        <v>7359</v>
      </c>
    </row>
    <row r="114" spans="1:9" x14ac:dyDescent="0.2">
      <c r="A114" t="s">
        <v>119</v>
      </c>
      <c r="B114" t="s">
        <v>120</v>
      </c>
      <c r="C114" t="s">
        <v>19</v>
      </c>
      <c r="D114" t="s">
        <v>122</v>
      </c>
      <c r="E114" t="str">
        <f t="shared" si="8"/>
        <v>open</v>
      </c>
      <c r="F114" t="s">
        <v>7119</v>
      </c>
      <c r="G114" t="s">
        <v>7360</v>
      </c>
      <c r="H114" t="s">
        <v>7361</v>
      </c>
      <c r="I114" t="s">
        <v>7231</v>
      </c>
    </row>
    <row r="115" spans="1:9" x14ac:dyDescent="0.2">
      <c r="A115" t="s">
        <v>119</v>
      </c>
      <c r="B115" t="s">
        <v>120</v>
      </c>
      <c r="C115" t="s">
        <v>19</v>
      </c>
      <c r="D115" t="s">
        <v>122</v>
      </c>
      <c r="E115" t="str">
        <f t="shared" si="8"/>
        <v>open</v>
      </c>
      <c r="F115" t="s">
        <v>7130</v>
      </c>
      <c r="G115" t="s">
        <v>7147</v>
      </c>
      <c r="I115" t="s">
        <v>7362</v>
      </c>
    </row>
    <row r="116" spans="1:9" x14ac:dyDescent="0.2">
      <c r="A116" t="s">
        <v>119</v>
      </c>
      <c r="B116" t="s">
        <v>120</v>
      </c>
      <c r="C116" t="s">
        <v>19</v>
      </c>
      <c r="D116" t="s">
        <v>122</v>
      </c>
      <c r="E116" t="str">
        <f t="shared" si="8"/>
        <v>open</v>
      </c>
      <c r="F116" t="s">
        <v>7130</v>
      </c>
      <c r="G116" t="s">
        <v>7363</v>
      </c>
      <c r="I116" t="s">
        <v>7359</v>
      </c>
    </row>
    <row r="117" spans="1:9" x14ac:dyDescent="0.2">
      <c r="A117" t="s">
        <v>124</v>
      </c>
      <c r="B117" t="s">
        <v>125</v>
      </c>
      <c r="C117" t="s">
        <v>100</v>
      </c>
      <c r="D117" t="s">
        <v>127</v>
      </c>
      <c r="E117" t="str">
        <f>HYPERLINK("/pdf/2022_10.1109_i2ct54291.2022.9824368_Security_Challenges_and_Cyber_Forensics_For_IoT_Driven_BYOD_Systems.pdf","open")</f>
        <v>open</v>
      </c>
      <c r="F117" t="s">
        <v>7119</v>
      </c>
      <c r="G117" t="s">
        <v>7364</v>
      </c>
      <c r="H117" t="s">
        <v>7365</v>
      </c>
      <c r="I117" t="s">
        <v>7151</v>
      </c>
    </row>
    <row r="118" spans="1:9" x14ac:dyDescent="0.2">
      <c r="A118" t="s">
        <v>124</v>
      </c>
      <c r="B118" t="s">
        <v>125</v>
      </c>
      <c r="C118" t="s">
        <v>100</v>
      </c>
      <c r="D118" t="s">
        <v>127</v>
      </c>
      <c r="E118" t="str">
        <f>HYPERLINK("/pdf/2022_10.1109_i2ct54291.2022.9824368_Security_Challenges_and_Cyber_Forensics_For_IoT_Driven_BYOD_Systems.pdf","open")</f>
        <v>open</v>
      </c>
      <c r="F118" t="s">
        <v>7119</v>
      </c>
      <c r="G118" t="s">
        <v>7366</v>
      </c>
      <c r="H118" t="s">
        <v>7367</v>
      </c>
      <c r="I118" t="s">
        <v>7368</v>
      </c>
    </row>
    <row r="119" spans="1:9" x14ac:dyDescent="0.2">
      <c r="A119" t="s">
        <v>124</v>
      </c>
      <c r="B119" t="s">
        <v>125</v>
      </c>
      <c r="C119" t="s">
        <v>100</v>
      </c>
      <c r="D119" t="s">
        <v>127</v>
      </c>
      <c r="E119" t="str">
        <f>HYPERLINK("/pdf/2022_10.1109_i2ct54291.2022.9824368_Security_Challenges_and_Cyber_Forensics_For_IoT_Driven_BYOD_Systems.pdf","open")</f>
        <v>open</v>
      </c>
      <c r="F119" t="s">
        <v>7119</v>
      </c>
      <c r="G119" t="s">
        <v>7369</v>
      </c>
      <c r="H119" t="s">
        <v>7370</v>
      </c>
      <c r="I119" t="s">
        <v>7368</v>
      </c>
    </row>
    <row r="120" spans="1:9" x14ac:dyDescent="0.2">
      <c r="A120" t="s">
        <v>124</v>
      </c>
      <c r="B120" t="s">
        <v>125</v>
      </c>
      <c r="C120" t="s">
        <v>100</v>
      </c>
      <c r="D120" t="s">
        <v>127</v>
      </c>
      <c r="E120" t="str">
        <f>HYPERLINK("/pdf/2022_10.1109_i2ct54291.2022.9824368_Security_Challenges_and_Cyber_Forensics_For_IoT_Driven_BYOD_Systems.pdf","open")</f>
        <v>open</v>
      </c>
      <c r="F120" t="s">
        <v>7130</v>
      </c>
      <c r="G120" t="s">
        <v>7371</v>
      </c>
      <c r="I120" t="s">
        <v>7372</v>
      </c>
    </row>
    <row r="121" spans="1:9" x14ac:dyDescent="0.2">
      <c r="A121" t="s">
        <v>124</v>
      </c>
      <c r="B121" t="s">
        <v>125</v>
      </c>
      <c r="C121" t="s">
        <v>100</v>
      </c>
      <c r="D121" t="s">
        <v>127</v>
      </c>
      <c r="E121" t="str">
        <f>HYPERLINK("/pdf/2022_10.1109_i2ct54291.2022.9824368_Security_Challenges_and_Cyber_Forensics_For_IoT_Driven_BYOD_Systems.pdf","open")</f>
        <v>open</v>
      </c>
      <c r="F121" t="s">
        <v>7130</v>
      </c>
      <c r="G121" t="s">
        <v>7373</v>
      </c>
      <c r="I121" t="s">
        <v>7374</v>
      </c>
    </row>
    <row r="122" spans="1:9" x14ac:dyDescent="0.2">
      <c r="A122" t="s">
        <v>129</v>
      </c>
      <c r="B122" t="s">
        <v>130</v>
      </c>
      <c r="C122" t="s">
        <v>25</v>
      </c>
      <c r="D122" t="s">
        <v>132</v>
      </c>
      <c r="E122" t="str">
        <f t="shared" ref="E122:E128" si="9">HYPERLINK("/pdf/2023_10.1109_socc58585.2023.10256758_μThingNet__Leveraging_Fine-Grained_Power_Analysis_towards_A_Robust_Zero-Day_Defender.pdf","open")</f>
        <v>open</v>
      </c>
      <c r="F122" t="s">
        <v>7119</v>
      </c>
      <c r="G122" t="s">
        <v>7319</v>
      </c>
      <c r="H122" t="s">
        <v>7375</v>
      </c>
      <c r="I122" t="s">
        <v>7178</v>
      </c>
    </row>
    <row r="123" spans="1:9" x14ac:dyDescent="0.2">
      <c r="A123" t="s">
        <v>129</v>
      </c>
      <c r="B123" t="s">
        <v>130</v>
      </c>
      <c r="C123" t="s">
        <v>25</v>
      </c>
      <c r="D123" t="s">
        <v>132</v>
      </c>
      <c r="E123" t="str">
        <f t="shared" si="9"/>
        <v>open</v>
      </c>
      <c r="F123" t="s">
        <v>7119</v>
      </c>
      <c r="G123" t="s">
        <v>7376</v>
      </c>
      <c r="H123" t="s">
        <v>7377</v>
      </c>
      <c r="I123" t="s">
        <v>7178</v>
      </c>
    </row>
    <row r="124" spans="1:9" x14ac:dyDescent="0.2">
      <c r="A124" t="s">
        <v>129</v>
      </c>
      <c r="B124" t="s">
        <v>130</v>
      </c>
      <c r="C124" t="s">
        <v>25</v>
      </c>
      <c r="D124" t="s">
        <v>132</v>
      </c>
      <c r="E124" t="str">
        <f t="shared" si="9"/>
        <v>open</v>
      </c>
      <c r="F124" t="s">
        <v>7119</v>
      </c>
      <c r="G124" t="s">
        <v>7173</v>
      </c>
      <c r="H124" t="s">
        <v>7378</v>
      </c>
      <c r="I124" t="s">
        <v>7379</v>
      </c>
    </row>
    <row r="125" spans="1:9" x14ac:dyDescent="0.2">
      <c r="A125" t="s">
        <v>129</v>
      </c>
      <c r="B125" t="s">
        <v>130</v>
      </c>
      <c r="C125" t="s">
        <v>25</v>
      </c>
      <c r="D125" t="s">
        <v>132</v>
      </c>
      <c r="E125" t="str">
        <f t="shared" si="9"/>
        <v>open</v>
      </c>
      <c r="F125" t="s">
        <v>7119</v>
      </c>
      <c r="G125" t="s">
        <v>7380</v>
      </c>
      <c r="H125" t="s">
        <v>7381</v>
      </c>
      <c r="I125" t="s">
        <v>7382</v>
      </c>
    </row>
    <row r="126" spans="1:9" x14ac:dyDescent="0.2">
      <c r="A126" t="s">
        <v>129</v>
      </c>
      <c r="B126" t="s">
        <v>130</v>
      </c>
      <c r="C126" t="s">
        <v>25</v>
      </c>
      <c r="D126" t="s">
        <v>132</v>
      </c>
      <c r="E126" t="str">
        <f t="shared" si="9"/>
        <v>open</v>
      </c>
      <c r="F126" t="s">
        <v>7119</v>
      </c>
      <c r="G126" t="s">
        <v>7383</v>
      </c>
      <c r="H126" t="s">
        <v>7384</v>
      </c>
      <c r="I126" t="s">
        <v>7310</v>
      </c>
    </row>
    <row r="127" spans="1:9" x14ac:dyDescent="0.2">
      <c r="A127" t="s">
        <v>129</v>
      </c>
      <c r="B127" t="s">
        <v>130</v>
      </c>
      <c r="C127" t="s">
        <v>25</v>
      </c>
      <c r="D127" t="s">
        <v>132</v>
      </c>
      <c r="E127" t="str">
        <f t="shared" si="9"/>
        <v>open</v>
      </c>
      <c r="F127" t="s">
        <v>7130</v>
      </c>
      <c r="G127" t="s">
        <v>1597</v>
      </c>
      <c r="I127" t="s">
        <v>7385</v>
      </c>
    </row>
    <row r="128" spans="1:9" x14ac:dyDescent="0.2">
      <c r="A128" t="s">
        <v>129</v>
      </c>
      <c r="B128" t="s">
        <v>130</v>
      </c>
      <c r="C128" t="s">
        <v>25</v>
      </c>
      <c r="D128" t="s">
        <v>132</v>
      </c>
      <c r="E128" t="str">
        <f t="shared" si="9"/>
        <v>open</v>
      </c>
      <c r="F128" t="s">
        <v>7130</v>
      </c>
      <c r="G128" t="s">
        <v>7386</v>
      </c>
      <c r="I128" t="s">
        <v>7387</v>
      </c>
    </row>
    <row r="129" spans="1:9" x14ac:dyDescent="0.2">
      <c r="A129" t="s">
        <v>134</v>
      </c>
      <c r="B129" t="s">
        <v>135</v>
      </c>
      <c r="C129" t="s">
        <v>136</v>
      </c>
      <c r="D129" t="s">
        <v>138</v>
      </c>
      <c r="E129" t="str">
        <f>HYPERLINK("/pdf/2019_10_35940_ijeat_f8202_088619_byod_secured_solution_framework.pdf","open")</f>
        <v>open</v>
      </c>
      <c r="F129" t="s">
        <v>7119</v>
      </c>
      <c r="G129" t="s">
        <v>7388</v>
      </c>
      <c r="H129" t="s">
        <v>7389</v>
      </c>
      <c r="I129" t="s">
        <v>7390</v>
      </c>
    </row>
    <row r="130" spans="1:9" x14ac:dyDescent="0.2">
      <c r="A130" t="s">
        <v>134</v>
      </c>
      <c r="B130" t="s">
        <v>135</v>
      </c>
      <c r="C130" t="s">
        <v>136</v>
      </c>
      <c r="D130" t="s">
        <v>138</v>
      </c>
      <c r="E130" t="str">
        <f>HYPERLINK("/pdf/2019_10_35940_ijeat_f8202_088619_byod_secured_solution_framework.pdf","open")</f>
        <v>open</v>
      </c>
      <c r="F130" t="s">
        <v>7119</v>
      </c>
      <c r="G130" t="s">
        <v>7391</v>
      </c>
      <c r="H130" t="s">
        <v>7392</v>
      </c>
      <c r="I130" t="s">
        <v>7393</v>
      </c>
    </row>
    <row r="131" spans="1:9" x14ac:dyDescent="0.2">
      <c r="A131" t="s">
        <v>134</v>
      </c>
      <c r="B131" t="s">
        <v>135</v>
      </c>
      <c r="C131" t="s">
        <v>136</v>
      </c>
      <c r="D131" t="s">
        <v>138</v>
      </c>
      <c r="E131" t="str">
        <f>HYPERLINK("/pdf/2019_10_35940_ijeat_f8202_088619_byod_secured_solution_framework.pdf","open")</f>
        <v>open</v>
      </c>
      <c r="F131" t="s">
        <v>7119</v>
      </c>
      <c r="G131" t="s">
        <v>7394</v>
      </c>
      <c r="H131" t="s">
        <v>7395</v>
      </c>
      <c r="I131" t="s">
        <v>7396</v>
      </c>
    </row>
    <row r="132" spans="1:9" x14ac:dyDescent="0.2">
      <c r="A132" t="s">
        <v>134</v>
      </c>
      <c r="B132" t="s">
        <v>135</v>
      </c>
      <c r="C132" t="s">
        <v>136</v>
      </c>
      <c r="D132" t="s">
        <v>138</v>
      </c>
      <c r="E132" t="str">
        <f>HYPERLINK("/pdf/2019_10_35940_ijeat_f8202_088619_byod_secured_solution_framework.pdf","open")</f>
        <v>open</v>
      </c>
      <c r="F132" t="s">
        <v>7130</v>
      </c>
      <c r="G132" t="s">
        <v>1571</v>
      </c>
      <c r="I132" t="s">
        <v>7397</v>
      </c>
    </row>
    <row r="133" spans="1:9" x14ac:dyDescent="0.2">
      <c r="A133" t="s">
        <v>134</v>
      </c>
      <c r="B133" t="s">
        <v>135</v>
      </c>
      <c r="C133" t="s">
        <v>136</v>
      </c>
      <c r="D133" t="s">
        <v>138</v>
      </c>
      <c r="E133" t="str">
        <f>HYPERLINK("/pdf/2019_10_35940_ijeat_f8202_088619_byod_secured_solution_framework.pdf","open")</f>
        <v>open</v>
      </c>
      <c r="F133" t="s">
        <v>7130</v>
      </c>
      <c r="G133" t="s">
        <v>7215</v>
      </c>
      <c r="I133" t="s">
        <v>7398</v>
      </c>
    </row>
    <row r="134" spans="1:9" x14ac:dyDescent="0.2">
      <c r="A134" t="s">
        <v>140</v>
      </c>
      <c r="B134" t="s">
        <v>141</v>
      </c>
      <c r="C134" t="s">
        <v>25</v>
      </c>
      <c r="D134" t="s">
        <v>143</v>
      </c>
      <c r="E134" t="str">
        <f t="shared" ref="E134:E140" si="10">HYPERLINK("/pdf/2023_10_11591_ijece_v13i5_pp5560_5568_concept_drift_and_machine_learning_model_for_detecting_fraudulent_transactions_in_streamin.pdf","open")</f>
        <v>open</v>
      </c>
      <c r="F134" t="s">
        <v>7119</v>
      </c>
      <c r="G134" t="s">
        <v>7399</v>
      </c>
      <c r="H134" t="s">
        <v>7400</v>
      </c>
      <c r="I134" t="s">
        <v>7178</v>
      </c>
    </row>
    <row r="135" spans="1:9" x14ac:dyDescent="0.2">
      <c r="A135" t="s">
        <v>140</v>
      </c>
      <c r="B135" t="s">
        <v>141</v>
      </c>
      <c r="C135" t="s">
        <v>25</v>
      </c>
      <c r="D135" t="s">
        <v>143</v>
      </c>
      <c r="E135" t="str">
        <f t="shared" si="10"/>
        <v>open</v>
      </c>
      <c r="F135" t="s">
        <v>7119</v>
      </c>
      <c r="G135" t="s">
        <v>7401</v>
      </c>
      <c r="H135" t="s">
        <v>7402</v>
      </c>
      <c r="I135" t="s">
        <v>7403</v>
      </c>
    </row>
    <row r="136" spans="1:9" x14ac:dyDescent="0.2">
      <c r="A136" t="s">
        <v>140</v>
      </c>
      <c r="B136" t="s">
        <v>141</v>
      </c>
      <c r="C136" t="s">
        <v>25</v>
      </c>
      <c r="D136" t="s">
        <v>143</v>
      </c>
      <c r="E136" t="str">
        <f t="shared" si="10"/>
        <v>open</v>
      </c>
      <c r="F136" t="s">
        <v>7119</v>
      </c>
      <c r="G136" t="s">
        <v>7380</v>
      </c>
      <c r="H136" t="s">
        <v>7404</v>
      </c>
      <c r="I136" t="s">
        <v>7405</v>
      </c>
    </row>
    <row r="137" spans="1:9" x14ac:dyDescent="0.2">
      <c r="A137" t="s">
        <v>140</v>
      </c>
      <c r="B137" t="s">
        <v>141</v>
      </c>
      <c r="C137" t="s">
        <v>25</v>
      </c>
      <c r="D137" t="s">
        <v>143</v>
      </c>
      <c r="E137" t="str">
        <f t="shared" si="10"/>
        <v>open</v>
      </c>
      <c r="F137" t="s">
        <v>7119</v>
      </c>
      <c r="G137" t="s">
        <v>7406</v>
      </c>
      <c r="H137" t="s">
        <v>7407</v>
      </c>
      <c r="I137" t="s">
        <v>7178</v>
      </c>
    </row>
    <row r="138" spans="1:9" x14ac:dyDescent="0.2">
      <c r="A138" t="s">
        <v>140</v>
      </c>
      <c r="B138" t="s">
        <v>141</v>
      </c>
      <c r="C138" t="s">
        <v>25</v>
      </c>
      <c r="D138" t="s">
        <v>143</v>
      </c>
      <c r="E138" t="str">
        <f t="shared" si="10"/>
        <v>open</v>
      </c>
      <c r="F138" t="s">
        <v>7119</v>
      </c>
      <c r="G138" t="s">
        <v>7408</v>
      </c>
      <c r="H138" t="s">
        <v>7409</v>
      </c>
      <c r="I138" t="s">
        <v>7410</v>
      </c>
    </row>
    <row r="139" spans="1:9" x14ac:dyDescent="0.2">
      <c r="A139" t="s">
        <v>140</v>
      </c>
      <c r="B139" t="s">
        <v>141</v>
      </c>
      <c r="C139" t="s">
        <v>25</v>
      </c>
      <c r="D139" t="s">
        <v>143</v>
      </c>
      <c r="E139" t="str">
        <f t="shared" si="10"/>
        <v>open</v>
      </c>
      <c r="F139" t="s">
        <v>7130</v>
      </c>
      <c r="G139" t="s">
        <v>7183</v>
      </c>
      <c r="I139" t="s">
        <v>7411</v>
      </c>
    </row>
    <row r="140" spans="1:9" x14ac:dyDescent="0.2">
      <c r="A140" t="s">
        <v>140</v>
      </c>
      <c r="B140" t="s">
        <v>141</v>
      </c>
      <c r="C140" t="s">
        <v>25</v>
      </c>
      <c r="D140" t="s">
        <v>143</v>
      </c>
      <c r="E140" t="str">
        <f t="shared" si="10"/>
        <v>open</v>
      </c>
      <c r="F140" t="s">
        <v>7130</v>
      </c>
      <c r="G140" t="s">
        <v>7412</v>
      </c>
      <c r="I140" t="s">
        <v>7413</v>
      </c>
    </row>
    <row r="141" spans="1:9" x14ac:dyDescent="0.2">
      <c r="A141" t="s">
        <v>145</v>
      </c>
      <c r="B141" t="s">
        <v>146</v>
      </c>
      <c r="C141" t="s">
        <v>136</v>
      </c>
      <c r="D141" t="s">
        <v>148</v>
      </c>
      <c r="E141" t="str">
        <f>HYPERLINK("/pdf/2020_10.1109_idea49133.2020.9170738_Android_data_leakage_and_anomaly_based_Intrusion_detection_System.pdf","open")</f>
        <v>open</v>
      </c>
      <c r="F141" t="s">
        <v>7119</v>
      </c>
      <c r="G141" t="s">
        <v>7414</v>
      </c>
      <c r="H141" t="s">
        <v>7415</v>
      </c>
      <c r="I141" t="s">
        <v>7416</v>
      </c>
    </row>
    <row r="142" spans="1:9" x14ac:dyDescent="0.2">
      <c r="A142" t="s">
        <v>145</v>
      </c>
      <c r="B142" t="s">
        <v>146</v>
      </c>
      <c r="C142" t="s">
        <v>136</v>
      </c>
      <c r="D142" t="s">
        <v>148</v>
      </c>
      <c r="E142" t="str">
        <f>HYPERLINK("/pdf/2020_10.1109_idea49133.2020.9170738_Android_data_leakage_and_anomaly_based_Intrusion_detection_System.pdf","open")</f>
        <v>open</v>
      </c>
      <c r="F142" t="s">
        <v>7119</v>
      </c>
      <c r="G142" t="s">
        <v>7417</v>
      </c>
      <c r="H142" t="s">
        <v>7418</v>
      </c>
      <c r="I142" t="s">
        <v>7416</v>
      </c>
    </row>
    <row r="143" spans="1:9" x14ac:dyDescent="0.2">
      <c r="A143" t="s">
        <v>145</v>
      </c>
      <c r="B143" t="s">
        <v>146</v>
      </c>
      <c r="C143" t="s">
        <v>136</v>
      </c>
      <c r="D143" t="s">
        <v>148</v>
      </c>
      <c r="E143" t="str">
        <f>HYPERLINK("/pdf/2020_10.1109_idea49133.2020.9170738_Android_data_leakage_and_anomaly_based_Intrusion_detection_System.pdf","open")</f>
        <v>open</v>
      </c>
      <c r="F143" t="s">
        <v>7119</v>
      </c>
      <c r="G143" t="s">
        <v>7183</v>
      </c>
      <c r="H143" t="s">
        <v>7419</v>
      </c>
      <c r="I143" t="s">
        <v>7420</v>
      </c>
    </row>
    <row r="144" spans="1:9" x14ac:dyDescent="0.2">
      <c r="A144" t="s">
        <v>145</v>
      </c>
      <c r="B144" t="s">
        <v>146</v>
      </c>
      <c r="C144" t="s">
        <v>136</v>
      </c>
      <c r="D144" t="s">
        <v>148</v>
      </c>
      <c r="E144" t="str">
        <f>HYPERLINK("/pdf/2020_10.1109_idea49133.2020.9170738_Android_data_leakage_and_anomaly_based_Intrusion_detection_System.pdf","open")</f>
        <v>open</v>
      </c>
      <c r="F144" t="s">
        <v>7130</v>
      </c>
      <c r="G144" t="s">
        <v>7215</v>
      </c>
      <c r="I144" t="s">
        <v>7421</v>
      </c>
    </row>
    <row r="145" spans="1:9" x14ac:dyDescent="0.2">
      <c r="A145" t="s">
        <v>145</v>
      </c>
      <c r="B145" t="s">
        <v>146</v>
      </c>
      <c r="C145" t="s">
        <v>136</v>
      </c>
      <c r="D145" t="s">
        <v>148</v>
      </c>
      <c r="E145" t="str">
        <f>HYPERLINK("/pdf/2020_10.1109_idea49133.2020.9170738_Android_data_leakage_and_anomaly_based_Intrusion_detection_System.pdf","open")</f>
        <v>open</v>
      </c>
      <c r="F145" t="s">
        <v>7130</v>
      </c>
      <c r="G145" t="s">
        <v>7422</v>
      </c>
      <c r="I145" t="s">
        <v>7423</v>
      </c>
    </row>
    <row r="146" spans="1:9" x14ac:dyDescent="0.2">
      <c r="A146" t="s">
        <v>150</v>
      </c>
      <c r="B146" t="s">
        <v>151</v>
      </c>
      <c r="C146" t="s">
        <v>19</v>
      </c>
      <c r="D146" t="s">
        <v>152</v>
      </c>
      <c r="E146" t="str">
        <f t="shared" ref="E146:E152" si="11">HYPERLINK("/pdf/2025_10.1109_access.2025.3635667_PPATF__A_Privacy-Preserving_Adversarial_Training_Framework_to_Enhance_the_Robustness_of_Lightweight_Intrusion_.pdf","open")</f>
        <v>open</v>
      </c>
      <c r="F146" t="s">
        <v>7119</v>
      </c>
      <c r="G146" t="s">
        <v>7399</v>
      </c>
      <c r="H146" t="s">
        <v>7424</v>
      </c>
      <c r="I146" t="s">
        <v>7425</v>
      </c>
    </row>
    <row r="147" spans="1:9" x14ac:dyDescent="0.2">
      <c r="A147" t="s">
        <v>150</v>
      </c>
      <c r="B147" t="s">
        <v>151</v>
      </c>
      <c r="C147" t="s">
        <v>19</v>
      </c>
      <c r="D147" t="s">
        <v>152</v>
      </c>
      <c r="E147" t="str">
        <f t="shared" si="11"/>
        <v>open</v>
      </c>
      <c r="F147" t="s">
        <v>7119</v>
      </c>
      <c r="G147" t="s">
        <v>7173</v>
      </c>
      <c r="H147" t="s">
        <v>7426</v>
      </c>
      <c r="I147" t="s">
        <v>7427</v>
      </c>
    </row>
    <row r="148" spans="1:9" x14ac:dyDescent="0.2">
      <c r="A148" t="s">
        <v>150</v>
      </c>
      <c r="B148" t="s">
        <v>151</v>
      </c>
      <c r="C148" t="s">
        <v>19</v>
      </c>
      <c r="D148" t="s">
        <v>152</v>
      </c>
      <c r="E148" t="str">
        <f t="shared" si="11"/>
        <v>open</v>
      </c>
      <c r="F148" t="s">
        <v>7119</v>
      </c>
      <c r="G148" t="s">
        <v>7428</v>
      </c>
      <c r="H148" t="s">
        <v>7429</v>
      </c>
      <c r="I148" t="s">
        <v>7151</v>
      </c>
    </row>
    <row r="149" spans="1:9" x14ac:dyDescent="0.2">
      <c r="A149" t="s">
        <v>150</v>
      </c>
      <c r="B149" t="s">
        <v>151</v>
      </c>
      <c r="C149" t="s">
        <v>19</v>
      </c>
      <c r="D149" t="s">
        <v>152</v>
      </c>
      <c r="E149" t="str">
        <f t="shared" si="11"/>
        <v>open</v>
      </c>
      <c r="F149" t="s">
        <v>7119</v>
      </c>
      <c r="G149" t="s">
        <v>7430</v>
      </c>
      <c r="H149" t="s">
        <v>7431</v>
      </c>
      <c r="I149" t="s">
        <v>7297</v>
      </c>
    </row>
    <row r="150" spans="1:9" x14ac:dyDescent="0.2">
      <c r="A150" t="s">
        <v>150</v>
      </c>
      <c r="B150" t="s">
        <v>151</v>
      </c>
      <c r="C150" t="s">
        <v>19</v>
      </c>
      <c r="D150" t="s">
        <v>152</v>
      </c>
      <c r="E150" t="str">
        <f t="shared" si="11"/>
        <v>open</v>
      </c>
      <c r="F150" t="s">
        <v>7119</v>
      </c>
      <c r="G150" t="s">
        <v>3073</v>
      </c>
      <c r="H150" t="s">
        <v>7432</v>
      </c>
      <c r="I150" t="s">
        <v>7433</v>
      </c>
    </row>
    <row r="151" spans="1:9" x14ac:dyDescent="0.2">
      <c r="A151" t="s">
        <v>150</v>
      </c>
      <c r="B151" t="s">
        <v>151</v>
      </c>
      <c r="C151" t="s">
        <v>19</v>
      </c>
      <c r="D151" t="s">
        <v>152</v>
      </c>
      <c r="E151" t="str">
        <f t="shared" si="11"/>
        <v>open</v>
      </c>
      <c r="F151" t="s">
        <v>7130</v>
      </c>
      <c r="G151" t="s">
        <v>1584</v>
      </c>
      <c r="I151" t="s">
        <v>7434</v>
      </c>
    </row>
    <row r="152" spans="1:9" x14ac:dyDescent="0.2">
      <c r="A152" t="s">
        <v>150</v>
      </c>
      <c r="B152" t="s">
        <v>151</v>
      </c>
      <c r="C152" t="s">
        <v>19</v>
      </c>
      <c r="D152" t="s">
        <v>152</v>
      </c>
      <c r="E152" t="str">
        <f t="shared" si="11"/>
        <v>open</v>
      </c>
      <c r="F152" t="s">
        <v>7130</v>
      </c>
      <c r="G152" t="s">
        <v>1574</v>
      </c>
      <c r="I152" t="s">
        <v>7435</v>
      </c>
    </row>
    <row r="153" spans="1:9" x14ac:dyDescent="0.2">
      <c r="A153" t="s">
        <v>154</v>
      </c>
      <c r="B153" t="s">
        <v>155</v>
      </c>
      <c r="C153" t="s">
        <v>156</v>
      </c>
      <c r="D153" t="s">
        <v>158</v>
      </c>
      <c r="E153" t="str">
        <f>HYPERLINK("/pdf/2013_10_1007_s10796_013_9419_8_guest_editorial_a_brief_overview_of_data_leakage_and_insider_threats.pdf","open")</f>
        <v>open</v>
      </c>
      <c r="F153" t="s">
        <v>7119</v>
      </c>
      <c r="G153" t="s">
        <v>7436</v>
      </c>
      <c r="H153" t="s">
        <v>155</v>
      </c>
      <c r="I153" t="s">
        <v>7291</v>
      </c>
    </row>
    <row r="154" spans="1:9" x14ac:dyDescent="0.2">
      <c r="A154" t="s">
        <v>154</v>
      </c>
      <c r="B154" t="s">
        <v>155</v>
      </c>
      <c r="C154" t="s">
        <v>156</v>
      </c>
      <c r="D154" t="s">
        <v>158</v>
      </c>
      <c r="E154" t="str">
        <f>HYPERLINK("/pdf/2013_10_1007_s10796_013_9419_8_guest_editorial_a_brief_overview_of_data_leakage_and_insider_threats.pdf","open")</f>
        <v>open</v>
      </c>
      <c r="F154" t="s">
        <v>7119</v>
      </c>
      <c r="G154" t="s">
        <v>7437</v>
      </c>
      <c r="H154" t="s">
        <v>7438</v>
      </c>
      <c r="I154" t="s">
        <v>7225</v>
      </c>
    </row>
    <row r="155" spans="1:9" x14ac:dyDescent="0.2">
      <c r="A155" t="s">
        <v>154</v>
      </c>
      <c r="B155" t="s">
        <v>155</v>
      </c>
      <c r="C155" t="s">
        <v>156</v>
      </c>
      <c r="D155" t="s">
        <v>158</v>
      </c>
      <c r="E155" t="str">
        <f>HYPERLINK("/pdf/2013_10_1007_s10796_013_9419_8_guest_editorial_a_brief_overview_of_data_leakage_and_insider_threats.pdf","open")</f>
        <v>open</v>
      </c>
      <c r="F155" t="s">
        <v>7119</v>
      </c>
      <c r="G155" t="s">
        <v>7439</v>
      </c>
      <c r="H155" t="s">
        <v>7440</v>
      </c>
      <c r="I155" t="s">
        <v>7225</v>
      </c>
    </row>
    <row r="156" spans="1:9" x14ac:dyDescent="0.2">
      <c r="A156" t="s">
        <v>154</v>
      </c>
      <c r="B156" t="s">
        <v>155</v>
      </c>
      <c r="C156" t="s">
        <v>156</v>
      </c>
      <c r="D156" t="s">
        <v>158</v>
      </c>
      <c r="E156" t="str">
        <f>HYPERLINK("/pdf/2013_10_1007_s10796_013_9419_8_guest_editorial_a_brief_overview_of_data_leakage_and_insider_threats.pdf","open")</f>
        <v>open</v>
      </c>
      <c r="F156" t="s">
        <v>7130</v>
      </c>
      <c r="G156" t="s">
        <v>1571</v>
      </c>
      <c r="I156" t="s">
        <v>7441</v>
      </c>
    </row>
    <row r="157" spans="1:9" x14ac:dyDescent="0.2">
      <c r="A157" t="s">
        <v>160</v>
      </c>
      <c r="B157" t="s">
        <v>161</v>
      </c>
      <c r="C157" t="s">
        <v>100</v>
      </c>
      <c r="D157" t="s">
        <v>163</v>
      </c>
      <c r="E157" t="str">
        <f>HYPERLINK("/pdf/2022_10.1109_eircon56026.2022.9934810_Model_to_Identify_the_Profile_of_Countermeasures_for_Information_Leakage_in_Financial_Organizations.pdf","open")</f>
        <v>open</v>
      </c>
      <c r="F157" t="s">
        <v>7119</v>
      </c>
      <c r="G157" t="s">
        <v>7442</v>
      </c>
      <c r="H157" t="s">
        <v>7443</v>
      </c>
      <c r="I157" t="s">
        <v>7151</v>
      </c>
    </row>
    <row r="158" spans="1:9" x14ac:dyDescent="0.2">
      <c r="A158" t="s">
        <v>160</v>
      </c>
      <c r="B158" t="s">
        <v>161</v>
      </c>
      <c r="C158" t="s">
        <v>100</v>
      </c>
      <c r="D158" t="s">
        <v>163</v>
      </c>
      <c r="E158" t="str">
        <f>HYPERLINK("/pdf/2022_10.1109_eircon56026.2022.9934810_Model_to_Identify_the_Profile_of_Countermeasures_for_Information_Leakage_in_Financial_Organizations.pdf","open")</f>
        <v>open</v>
      </c>
      <c r="F158" t="s">
        <v>7119</v>
      </c>
      <c r="G158" t="s">
        <v>7444</v>
      </c>
      <c r="H158" t="s">
        <v>7445</v>
      </c>
      <c r="I158" t="s">
        <v>7154</v>
      </c>
    </row>
    <row r="159" spans="1:9" x14ac:dyDescent="0.2">
      <c r="A159" t="s">
        <v>160</v>
      </c>
      <c r="B159" t="s">
        <v>161</v>
      </c>
      <c r="C159" t="s">
        <v>100</v>
      </c>
      <c r="D159" t="s">
        <v>163</v>
      </c>
      <c r="E159" t="str">
        <f>HYPERLINK("/pdf/2022_10.1109_eircon56026.2022.9934810_Model_to_Identify_the_Profile_of_Countermeasures_for_Information_Leakage_in_Financial_Organizations.pdf","open")</f>
        <v>open</v>
      </c>
      <c r="F159" t="s">
        <v>7119</v>
      </c>
      <c r="G159" t="s">
        <v>7446</v>
      </c>
      <c r="H159" t="s">
        <v>7447</v>
      </c>
      <c r="I159" t="s">
        <v>7448</v>
      </c>
    </row>
    <row r="160" spans="1:9" x14ac:dyDescent="0.2">
      <c r="A160" t="s">
        <v>160</v>
      </c>
      <c r="B160" t="s">
        <v>161</v>
      </c>
      <c r="C160" t="s">
        <v>100</v>
      </c>
      <c r="D160" t="s">
        <v>163</v>
      </c>
      <c r="E160" t="str">
        <f>HYPERLINK("/pdf/2022_10.1109_eircon56026.2022.9934810_Model_to_Identify_the_Profile_of_Countermeasures_for_Information_Leakage_in_Financial_Organizations.pdf","open")</f>
        <v>open</v>
      </c>
      <c r="F160" t="s">
        <v>7130</v>
      </c>
      <c r="G160" t="s">
        <v>1571</v>
      </c>
      <c r="I160" t="s">
        <v>7178</v>
      </c>
    </row>
    <row r="161" spans="1:9" x14ac:dyDescent="0.2">
      <c r="A161" t="s">
        <v>160</v>
      </c>
      <c r="B161" t="s">
        <v>161</v>
      </c>
      <c r="C161" t="s">
        <v>100</v>
      </c>
      <c r="D161" t="s">
        <v>163</v>
      </c>
      <c r="E161" t="str">
        <f>HYPERLINK("/pdf/2022_10.1109_eircon56026.2022.9934810_Model_to_Identify_the_Profile_of_Countermeasures_for_Information_Leakage_in_Financial_Organizations.pdf","open")</f>
        <v>open</v>
      </c>
      <c r="F161" t="s">
        <v>7130</v>
      </c>
      <c r="G161" t="s">
        <v>7203</v>
      </c>
      <c r="I161" t="s">
        <v>7449</v>
      </c>
    </row>
    <row r="162" spans="1:9" x14ac:dyDescent="0.2">
      <c r="A162" t="s">
        <v>165</v>
      </c>
      <c r="B162" t="s">
        <v>166</v>
      </c>
      <c r="C162" t="s">
        <v>60</v>
      </c>
      <c r="D162" t="s">
        <v>168</v>
      </c>
      <c r="E162" t="str">
        <f>HYPERLINK("/pdf/2024_10.1109_ithings-greencom-cpscom-smartdata-cybermatics62450.2024.00102_On_the_Security_and_Privacy_Implications_of_Large_Language_Models__In-Depth_Threat_Analysis.pdf","open")</f>
        <v>open</v>
      </c>
      <c r="F162" t="s">
        <v>7119</v>
      </c>
      <c r="G162" t="s">
        <v>7450</v>
      </c>
      <c r="H162" t="s">
        <v>7451</v>
      </c>
      <c r="I162" t="s">
        <v>7178</v>
      </c>
    </row>
    <row r="163" spans="1:9" x14ac:dyDescent="0.2">
      <c r="A163" t="s">
        <v>165</v>
      </c>
      <c r="B163" t="s">
        <v>166</v>
      </c>
      <c r="C163" t="s">
        <v>60</v>
      </c>
      <c r="D163" t="s">
        <v>168</v>
      </c>
      <c r="E163" t="str">
        <f>HYPERLINK("/pdf/2024_10.1109_ithings-greencom-cpscom-smartdata-cybermatics62450.2024.00102_On_the_Security_and_Privacy_Implications_of_Large_Language_Models__In-Depth_Threat_Analysis.pdf","open")</f>
        <v>open</v>
      </c>
      <c r="F163" t="s">
        <v>7119</v>
      </c>
      <c r="G163" t="s">
        <v>7452</v>
      </c>
      <c r="H163" t="s">
        <v>7453</v>
      </c>
      <c r="I163" t="s">
        <v>7454</v>
      </c>
    </row>
    <row r="164" spans="1:9" x14ac:dyDescent="0.2">
      <c r="A164" t="s">
        <v>165</v>
      </c>
      <c r="B164" t="s">
        <v>166</v>
      </c>
      <c r="C164" t="s">
        <v>60</v>
      </c>
      <c r="D164" t="s">
        <v>168</v>
      </c>
      <c r="E164" t="str">
        <f>HYPERLINK("/pdf/2024_10.1109_ithings-greencom-cpscom-smartdata-cybermatics62450.2024.00102_On_the_Security_and_Privacy_Implications_of_Large_Language_Models__In-Depth_Threat_Analysis.pdf","open")</f>
        <v>open</v>
      </c>
      <c r="F164" t="s">
        <v>7119</v>
      </c>
      <c r="G164" t="s">
        <v>7455</v>
      </c>
      <c r="H164" t="s">
        <v>7456</v>
      </c>
      <c r="I164" t="s">
        <v>7454</v>
      </c>
    </row>
    <row r="165" spans="1:9" x14ac:dyDescent="0.2">
      <c r="A165" t="s">
        <v>165</v>
      </c>
      <c r="B165" t="s">
        <v>166</v>
      </c>
      <c r="C165" t="s">
        <v>60</v>
      </c>
      <c r="D165" t="s">
        <v>168</v>
      </c>
      <c r="E165" t="str">
        <f>HYPERLINK("/pdf/2024_10.1109_ithings-greencom-cpscom-smartdata-cybermatics62450.2024.00102_On_the_Security_and_Privacy_Implications_of_Large_Language_Models__In-Depth_Threat_Analysis.pdf","open")</f>
        <v>open</v>
      </c>
      <c r="F165" t="s">
        <v>7130</v>
      </c>
      <c r="G165" t="s">
        <v>7215</v>
      </c>
      <c r="I165" t="s">
        <v>7457</v>
      </c>
    </row>
    <row r="166" spans="1:9" x14ac:dyDescent="0.2">
      <c r="A166" t="s">
        <v>165</v>
      </c>
      <c r="B166" t="s">
        <v>166</v>
      </c>
      <c r="C166" t="s">
        <v>60</v>
      </c>
      <c r="D166" t="s">
        <v>168</v>
      </c>
      <c r="E166" t="str">
        <f>HYPERLINK("/pdf/2024_10.1109_ithings-greencom-cpscom-smartdata-cybermatics62450.2024.00102_On_the_Security_and_Privacy_Implications_of_Large_Language_Models__In-Depth_Threat_Analysis.pdf","open")</f>
        <v>open</v>
      </c>
      <c r="F166" t="s">
        <v>7130</v>
      </c>
      <c r="G166" t="s">
        <v>7458</v>
      </c>
      <c r="I166" t="s">
        <v>7459</v>
      </c>
    </row>
    <row r="167" spans="1:9" x14ac:dyDescent="0.2">
      <c r="A167" t="s">
        <v>170</v>
      </c>
      <c r="B167" t="s">
        <v>171</v>
      </c>
      <c r="C167" t="s">
        <v>19</v>
      </c>
      <c r="D167" t="s">
        <v>173</v>
      </c>
      <c r="E167" t="str">
        <f>HYPERLINK("/pdf/2025_10_3390_cryptography9040072_a_post_quantum_cryptography_enabled_feature_level_fusion_framework_for_privacy_preserving.pdf","open")</f>
        <v>open</v>
      </c>
      <c r="F167" t="s">
        <v>7119</v>
      </c>
      <c r="G167" t="s">
        <v>7460</v>
      </c>
      <c r="H167" t="s">
        <v>7461</v>
      </c>
      <c r="I167" t="s">
        <v>7178</v>
      </c>
    </row>
    <row r="168" spans="1:9" x14ac:dyDescent="0.2">
      <c r="A168" t="s">
        <v>170</v>
      </c>
      <c r="B168" t="s">
        <v>171</v>
      </c>
      <c r="C168" t="s">
        <v>19</v>
      </c>
      <c r="D168" t="s">
        <v>173</v>
      </c>
      <c r="E168" t="str">
        <f>HYPERLINK("/pdf/2025_10_3390_cryptography9040072_a_post_quantum_cryptography_enabled_feature_level_fusion_framework_for_privacy_preserving.pdf","open")</f>
        <v>open</v>
      </c>
      <c r="F168" t="s">
        <v>7119</v>
      </c>
      <c r="G168" t="s">
        <v>7462</v>
      </c>
      <c r="H168" t="s">
        <v>7463</v>
      </c>
      <c r="I168" t="s">
        <v>7464</v>
      </c>
    </row>
    <row r="169" spans="1:9" x14ac:dyDescent="0.2">
      <c r="A169" t="s">
        <v>170</v>
      </c>
      <c r="B169" t="s">
        <v>171</v>
      </c>
      <c r="C169" t="s">
        <v>19</v>
      </c>
      <c r="D169" t="s">
        <v>173</v>
      </c>
      <c r="E169" t="str">
        <f>HYPERLINK("/pdf/2025_10_3390_cryptography9040072_a_post_quantum_cryptography_enabled_feature_level_fusion_framework_for_privacy_preserving.pdf","open")</f>
        <v>open</v>
      </c>
      <c r="F169" t="s">
        <v>7119</v>
      </c>
      <c r="G169" t="s">
        <v>7465</v>
      </c>
      <c r="H169" t="s">
        <v>7466</v>
      </c>
      <c r="I169" t="s">
        <v>7467</v>
      </c>
    </row>
    <row r="170" spans="1:9" x14ac:dyDescent="0.2">
      <c r="A170" t="s">
        <v>170</v>
      </c>
      <c r="B170" t="s">
        <v>171</v>
      </c>
      <c r="C170" t="s">
        <v>19</v>
      </c>
      <c r="D170" t="s">
        <v>173</v>
      </c>
      <c r="E170" t="str">
        <f>HYPERLINK("/pdf/2025_10_3390_cryptography9040072_a_post_quantum_cryptography_enabled_feature_level_fusion_framework_for_privacy_preserving.pdf","open")</f>
        <v>open</v>
      </c>
      <c r="F170" t="s">
        <v>7130</v>
      </c>
      <c r="G170" t="s">
        <v>1571</v>
      </c>
      <c r="I170" t="s">
        <v>7158</v>
      </c>
    </row>
    <row r="171" spans="1:9" x14ac:dyDescent="0.2">
      <c r="A171" t="s">
        <v>170</v>
      </c>
      <c r="B171" t="s">
        <v>171</v>
      </c>
      <c r="C171" t="s">
        <v>19</v>
      </c>
      <c r="D171" t="s">
        <v>173</v>
      </c>
      <c r="E171" t="str">
        <f>HYPERLINK("/pdf/2025_10_3390_cryptography9040072_a_post_quantum_cryptography_enabled_feature_level_fusion_framework_for_privacy_preserving.pdf","open")</f>
        <v>open</v>
      </c>
      <c r="F171" t="s">
        <v>7130</v>
      </c>
      <c r="G171" t="s">
        <v>1584</v>
      </c>
      <c r="I171" t="s">
        <v>7468</v>
      </c>
    </row>
    <row r="172" spans="1:9" x14ac:dyDescent="0.2">
      <c r="A172" t="s">
        <v>175</v>
      </c>
      <c r="B172" t="s">
        <v>176</v>
      </c>
      <c r="C172" t="s">
        <v>19</v>
      </c>
      <c r="D172" t="s">
        <v>178</v>
      </c>
      <c r="E172" t="str">
        <f t="shared" ref="E172:E178" si="12">HYPERLINK("/pdf/2025_10.1109_etfa65518.2025.11205756_Trustworthy_AI_for_Security_Decision-Making_in_ICSs__Towards_Compliance_with_the_EU_AI_Act.pdf","open")</f>
        <v>open</v>
      </c>
      <c r="F172" t="s">
        <v>7119</v>
      </c>
      <c r="G172" t="s">
        <v>7469</v>
      </c>
      <c r="H172" t="s">
        <v>7470</v>
      </c>
      <c r="I172" t="s">
        <v>7225</v>
      </c>
    </row>
    <row r="173" spans="1:9" x14ac:dyDescent="0.2">
      <c r="A173" t="s">
        <v>175</v>
      </c>
      <c r="B173" t="s">
        <v>176</v>
      </c>
      <c r="C173" t="s">
        <v>19</v>
      </c>
      <c r="D173" t="s">
        <v>178</v>
      </c>
      <c r="E173" t="str">
        <f t="shared" si="12"/>
        <v>open</v>
      </c>
      <c r="F173" t="s">
        <v>7119</v>
      </c>
      <c r="G173" t="s">
        <v>7471</v>
      </c>
      <c r="H173" t="s">
        <v>7472</v>
      </c>
      <c r="I173" t="s">
        <v>7473</v>
      </c>
    </row>
    <row r="174" spans="1:9" x14ac:dyDescent="0.2">
      <c r="A174" t="s">
        <v>175</v>
      </c>
      <c r="B174" t="s">
        <v>176</v>
      </c>
      <c r="C174" t="s">
        <v>19</v>
      </c>
      <c r="D174" t="s">
        <v>178</v>
      </c>
      <c r="E174" t="str">
        <f t="shared" si="12"/>
        <v>open</v>
      </c>
      <c r="F174" t="s">
        <v>7119</v>
      </c>
      <c r="G174" t="s">
        <v>7183</v>
      </c>
      <c r="H174" t="s">
        <v>7474</v>
      </c>
      <c r="I174" t="s">
        <v>7475</v>
      </c>
    </row>
    <row r="175" spans="1:9" x14ac:dyDescent="0.2">
      <c r="A175" t="s">
        <v>175</v>
      </c>
      <c r="B175" t="s">
        <v>176</v>
      </c>
      <c r="C175" t="s">
        <v>19</v>
      </c>
      <c r="D175" t="s">
        <v>178</v>
      </c>
      <c r="E175" t="str">
        <f t="shared" si="12"/>
        <v>open</v>
      </c>
      <c r="F175" t="s">
        <v>7119</v>
      </c>
      <c r="G175" t="s">
        <v>7476</v>
      </c>
      <c r="H175" t="s">
        <v>7477</v>
      </c>
      <c r="I175" t="s">
        <v>7478</v>
      </c>
    </row>
    <row r="176" spans="1:9" x14ac:dyDescent="0.2">
      <c r="A176" t="s">
        <v>175</v>
      </c>
      <c r="B176" t="s">
        <v>176</v>
      </c>
      <c r="C176" t="s">
        <v>19</v>
      </c>
      <c r="D176" t="s">
        <v>178</v>
      </c>
      <c r="E176" t="str">
        <f t="shared" si="12"/>
        <v>open</v>
      </c>
      <c r="F176" t="s">
        <v>7119</v>
      </c>
      <c r="G176" t="s">
        <v>7479</v>
      </c>
      <c r="H176" t="s">
        <v>7480</v>
      </c>
      <c r="I176" t="s">
        <v>7481</v>
      </c>
    </row>
    <row r="177" spans="1:9" x14ac:dyDescent="0.2">
      <c r="A177" t="s">
        <v>175</v>
      </c>
      <c r="B177" t="s">
        <v>176</v>
      </c>
      <c r="C177" t="s">
        <v>19</v>
      </c>
      <c r="D177" t="s">
        <v>178</v>
      </c>
      <c r="E177" t="str">
        <f t="shared" si="12"/>
        <v>open</v>
      </c>
      <c r="F177" t="s">
        <v>7130</v>
      </c>
      <c r="G177" t="s">
        <v>7183</v>
      </c>
      <c r="I177" t="s">
        <v>7482</v>
      </c>
    </row>
    <row r="178" spans="1:9" x14ac:dyDescent="0.2">
      <c r="A178" t="s">
        <v>175</v>
      </c>
      <c r="B178" t="s">
        <v>176</v>
      </c>
      <c r="C178" t="s">
        <v>19</v>
      </c>
      <c r="D178" t="s">
        <v>178</v>
      </c>
      <c r="E178" t="str">
        <f t="shared" si="12"/>
        <v>open</v>
      </c>
      <c r="F178" t="s">
        <v>7130</v>
      </c>
      <c r="G178" t="s">
        <v>7483</v>
      </c>
      <c r="I178" t="s">
        <v>7484</v>
      </c>
    </row>
    <row r="179" spans="1:9" x14ac:dyDescent="0.2">
      <c r="A179" t="s">
        <v>180</v>
      </c>
      <c r="B179" t="s">
        <v>181</v>
      </c>
      <c r="C179" t="s">
        <v>19</v>
      </c>
      <c r="D179" t="s">
        <v>183</v>
      </c>
      <c r="E179" t="str">
        <f t="shared" ref="E179:E185" si="13">HYPERLINK("/pdf/2025_10.1109_jiot.2025.3583304_BCTD-ICS__A_Blockchain-Aided_Framework_for_Trusted_Detection_of_Industrial_Control_System_Components.pdf","open")</f>
        <v>open</v>
      </c>
      <c r="F179" t="s">
        <v>7119</v>
      </c>
      <c r="G179" t="s">
        <v>7485</v>
      </c>
      <c r="H179" t="s">
        <v>7486</v>
      </c>
      <c r="I179" t="s">
        <v>7151</v>
      </c>
    </row>
    <row r="180" spans="1:9" x14ac:dyDescent="0.2">
      <c r="A180" t="s">
        <v>180</v>
      </c>
      <c r="B180" t="s">
        <v>181</v>
      </c>
      <c r="C180" t="s">
        <v>19</v>
      </c>
      <c r="D180" t="s">
        <v>183</v>
      </c>
      <c r="E180" t="str">
        <f t="shared" si="13"/>
        <v>open</v>
      </c>
      <c r="F180" t="s">
        <v>7119</v>
      </c>
      <c r="G180" t="s">
        <v>7487</v>
      </c>
      <c r="H180" t="s">
        <v>7488</v>
      </c>
      <c r="I180" t="s">
        <v>7151</v>
      </c>
    </row>
    <row r="181" spans="1:9" x14ac:dyDescent="0.2">
      <c r="A181" t="s">
        <v>180</v>
      </c>
      <c r="B181" t="s">
        <v>181</v>
      </c>
      <c r="C181" t="s">
        <v>19</v>
      </c>
      <c r="D181" t="s">
        <v>183</v>
      </c>
      <c r="E181" t="str">
        <f t="shared" si="13"/>
        <v>open</v>
      </c>
      <c r="F181" t="s">
        <v>7119</v>
      </c>
      <c r="G181" t="s">
        <v>7489</v>
      </c>
      <c r="H181" t="s">
        <v>7490</v>
      </c>
      <c r="I181" t="s">
        <v>7491</v>
      </c>
    </row>
    <row r="182" spans="1:9" x14ac:dyDescent="0.2">
      <c r="A182" t="s">
        <v>180</v>
      </c>
      <c r="B182" t="s">
        <v>181</v>
      </c>
      <c r="C182" t="s">
        <v>19</v>
      </c>
      <c r="D182" t="s">
        <v>183</v>
      </c>
      <c r="E182" t="str">
        <f t="shared" si="13"/>
        <v>open</v>
      </c>
      <c r="F182" t="s">
        <v>7119</v>
      </c>
      <c r="G182" t="s">
        <v>7492</v>
      </c>
      <c r="H182" t="s">
        <v>7493</v>
      </c>
      <c r="I182" t="s">
        <v>7494</v>
      </c>
    </row>
    <row r="183" spans="1:9" x14ac:dyDescent="0.2">
      <c r="A183" t="s">
        <v>180</v>
      </c>
      <c r="B183" t="s">
        <v>181</v>
      </c>
      <c r="C183" t="s">
        <v>19</v>
      </c>
      <c r="D183" t="s">
        <v>183</v>
      </c>
      <c r="E183" t="str">
        <f t="shared" si="13"/>
        <v>open</v>
      </c>
      <c r="F183" t="s">
        <v>7119</v>
      </c>
      <c r="G183" t="s">
        <v>7495</v>
      </c>
      <c r="H183" t="s">
        <v>7496</v>
      </c>
      <c r="I183" t="s">
        <v>7497</v>
      </c>
    </row>
    <row r="184" spans="1:9" x14ac:dyDescent="0.2">
      <c r="A184" t="s">
        <v>180</v>
      </c>
      <c r="B184" t="s">
        <v>181</v>
      </c>
      <c r="C184" t="s">
        <v>19</v>
      </c>
      <c r="D184" t="s">
        <v>183</v>
      </c>
      <c r="E184" t="str">
        <f t="shared" si="13"/>
        <v>open</v>
      </c>
      <c r="F184" t="s">
        <v>7130</v>
      </c>
      <c r="G184" t="s">
        <v>7380</v>
      </c>
      <c r="I184" t="s">
        <v>7498</v>
      </c>
    </row>
    <row r="185" spans="1:9" x14ac:dyDescent="0.2">
      <c r="A185" t="s">
        <v>180</v>
      </c>
      <c r="B185" t="s">
        <v>181</v>
      </c>
      <c r="C185" t="s">
        <v>19</v>
      </c>
      <c r="D185" t="s">
        <v>183</v>
      </c>
      <c r="E185" t="str">
        <f t="shared" si="13"/>
        <v>open</v>
      </c>
      <c r="F185" t="s">
        <v>7130</v>
      </c>
      <c r="G185" t="s">
        <v>7183</v>
      </c>
      <c r="I185" t="s">
        <v>7499</v>
      </c>
    </row>
    <row r="186" spans="1:9" x14ac:dyDescent="0.2">
      <c r="A186" t="s">
        <v>185</v>
      </c>
      <c r="B186" t="s">
        <v>186</v>
      </c>
      <c r="C186" t="s">
        <v>148</v>
      </c>
      <c r="D186" t="s">
        <v>148</v>
      </c>
      <c r="E186" t="str">
        <f>HYPERLINK("/pdf/2019_Towards_automated_threat-based_risk_assessment_for_cyber_security_in_smarthomes.pdf","open")</f>
        <v>open</v>
      </c>
      <c r="F186" t="s">
        <v>7119</v>
      </c>
      <c r="G186" t="s">
        <v>7500</v>
      </c>
      <c r="H186" t="s">
        <v>7501</v>
      </c>
      <c r="I186" t="s">
        <v>7178</v>
      </c>
    </row>
    <row r="187" spans="1:9" x14ac:dyDescent="0.2">
      <c r="A187" t="s">
        <v>185</v>
      </c>
      <c r="B187" t="s">
        <v>186</v>
      </c>
      <c r="C187" t="s">
        <v>148</v>
      </c>
      <c r="D187" t="s">
        <v>148</v>
      </c>
      <c r="E187" t="str">
        <f>HYPERLINK("/pdf/2019_Towards_automated_threat-based_risk_assessment_for_cyber_security_in_smarthomes.pdf","open")</f>
        <v>open</v>
      </c>
      <c r="F187" t="s">
        <v>7119</v>
      </c>
      <c r="G187" t="s">
        <v>7502</v>
      </c>
      <c r="H187" t="s">
        <v>7503</v>
      </c>
      <c r="I187" t="s">
        <v>7504</v>
      </c>
    </row>
    <row r="188" spans="1:9" x14ac:dyDescent="0.2">
      <c r="A188" t="s">
        <v>185</v>
      </c>
      <c r="B188" t="s">
        <v>186</v>
      </c>
      <c r="C188" t="s">
        <v>148</v>
      </c>
      <c r="D188" t="s">
        <v>148</v>
      </c>
      <c r="E188" t="str">
        <f>HYPERLINK("/pdf/2019_Towards_automated_threat-based_risk_assessment_for_cyber_security_in_smarthomes.pdf","open")</f>
        <v>open</v>
      </c>
      <c r="F188" t="s">
        <v>7119</v>
      </c>
      <c r="G188" t="s">
        <v>7505</v>
      </c>
      <c r="H188" t="s">
        <v>7506</v>
      </c>
      <c r="I188" t="s">
        <v>7504</v>
      </c>
    </row>
    <row r="189" spans="1:9" x14ac:dyDescent="0.2">
      <c r="A189" t="s">
        <v>185</v>
      </c>
      <c r="B189" t="s">
        <v>186</v>
      </c>
      <c r="C189" t="s">
        <v>148</v>
      </c>
      <c r="D189" t="s">
        <v>148</v>
      </c>
      <c r="E189" t="str">
        <f>HYPERLINK("/pdf/2019_Towards_automated_threat-based_risk_assessment_for_cyber_security_in_smarthomes.pdf","open")</f>
        <v>open</v>
      </c>
      <c r="F189" t="s">
        <v>7130</v>
      </c>
      <c r="G189" t="s">
        <v>7203</v>
      </c>
      <c r="I189" t="s">
        <v>7507</v>
      </c>
    </row>
    <row r="190" spans="1:9" x14ac:dyDescent="0.2">
      <c r="A190" t="s">
        <v>188</v>
      </c>
      <c r="B190" t="s">
        <v>189</v>
      </c>
      <c r="C190" t="s">
        <v>190</v>
      </c>
      <c r="D190" t="s">
        <v>192</v>
      </c>
      <c r="E190" t="str">
        <f t="shared" ref="E190:E196" si="14">HYPERLINK("/pdf/2017_10.1016_j.jisa.2016.10.001_A_white-box_anomaly-based_framework_for_database_leakage_detection.pdf","open")</f>
        <v>open</v>
      </c>
      <c r="F190" t="s">
        <v>7119</v>
      </c>
      <c r="G190" t="s">
        <v>7508</v>
      </c>
      <c r="H190" t="s">
        <v>7509</v>
      </c>
      <c r="I190" t="s">
        <v>7510</v>
      </c>
    </row>
    <row r="191" spans="1:9" x14ac:dyDescent="0.2">
      <c r="A191" t="s">
        <v>188</v>
      </c>
      <c r="B191" t="s">
        <v>189</v>
      </c>
      <c r="C191" t="s">
        <v>190</v>
      </c>
      <c r="D191" t="s">
        <v>192</v>
      </c>
      <c r="E191" t="str">
        <f t="shared" si="14"/>
        <v>open</v>
      </c>
      <c r="F191" t="s">
        <v>7119</v>
      </c>
      <c r="G191" t="s">
        <v>7511</v>
      </c>
      <c r="H191" t="s">
        <v>7512</v>
      </c>
      <c r="I191" t="s">
        <v>7513</v>
      </c>
    </row>
    <row r="192" spans="1:9" x14ac:dyDescent="0.2">
      <c r="A192" t="s">
        <v>188</v>
      </c>
      <c r="B192" t="s">
        <v>189</v>
      </c>
      <c r="C192" t="s">
        <v>190</v>
      </c>
      <c r="D192" t="s">
        <v>192</v>
      </c>
      <c r="E192" t="str">
        <f t="shared" si="14"/>
        <v>open</v>
      </c>
      <c r="F192" t="s">
        <v>7119</v>
      </c>
      <c r="G192" t="s">
        <v>7514</v>
      </c>
      <c r="H192" t="s">
        <v>7515</v>
      </c>
      <c r="I192" t="s">
        <v>7516</v>
      </c>
    </row>
    <row r="193" spans="1:9" x14ac:dyDescent="0.2">
      <c r="A193" t="s">
        <v>188</v>
      </c>
      <c r="B193" t="s">
        <v>189</v>
      </c>
      <c r="C193" t="s">
        <v>190</v>
      </c>
      <c r="D193" t="s">
        <v>192</v>
      </c>
      <c r="E193" t="str">
        <f t="shared" si="14"/>
        <v>open</v>
      </c>
      <c r="F193" t="s">
        <v>7119</v>
      </c>
      <c r="G193" t="s">
        <v>7517</v>
      </c>
      <c r="H193" t="s">
        <v>7518</v>
      </c>
      <c r="I193" t="s">
        <v>7519</v>
      </c>
    </row>
    <row r="194" spans="1:9" x14ac:dyDescent="0.2">
      <c r="A194" t="s">
        <v>188</v>
      </c>
      <c r="B194" t="s">
        <v>189</v>
      </c>
      <c r="C194" t="s">
        <v>190</v>
      </c>
      <c r="D194" t="s">
        <v>192</v>
      </c>
      <c r="E194" t="str">
        <f t="shared" si="14"/>
        <v>open</v>
      </c>
      <c r="F194" t="s">
        <v>7119</v>
      </c>
      <c r="G194" t="s">
        <v>7520</v>
      </c>
      <c r="H194" t="s">
        <v>7521</v>
      </c>
      <c r="I194" t="s">
        <v>7151</v>
      </c>
    </row>
    <row r="195" spans="1:9" x14ac:dyDescent="0.2">
      <c r="A195" t="s">
        <v>188</v>
      </c>
      <c r="B195" t="s">
        <v>189</v>
      </c>
      <c r="C195" t="s">
        <v>190</v>
      </c>
      <c r="D195" t="s">
        <v>192</v>
      </c>
      <c r="E195" t="str">
        <f t="shared" si="14"/>
        <v>open</v>
      </c>
      <c r="F195" t="s">
        <v>7130</v>
      </c>
      <c r="G195" t="s">
        <v>1584</v>
      </c>
      <c r="I195" t="s">
        <v>7522</v>
      </c>
    </row>
    <row r="196" spans="1:9" x14ac:dyDescent="0.2">
      <c r="A196" t="s">
        <v>188</v>
      </c>
      <c r="B196" t="s">
        <v>189</v>
      </c>
      <c r="C196" t="s">
        <v>190</v>
      </c>
      <c r="D196" t="s">
        <v>192</v>
      </c>
      <c r="E196" t="str">
        <f t="shared" si="14"/>
        <v>open</v>
      </c>
      <c r="F196" t="s">
        <v>7130</v>
      </c>
      <c r="G196" t="s">
        <v>1589</v>
      </c>
      <c r="I196" t="s">
        <v>7523</v>
      </c>
    </row>
    <row r="197" spans="1:9" x14ac:dyDescent="0.2">
      <c r="A197" t="s">
        <v>194</v>
      </c>
      <c r="B197" t="s">
        <v>195</v>
      </c>
      <c r="C197" t="s">
        <v>148</v>
      </c>
      <c r="D197" t="s">
        <v>148</v>
      </c>
      <c r="E197" t="str">
        <f t="shared" ref="E197:E202" si="15">HYPERLINK("/pdf/2020_10.1109_rivf48685.2020.9140781_Network_Analytics_for_Improving_Students'_Cybersecurity_Awareness_in_Online_Learning_Systems.pdf","open")</f>
        <v>open</v>
      </c>
      <c r="F197" t="s">
        <v>7119</v>
      </c>
      <c r="G197" t="s">
        <v>7524</v>
      </c>
      <c r="H197" t="s">
        <v>7525</v>
      </c>
      <c r="I197" t="s">
        <v>7178</v>
      </c>
    </row>
    <row r="198" spans="1:9" x14ac:dyDescent="0.2">
      <c r="A198" t="s">
        <v>194</v>
      </c>
      <c r="B198" t="s">
        <v>195</v>
      </c>
      <c r="C198" t="s">
        <v>148</v>
      </c>
      <c r="D198" t="s">
        <v>148</v>
      </c>
      <c r="E198" t="str">
        <f t="shared" si="15"/>
        <v>open</v>
      </c>
      <c r="F198" t="s">
        <v>7119</v>
      </c>
      <c r="G198" t="s">
        <v>7526</v>
      </c>
      <c r="H198" t="s">
        <v>7527</v>
      </c>
      <c r="I198" t="s">
        <v>7528</v>
      </c>
    </row>
    <row r="199" spans="1:9" x14ac:dyDescent="0.2">
      <c r="A199" t="s">
        <v>194</v>
      </c>
      <c r="B199" t="s">
        <v>195</v>
      </c>
      <c r="C199" t="s">
        <v>148</v>
      </c>
      <c r="D199" t="s">
        <v>148</v>
      </c>
      <c r="E199" t="str">
        <f t="shared" si="15"/>
        <v>open</v>
      </c>
      <c r="F199" t="s">
        <v>7119</v>
      </c>
      <c r="G199" t="s">
        <v>7529</v>
      </c>
      <c r="H199" t="s">
        <v>7530</v>
      </c>
      <c r="I199" t="s">
        <v>7531</v>
      </c>
    </row>
    <row r="200" spans="1:9" x14ac:dyDescent="0.2">
      <c r="A200" t="s">
        <v>194</v>
      </c>
      <c r="B200" t="s">
        <v>195</v>
      </c>
      <c r="C200" t="s">
        <v>148</v>
      </c>
      <c r="D200" t="s">
        <v>148</v>
      </c>
      <c r="E200" t="str">
        <f t="shared" si="15"/>
        <v>open</v>
      </c>
      <c r="F200" t="s">
        <v>7119</v>
      </c>
      <c r="G200" t="s">
        <v>7532</v>
      </c>
      <c r="H200" t="s">
        <v>7533</v>
      </c>
      <c r="I200" t="s">
        <v>7534</v>
      </c>
    </row>
    <row r="201" spans="1:9" x14ac:dyDescent="0.2">
      <c r="A201" t="s">
        <v>194</v>
      </c>
      <c r="B201" t="s">
        <v>195</v>
      </c>
      <c r="C201" t="s">
        <v>148</v>
      </c>
      <c r="D201" t="s">
        <v>148</v>
      </c>
      <c r="E201" t="str">
        <f t="shared" si="15"/>
        <v>open</v>
      </c>
      <c r="F201" t="s">
        <v>7130</v>
      </c>
      <c r="G201" t="s">
        <v>7215</v>
      </c>
      <c r="I201" t="s">
        <v>7535</v>
      </c>
    </row>
    <row r="202" spans="1:9" x14ac:dyDescent="0.2">
      <c r="A202" t="s">
        <v>194</v>
      </c>
      <c r="B202" t="s">
        <v>195</v>
      </c>
      <c r="C202" t="s">
        <v>148</v>
      </c>
      <c r="D202" t="s">
        <v>148</v>
      </c>
      <c r="E202" t="str">
        <f t="shared" si="15"/>
        <v>open</v>
      </c>
      <c r="F202" t="s">
        <v>7130</v>
      </c>
      <c r="G202" t="s">
        <v>7483</v>
      </c>
      <c r="I202" t="s">
        <v>7536</v>
      </c>
    </row>
    <row r="203" spans="1:9" x14ac:dyDescent="0.2">
      <c r="A203" t="s">
        <v>198</v>
      </c>
      <c r="B203" t="s">
        <v>199</v>
      </c>
      <c r="C203" t="s">
        <v>25</v>
      </c>
      <c r="D203" t="s">
        <v>201</v>
      </c>
      <c r="E203" t="str">
        <f t="shared" ref="E203:E208" si="16">HYPERLINK("/pdf/2023_10.1109_tcad.2022.3174171_IP-Tag__Tag-Based_Runtime_3PIP_Hardware_Trojan_Detection_in_SoC_Platforms.pdf","open")</f>
        <v>open</v>
      </c>
      <c r="F203" t="s">
        <v>7119</v>
      </c>
      <c r="G203" t="s">
        <v>7537</v>
      </c>
      <c r="H203" t="s">
        <v>7538</v>
      </c>
      <c r="I203" t="s">
        <v>7151</v>
      </c>
    </row>
    <row r="204" spans="1:9" x14ac:dyDescent="0.2">
      <c r="A204" t="s">
        <v>198</v>
      </c>
      <c r="B204" t="s">
        <v>199</v>
      </c>
      <c r="C204" t="s">
        <v>25</v>
      </c>
      <c r="D204" t="s">
        <v>201</v>
      </c>
      <c r="E204" t="str">
        <f t="shared" si="16"/>
        <v>open</v>
      </c>
      <c r="F204" t="s">
        <v>7119</v>
      </c>
      <c r="G204" t="s">
        <v>7539</v>
      </c>
      <c r="H204" t="s">
        <v>7540</v>
      </c>
      <c r="I204" t="s">
        <v>7163</v>
      </c>
    </row>
    <row r="205" spans="1:9" x14ac:dyDescent="0.2">
      <c r="A205" t="s">
        <v>198</v>
      </c>
      <c r="B205" t="s">
        <v>199</v>
      </c>
      <c r="C205" t="s">
        <v>25</v>
      </c>
      <c r="D205" t="s">
        <v>201</v>
      </c>
      <c r="E205" t="str">
        <f t="shared" si="16"/>
        <v>open</v>
      </c>
      <c r="F205" t="s">
        <v>7119</v>
      </c>
      <c r="G205" t="s">
        <v>7541</v>
      </c>
      <c r="H205" t="s">
        <v>7542</v>
      </c>
      <c r="I205" t="s">
        <v>7543</v>
      </c>
    </row>
    <row r="206" spans="1:9" x14ac:dyDescent="0.2">
      <c r="A206" t="s">
        <v>198</v>
      </c>
      <c r="B206" t="s">
        <v>199</v>
      </c>
      <c r="C206" t="s">
        <v>25</v>
      </c>
      <c r="D206" t="s">
        <v>201</v>
      </c>
      <c r="E206" t="str">
        <f t="shared" si="16"/>
        <v>open</v>
      </c>
      <c r="F206" t="s">
        <v>7119</v>
      </c>
      <c r="G206" t="s">
        <v>7544</v>
      </c>
      <c r="H206" t="s">
        <v>7545</v>
      </c>
      <c r="I206" t="s">
        <v>7151</v>
      </c>
    </row>
    <row r="207" spans="1:9" x14ac:dyDescent="0.2">
      <c r="A207" t="s">
        <v>198</v>
      </c>
      <c r="B207" t="s">
        <v>199</v>
      </c>
      <c r="C207" t="s">
        <v>25</v>
      </c>
      <c r="D207" t="s">
        <v>201</v>
      </c>
      <c r="E207" t="str">
        <f t="shared" si="16"/>
        <v>open</v>
      </c>
      <c r="F207" t="s">
        <v>7130</v>
      </c>
      <c r="G207" t="s">
        <v>7203</v>
      </c>
      <c r="I207" t="s">
        <v>7546</v>
      </c>
    </row>
    <row r="208" spans="1:9" x14ac:dyDescent="0.2">
      <c r="A208" t="s">
        <v>198</v>
      </c>
      <c r="B208" t="s">
        <v>199</v>
      </c>
      <c r="C208" t="s">
        <v>25</v>
      </c>
      <c r="D208" t="s">
        <v>201</v>
      </c>
      <c r="E208" t="str">
        <f t="shared" si="16"/>
        <v>open</v>
      </c>
      <c r="F208" t="s">
        <v>7130</v>
      </c>
      <c r="G208" t="s">
        <v>7547</v>
      </c>
      <c r="I208" t="s">
        <v>7548</v>
      </c>
    </row>
    <row r="209" spans="1:9" x14ac:dyDescent="0.2">
      <c r="A209" t="s">
        <v>203</v>
      </c>
      <c r="B209" t="s">
        <v>204</v>
      </c>
      <c r="C209" t="s">
        <v>19</v>
      </c>
      <c r="D209" t="s">
        <v>206</v>
      </c>
      <c r="E209" t="str">
        <f>HYPERLINK("/pdf/2025_10.1109_roma66616.2025.11155405_A_Survey_on_AI-Enabled_Anomaly_Detection_with_Privacy_Preservation_in_Wireless_Sensor_Healthcare_IoT_Environme.pdf","open")</f>
        <v>open</v>
      </c>
      <c r="F209" t="s">
        <v>7119</v>
      </c>
      <c r="G209" t="s">
        <v>7549</v>
      </c>
      <c r="H209" t="s">
        <v>7550</v>
      </c>
      <c r="I209" t="s">
        <v>7551</v>
      </c>
    </row>
    <row r="210" spans="1:9" x14ac:dyDescent="0.2">
      <c r="A210" t="s">
        <v>203</v>
      </c>
      <c r="B210" t="s">
        <v>204</v>
      </c>
      <c r="C210" t="s">
        <v>19</v>
      </c>
      <c r="D210" t="s">
        <v>206</v>
      </c>
      <c r="E210" t="str">
        <f>HYPERLINK("/pdf/2025_10.1109_roma66616.2025.11155405_A_Survey_on_AI-Enabled_Anomaly_Detection_with_Privacy_Preservation_in_Wireless_Sensor_Healthcare_IoT_Environme.pdf","open")</f>
        <v>open</v>
      </c>
      <c r="F210" t="s">
        <v>7119</v>
      </c>
      <c r="G210" t="s">
        <v>7552</v>
      </c>
      <c r="H210" t="s">
        <v>7553</v>
      </c>
      <c r="I210" t="s">
        <v>7554</v>
      </c>
    </row>
    <row r="211" spans="1:9" x14ac:dyDescent="0.2">
      <c r="A211" t="s">
        <v>203</v>
      </c>
      <c r="B211" t="s">
        <v>204</v>
      </c>
      <c r="C211" t="s">
        <v>19</v>
      </c>
      <c r="D211" t="s">
        <v>206</v>
      </c>
      <c r="E211" t="str">
        <f>HYPERLINK("/pdf/2025_10.1109_roma66616.2025.11155405_A_Survey_on_AI-Enabled_Anomaly_Detection_with_Privacy_Preservation_in_Wireless_Sensor_Healthcare_IoT_Environme.pdf","open")</f>
        <v>open</v>
      </c>
      <c r="F211" t="s">
        <v>7119</v>
      </c>
      <c r="G211" t="s">
        <v>7555</v>
      </c>
      <c r="H211" t="s">
        <v>7556</v>
      </c>
      <c r="I211" t="s">
        <v>7557</v>
      </c>
    </row>
    <row r="212" spans="1:9" x14ac:dyDescent="0.2">
      <c r="A212" t="s">
        <v>203</v>
      </c>
      <c r="B212" t="s">
        <v>204</v>
      </c>
      <c r="C212" t="s">
        <v>19</v>
      </c>
      <c r="D212" t="s">
        <v>206</v>
      </c>
      <c r="E212" t="str">
        <f>HYPERLINK("/pdf/2025_10.1109_roma66616.2025.11155405_A_Survey_on_AI-Enabled_Anomaly_Detection_with_Privacy_Preservation_in_Wireless_Sensor_Healthcare_IoT_Environme.pdf","open")</f>
        <v>open</v>
      </c>
      <c r="F212" t="s">
        <v>7130</v>
      </c>
      <c r="G212" t="s">
        <v>7558</v>
      </c>
      <c r="I212" t="s">
        <v>7559</v>
      </c>
    </row>
    <row r="213" spans="1:9" x14ac:dyDescent="0.2">
      <c r="A213" t="s">
        <v>203</v>
      </c>
      <c r="B213" t="s">
        <v>204</v>
      </c>
      <c r="C213" t="s">
        <v>19</v>
      </c>
      <c r="D213" t="s">
        <v>206</v>
      </c>
      <c r="E213" t="str">
        <f>HYPERLINK("/pdf/2025_10.1109_roma66616.2025.11155405_A_Survey_on_AI-Enabled_Anomaly_Detection_with_Privacy_Preservation_in_Wireless_Sensor_Healthcare_IoT_Environme.pdf","open")</f>
        <v>open</v>
      </c>
      <c r="F213" t="s">
        <v>7130</v>
      </c>
      <c r="G213" t="s">
        <v>7406</v>
      </c>
      <c r="I213" t="s">
        <v>7560</v>
      </c>
    </row>
    <row r="214" spans="1:9" x14ac:dyDescent="0.2">
      <c r="A214" t="s">
        <v>208</v>
      </c>
      <c r="B214" t="s">
        <v>209</v>
      </c>
      <c r="C214" t="s">
        <v>210</v>
      </c>
      <c r="D214" t="s">
        <v>148</v>
      </c>
      <c r="E214" t="str">
        <f>HYPERLINK("/pdf/2015_Device_management_technology_for_preventing_data_leakage.pdf","open")</f>
        <v>open</v>
      </c>
      <c r="F214" t="s">
        <v>7119</v>
      </c>
      <c r="G214" t="s">
        <v>7561</v>
      </c>
      <c r="H214" t="s">
        <v>7562</v>
      </c>
      <c r="I214" t="s">
        <v>7178</v>
      </c>
    </row>
    <row r="215" spans="1:9" x14ac:dyDescent="0.2">
      <c r="A215" t="s">
        <v>208</v>
      </c>
      <c r="B215" t="s">
        <v>209</v>
      </c>
      <c r="C215" t="s">
        <v>210</v>
      </c>
      <c r="D215" t="s">
        <v>148</v>
      </c>
      <c r="E215" t="str">
        <f>HYPERLINK("/pdf/2015_Device_management_technology_for_preventing_data_leakage.pdf","open")</f>
        <v>open</v>
      </c>
      <c r="F215" t="s">
        <v>7119</v>
      </c>
      <c r="G215" t="s">
        <v>7563</v>
      </c>
      <c r="H215" t="s">
        <v>7564</v>
      </c>
      <c r="I215" t="s">
        <v>7565</v>
      </c>
    </row>
    <row r="216" spans="1:9" x14ac:dyDescent="0.2">
      <c r="A216" t="s">
        <v>208</v>
      </c>
      <c r="B216" t="s">
        <v>209</v>
      </c>
      <c r="C216" t="s">
        <v>210</v>
      </c>
      <c r="D216" t="s">
        <v>148</v>
      </c>
      <c r="E216" t="str">
        <f>HYPERLINK("/pdf/2015_Device_management_technology_for_preventing_data_leakage.pdf","open")</f>
        <v>open</v>
      </c>
      <c r="F216" t="s">
        <v>7119</v>
      </c>
      <c r="G216" t="s">
        <v>7566</v>
      </c>
      <c r="H216" t="s">
        <v>7567</v>
      </c>
      <c r="I216" t="s">
        <v>7178</v>
      </c>
    </row>
    <row r="217" spans="1:9" x14ac:dyDescent="0.2">
      <c r="A217" t="s">
        <v>208</v>
      </c>
      <c r="B217" t="s">
        <v>209</v>
      </c>
      <c r="C217" t="s">
        <v>210</v>
      </c>
      <c r="D217" t="s">
        <v>148</v>
      </c>
      <c r="E217" t="str">
        <f>HYPERLINK("/pdf/2015_Device_management_technology_for_preventing_data_leakage.pdf","open")</f>
        <v>open</v>
      </c>
      <c r="F217" t="s">
        <v>7130</v>
      </c>
      <c r="G217" t="s">
        <v>1571</v>
      </c>
      <c r="I217" t="s">
        <v>7568</v>
      </c>
    </row>
    <row r="218" spans="1:9" x14ac:dyDescent="0.2">
      <c r="A218" t="s">
        <v>208</v>
      </c>
      <c r="B218" t="s">
        <v>209</v>
      </c>
      <c r="C218" t="s">
        <v>210</v>
      </c>
      <c r="D218" t="s">
        <v>148</v>
      </c>
      <c r="E218" t="str">
        <f>HYPERLINK("/pdf/2015_Device_management_technology_for_preventing_data_leakage.pdf","open")</f>
        <v>open</v>
      </c>
      <c r="F218" t="s">
        <v>7130</v>
      </c>
      <c r="G218" t="s">
        <v>7159</v>
      </c>
      <c r="I218" t="s">
        <v>7569</v>
      </c>
    </row>
    <row r="219" spans="1:9" x14ac:dyDescent="0.2">
      <c r="A219" t="s">
        <v>213</v>
      </c>
      <c r="B219" t="s">
        <v>214</v>
      </c>
      <c r="C219" t="s">
        <v>215</v>
      </c>
      <c r="D219" t="s">
        <v>217</v>
      </c>
      <c r="E219" t="str">
        <f t="shared" ref="E219:E224" si="17">HYPERLINK("/pdf/2015_10.1109_mass.2014.131_Android_smartphone_third_party_advertising_library_data_leak_analysis.pdf","open")</f>
        <v>open</v>
      </c>
      <c r="F219" t="s">
        <v>7119</v>
      </c>
      <c r="G219" t="s">
        <v>7380</v>
      </c>
      <c r="H219" t="s">
        <v>7570</v>
      </c>
      <c r="I219" t="s">
        <v>7571</v>
      </c>
    </row>
    <row r="220" spans="1:9" x14ac:dyDescent="0.2">
      <c r="A220" t="s">
        <v>213</v>
      </c>
      <c r="B220" t="s">
        <v>214</v>
      </c>
      <c r="C220" t="s">
        <v>215</v>
      </c>
      <c r="D220" t="s">
        <v>217</v>
      </c>
      <c r="E220" t="str">
        <f t="shared" si="17"/>
        <v>open</v>
      </c>
      <c r="F220" t="s">
        <v>7119</v>
      </c>
      <c r="G220" t="s">
        <v>7572</v>
      </c>
      <c r="H220" t="s">
        <v>7573</v>
      </c>
      <c r="I220" t="s">
        <v>7574</v>
      </c>
    </row>
    <row r="221" spans="1:9" x14ac:dyDescent="0.2">
      <c r="A221" t="s">
        <v>213</v>
      </c>
      <c r="B221" t="s">
        <v>214</v>
      </c>
      <c r="C221" t="s">
        <v>215</v>
      </c>
      <c r="D221" t="s">
        <v>217</v>
      </c>
      <c r="E221" t="str">
        <f t="shared" si="17"/>
        <v>open</v>
      </c>
      <c r="F221" t="s">
        <v>7119</v>
      </c>
      <c r="G221" t="s">
        <v>7575</v>
      </c>
      <c r="H221" t="s">
        <v>7576</v>
      </c>
      <c r="I221" t="s">
        <v>7571</v>
      </c>
    </row>
    <row r="222" spans="1:9" x14ac:dyDescent="0.2">
      <c r="A222" t="s">
        <v>213</v>
      </c>
      <c r="B222" t="s">
        <v>214</v>
      </c>
      <c r="C222" t="s">
        <v>215</v>
      </c>
      <c r="D222" t="s">
        <v>217</v>
      </c>
      <c r="E222" t="str">
        <f t="shared" si="17"/>
        <v>open</v>
      </c>
      <c r="F222" t="s">
        <v>7119</v>
      </c>
      <c r="G222" t="s">
        <v>3292</v>
      </c>
      <c r="H222" t="s">
        <v>7577</v>
      </c>
      <c r="I222" t="s">
        <v>7571</v>
      </c>
    </row>
    <row r="223" spans="1:9" x14ac:dyDescent="0.2">
      <c r="A223" t="s">
        <v>213</v>
      </c>
      <c r="B223" t="s">
        <v>214</v>
      </c>
      <c r="C223" t="s">
        <v>215</v>
      </c>
      <c r="D223" t="s">
        <v>217</v>
      </c>
      <c r="E223" t="str">
        <f t="shared" si="17"/>
        <v>open</v>
      </c>
      <c r="F223" t="s">
        <v>7130</v>
      </c>
      <c r="G223" t="s">
        <v>7380</v>
      </c>
      <c r="I223" t="s">
        <v>7578</v>
      </c>
    </row>
    <row r="224" spans="1:9" x14ac:dyDescent="0.2">
      <c r="A224" t="s">
        <v>213</v>
      </c>
      <c r="B224" t="s">
        <v>214</v>
      </c>
      <c r="C224" t="s">
        <v>215</v>
      </c>
      <c r="D224" t="s">
        <v>217</v>
      </c>
      <c r="E224" t="str">
        <f t="shared" si="17"/>
        <v>open</v>
      </c>
      <c r="F224" t="s">
        <v>7130</v>
      </c>
      <c r="G224" t="s">
        <v>7579</v>
      </c>
      <c r="I224" t="s">
        <v>7580</v>
      </c>
    </row>
    <row r="225" spans="1:9" x14ac:dyDescent="0.2">
      <c r="A225" t="s">
        <v>219</v>
      </c>
      <c r="B225" t="s">
        <v>220</v>
      </c>
      <c r="C225" t="s">
        <v>19</v>
      </c>
      <c r="D225" t="s">
        <v>222</v>
      </c>
      <c r="E225" t="str">
        <f t="shared" ref="E225:E230" si="18">HYPERLINK("/pdf/2025_10.1109_iacis65746.2025.11211489_A_Secure_Blockchain_Framework_Using_Stacked_SVM-RF_with_Advanced_Encryption_Standard_Galois_Counter_Mode.pdf","open")</f>
        <v>open</v>
      </c>
      <c r="F225" t="s">
        <v>7119</v>
      </c>
      <c r="G225" t="s">
        <v>7173</v>
      </c>
      <c r="H225" t="s">
        <v>7581</v>
      </c>
      <c r="I225" t="s">
        <v>7582</v>
      </c>
    </row>
    <row r="226" spans="1:9" x14ac:dyDescent="0.2">
      <c r="A226" t="s">
        <v>219</v>
      </c>
      <c r="B226" t="s">
        <v>220</v>
      </c>
      <c r="C226" t="s">
        <v>19</v>
      </c>
      <c r="D226" t="s">
        <v>222</v>
      </c>
      <c r="E226" t="str">
        <f t="shared" si="18"/>
        <v>open</v>
      </c>
      <c r="F226" t="s">
        <v>7119</v>
      </c>
      <c r="G226" t="s">
        <v>7399</v>
      </c>
      <c r="H226" t="s">
        <v>7583</v>
      </c>
      <c r="I226" t="s">
        <v>7151</v>
      </c>
    </row>
    <row r="227" spans="1:9" x14ac:dyDescent="0.2">
      <c r="A227" t="s">
        <v>219</v>
      </c>
      <c r="B227" t="s">
        <v>220</v>
      </c>
      <c r="C227" t="s">
        <v>19</v>
      </c>
      <c r="D227" t="s">
        <v>222</v>
      </c>
      <c r="E227" t="str">
        <f t="shared" si="18"/>
        <v>open</v>
      </c>
      <c r="F227" t="s">
        <v>7119</v>
      </c>
      <c r="G227" t="s">
        <v>7330</v>
      </c>
      <c r="H227" t="s">
        <v>7584</v>
      </c>
      <c r="I227" t="s">
        <v>7582</v>
      </c>
    </row>
    <row r="228" spans="1:9" x14ac:dyDescent="0.2">
      <c r="A228" t="s">
        <v>219</v>
      </c>
      <c r="B228" t="s">
        <v>220</v>
      </c>
      <c r="C228" t="s">
        <v>19</v>
      </c>
      <c r="D228" t="s">
        <v>222</v>
      </c>
      <c r="E228" t="str">
        <f t="shared" si="18"/>
        <v>open</v>
      </c>
      <c r="F228" t="s">
        <v>7119</v>
      </c>
      <c r="G228" t="s">
        <v>7585</v>
      </c>
      <c r="H228" t="s">
        <v>7586</v>
      </c>
      <c r="I228" t="s">
        <v>7151</v>
      </c>
    </row>
    <row r="229" spans="1:9" x14ac:dyDescent="0.2">
      <c r="A229" t="s">
        <v>219</v>
      </c>
      <c r="B229" t="s">
        <v>220</v>
      </c>
      <c r="C229" t="s">
        <v>19</v>
      </c>
      <c r="D229" t="s">
        <v>222</v>
      </c>
      <c r="E229" t="str">
        <f t="shared" si="18"/>
        <v>open</v>
      </c>
      <c r="F229" t="s">
        <v>7130</v>
      </c>
      <c r="G229" t="s">
        <v>1584</v>
      </c>
      <c r="I229" t="s">
        <v>7587</v>
      </c>
    </row>
    <row r="230" spans="1:9" x14ac:dyDescent="0.2">
      <c r="A230" t="s">
        <v>219</v>
      </c>
      <c r="B230" t="s">
        <v>220</v>
      </c>
      <c r="C230" t="s">
        <v>19</v>
      </c>
      <c r="D230" t="s">
        <v>222</v>
      </c>
      <c r="E230" t="str">
        <f t="shared" si="18"/>
        <v>open</v>
      </c>
      <c r="F230" t="s">
        <v>7130</v>
      </c>
      <c r="G230" t="s">
        <v>1597</v>
      </c>
      <c r="I230" t="s">
        <v>7587</v>
      </c>
    </row>
    <row r="231" spans="1:9" x14ac:dyDescent="0.2">
      <c r="A231" t="s">
        <v>224</v>
      </c>
      <c r="B231" t="s">
        <v>225</v>
      </c>
      <c r="C231" t="s">
        <v>100</v>
      </c>
      <c r="D231" t="s">
        <v>227</v>
      </c>
      <c r="E231" t="str">
        <f>HYPERLINK("/pdf/2022_10.1109_incoft55651.2022.10094509_Data_Leakage_Prevention_System_for_Internal_Security.pdf","open")</f>
        <v>open</v>
      </c>
      <c r="F231" t="s">
        <v>7119</v>
      </c>
      <c r="G231" t="s">
        <v>7588</v>
      </c>
      <c r="H231" t="s">
        <v>7589</v>
      </c>
      <c r="I231" t="s">
        <v>7151</v>
      </c>
    </row>
    <row r="232" spans="1:9" x14ac:dyDescent="0.2">
      <c r="A232" t="s">
        <v>224</v>
      </c>
      <c r="B232" t="s">
        <v>225</v>
      </c>
      <c r="C232" t="s">
        <v>100</v>
      </c>
      <c r="D232" t="s">
        <v>227</v>
      </c>
      <c r="E232" t="str">
        <f>HYPERLINK("/pdf/2022_10.1109_incoft55651.2022.10094509_Data_Leakage_Prevention_System_for_Internal_Security.pdf","open")</f>
        <v>open</v>
      </c>
      <c r="F232" t="s">
        <v>7119</v>
      </c>
      <c r="G232" t="s">
        <v>7590</v>
      </c>
      <c r="H232" t="s">
        <v>7591</v>
      </c>
      <c r="I232" t="s">
        <v>7592</v>
      </c>
    </row>
    <row r="233" spans="1:9" x14ac:dyDescent="0.2">
      <c r="A233" t="s">
        <v>224</v>
      </c>
      <c r="B233" t="s">
        <v>225</v>
      </c>
      <c r="C233" t="s">
        <v>100</v>
      </c>
      <c r="D233" t="s">
        <v>227</v>
      </c>
      <c r="E233" t="str">
        <f>HYPERLINK("/pdf/2022_10.1109_incoft55651.2022.10094509_Data_Leakage_Prevention_System_for_Internal_Security.pdf","open")</f>
        <v>open</v>
      </c>
      <c r="F233" t="s">
        <v>7119</v>
      </c>
      <c r="G233" t="s">
        <v>7593</v>
      </c>
      <c r="H233" t="s">
        <v>7594</v>
      </c>
      <c r="I233" t="s">
        <v>7313</v>
      </c>
    </row>
    <row r="234" spans="1:9" x14ac:dyDescent="0.2">
      <c r="A234" t="s">
        <v>224</v>
      </c>
      <c r="B234" t="s">
        <v>225</v>
      </c>
      <c r="C234" t="s">
        <v>100</v>
      </c>
      <c r="D234" t="s">
        <v>227</v>
      </c>
      <c r="E234" t="str">
        <f>HYPERLINK("/pdf/2022_10.1109_incoft55651.2022.10094509_Data_Leakage_Prevention_System_for_Internal_Security.pdf","open")</f>
        <v>open</v>
      </c>
      <c r="F234" t="s">
        <v>7130</v>
      </c>
      <c r="G234" t="s">
        <v>1571</v>
      </c>
      <c r="I234" t="s">
        <v>7178</v>
      </c>
    </row>
    <row r="235" spans="1:9" x14ac:dyDescent="0.2">
      <c r="A235" t="s">
        <v>224</v>
      </c>
      <c r="B235" t="s">
        <v>225</v>
      </c>
      <c r="C235" t="s">
        <v>100</v>
      </c>
      <c r="D235" t="s">
        <v>227</v>
      </c>
      <c r="E235" t="str">
        <f>HYPERLINK("/pdf/2022_10.1109_incoft55651.2022.10094509_Data_Leakage_Prevention_System_for_Internal_Security.pdf","open")</f>
        <v>open</v>
      </c>
      <c r="F235" t="s">
        <v>7130</v>
      </c>
      <c r="G235" t="s">
        <v>7159</v>
      </c>
      <c r="I235" t="s">
        <v>7595</v>
      </c>
    </row>
    <row r="236" spans="1:9" x14ac:dyDescent="0.2">
      <c r="A236" t="s">
        <v>229</v>
      </c>
      <c r="B236" t="s">
        <v>230</v>
      </c>
      <c r="C236" t="s">
        <v>19</v>
      </c>
      <c r="D236" t="s">
        <v>232</v>
      </c>
      <c r="E236" t="str">
        <f>HYPERLINK("/pdf/2025_10.1109_tsusc.2024.3409329_Safeguarding_Patient_Data-Sharing__Blockchain-Enabled_Federated_Learning_in_Medical_Diagnostics.pdf","open")</f>
        <v>open</v>
      </c>
      <c r="F236" t="s">
        <v>7119</v>
      </c>
      <c r="G236" t="s">
        <v>7596</v>
      </c>
      <c r="H236" t="s">
        <v>7597</v>
      </c>
      <c r="I236" t="s">
        <v>7178</v>
      </c>
    </row>
    <row r="237" spans="1:9" x14ac:dyDescent="0.2">
      <c r="A237" t="s">
        <v>229</v>
      </c>
      <c r="B237" t="s">
        <v>230</v>
      </c>
      <c r="C237" t="s">
        <v>19</v>
      </c>
      <c r="D237" t="s">
        <v>232</v>
      </c>
      <c r="E237" t="str">
        <f>HYPERLINK("/pdf/2025_10.1109_tsusc.2024.3409329_Safeguarding_Patient_Data-Sharing__Blockchain-Enabled_Federated_Learning_in_Medical_Diagnostics.pdf","open")</f>
        <v>open</v>
      </c>
      <c r="F237" t="s">
        <v>7119</v>
      </c>
      <c r="G237" t="s">
        <v>7173</v>
      </c>
      <c r="H237" t="s">
        <v>7598</v>
      </c>
      <c r="I237" t="s">
        <v>7599</v>
      </c>
    </row>
    <row r="238" spans="1:9" x14ac:dyDescent="0.2">
      <c r="A238" t="s">
        <v>229</v>
      </c>
      <c r="B238" t="s">
        <v>230</v>
      </c>
      <c r="C238" t="s">
        <v>19</v>
      </c>
      <c r="D238" t="s">
        <v>232</v>
      </c>
      <c r="E238" t="str">
        <f>HYPERLINK("/pdf/2025_10.1109_tsusc.2024.3409329_Safeguarding_Patient_Data-Sharing__Blockchain-Enabled_Federated_Learning_in_Medical_Diagnostics.pdf","open")</f>
        <v>open</v>
      </c>
      <c r="F238" t="s">
        <v>7119</v>
      </c>
      <c r="G238" t="s">
        <v>7288</v>
      </c>
      <c r="H238" t="s">
        <v>7600</v>
      </c>
      <c r="I238" t="s">
        <v>7601</v>
      </c>
    </row>
    <row r="239" spans="1:9" x14ac:dyDescent="0.2">
      <c r="A239" t="s">
        <v>229</v>
      </c>
      <c r="B239" t="s">
        <v>230</v>
      </c>
      <c r="C239" t="s">
        <v>19</v>
      </c>
      <c r="D239" t="s">
        <v>232</v>
      </c>
      <c r="E239" t="str">
        <f>HYPERLINK("/pdf/2025_10.1109_tsusc.2024.3409329_Safeguarding_Patient_Data-Sharing__Blockchain-Enabled_Federated_Learning_in_Medical_Diagnostics.pdf","open")</f>
        <v>open</v>
      </c>
      <c r="F239" t="s">
        <v>7130</v>
      </c>
      <c r="G239" t="s">
        <v>1571</v>
      </c>
      <c r="I239" t="s">
        <v>7158</v>
      </c>
    </row>
    <row r="240" spans="1:9" x14ac:dyDescent="0.2">
      <c r="A240" t="s">
        <v>229</v>
      </c>
      <c r="B240" t="s">
        <v>230</v>
      </c>
      <c r="C240" t="s">
        <v>19</v>
      </c>
      <c r="D240" t="s">
        <v>232</v>
      </c>
      <c r="E240" t="str">
        <f>HYPERLINK("/pdf/2025_10.1109_tsusc.2024.3409329_Safeguarding_Patient_Data-Sharing__Blockchain-Enabled_Federated_Learning_in_Medical_Diagnostics.pdf","open")</f>
        <v>open</v>
      </c>
      <c r="F240" t="s">
        <v>7130</v>
      </c>
      <c r="G240" t="s">
        <v>1592</v>
      </c>
      <c r="I240" t="s">
        <v>7602</v>
      </c>
    </row>
    <row r="241" spans="1:9" x14ac:dyDescent="0.2">
      <c r="A241" t="s">
        <v>234</v>
      </c>
      <c r="B241" t="s">
        <v>235</v>
      </c>
      <c r="C241" t="s">
        <v>36</v>
      </c>
      <c r="D241" t="s">
        <v>237</v>
      </c>
      <c r="E241" t="str">
        <f>HYPERLINK("/pdf/2021_10.1016_j.heliyon.2021.e06016_Measuring_the_level_of_cyber-security_awareness_for_cybercrime_in_Saudi_Arabia.pdf","open")</f>
        <v>open</v>
      </c>
      <c r="F241" t="s">
        <v>7119</v>
      </c>
      <c r="G241" t="s">
        <v>7603</v>
      </c>
      <c r="H241" t="s">
        <v>7604</v>
      </c>
      <c r="I241" t="s">
        <v>7605</v>
      </c>
    </row>
    <row r="242" spans="1:9" x14ac:dyDescent="0.2">
      <c r="A242" t="s">
        <v>234</v>
      </c>
      <c r="B242" t="s">
        <v>235</v>
      </c>
      <c r="C242" t="s">
        <v>36</v>
      </c>
      <c r="D242" t="s">
        <v>237</v>
      </c>
      <c r="E242" t="str">
        <f>HYPERLINK("/pdf/2021_10.1016_j.heliyon.2021.e06016_Measuring_the_level_of_cyber-security_awareness_for_cybercrime_in_Saudi_Arabia.pdf","open")</f>
        <v>open</v>
      </c>
      <c r="F242" t="s">
        <v>7119</v>
      </c>
      <c r="G242" t="s">
        <v>7606</v>
      </c>
      <c r="H242" t="s">
        <v>7607</v>
      </c>
      <c r="I242" t="s">
        <v>7608</v>
      </c>
    </row>
    <row r="243" spans="1:9" x14ac:dyDescent="0.2">
      <c r="A243" t="s">
        <v>234</v>
      </c>
      <c r="B243" t="s">
        <v>235</v>
      </c>
      <c r="C243" t="s">
        <v>36</v>
      </c>
      <c r="D243" t="s">
        <v>237</v>
      </c>
      <c r="E243" t="str">
        <f>HYPERLINK("/pdf/2021_10.1016_j.heliyon.2021.e06016_Measuring_the_level_of_cyber-security_awareness_for_cybercrime_in_Saudi_Arabia.pdf","open")</f>
        <v>open</v>
      </c>
      <c r="F243" t="s">
        <v>7119</v>
      </c>
      <c r="G243" t="s">
        <v>7609</v>
      </c>
      <c r="H243" t="s">
        <v>7610</v>
      </c>
      <c r="I243" t="s">
        <v>7611</v>
      </c>
    </row>
    <row r="244" spans="1:9" x14ac:dyDescent="0.2">
      <c r="A244" t="s">
        <v>234</v>
      </c>
      <c r="B244" t="s">
        <v>235</v>
      </c>
      <c r="C244" t="s">
        <v>36</v>
      </c>
      <c r="D244" t="s">
        <v>237</v>
      </c>
      <c r="E244" t="str">
        <f>HYPERLINK("/pdf/2021_10.1016_j.heliyon.2021.e06016_Measuring_the_level_of_cyber-security_awareness_for_cybercrime_in_Saudi_Arabia.pdf","open")</f>
        <v>open</v>
      </c>
      <c r="F244" t="s">
        <v>7130</v>
      </c>
      <c r="G244" t="s">
        <v>1571</v>
      </c>
      <c r="I244" t="s">
        <v>7158</v>
      </c>
    </row>
    <row r="245" spans="1:9" x14ac:dyDescent="0.2">
      <c r="A245" t="s">
        <v>234</v>
      </c>
      <c r="B245" t="s">
        <v>235</v>
      </c>
      <c r="C245" t="s">
        <v>36</v>
      </c>
      <c r="D245" t="s">
        <v>237</v>
      </c>
      <c r="E245" t="str">
        <f>HYPERLINK("/pdf/2021_10.1016_j.heliyon.2021.e06016_Measuring_the_level_of_cyber-security_awareness_for_cybercrime_in_Saudi_Arabia.pdf","open")</f>
        <v>open</v>
      </c>
      <c r="F245" t="s">
        <v>7130</v>
      </c>
      <c r="G245" t="s">
        <v>1594</v>
      </c>
      <c r="I245" t="s">
        <v>7612</v>
      </c>
    </row>
    <row r="246" spans="1:9" x14ac:dyDescent="0.2">
      <c r="A246" t="s">
        <v>239</v>
      </c>
      <c r="B246" t="s">
        <v>240</v>
      </c>
      <c r="C246" t="s">
        <v>60</v>
      </c>
      <c r="D246" t="s">
        <v>242</v>
      </c>
      <c r="E246" t="str">
        <f>HYPERLINK("/pdf/2024_10.1109_iccr61006.2024.10532886_Feed-forward_ANN_with_Random_Forest_Technique_for_Identifying_Malicious_Internet_of_Things_Network_Intrusion.pdf","open")</f>
        <v>open</v>
      </c>
      <c r="F246" t="s">
        <v>7119</v>
      </c>
      <c r="G246" t="s">
        <v>7613</v>
      </c>
      <c r="H246" t="s">
        <v>7614</v>
      </c>
      <c r="I246" t="s">
        <v>7178</v>
      </c>
    </row>
    <row r="247" spans="1:9" x14ac:dyDescent="0.2">
      <c r="A247" t="s">
        <v>239</v>
      </c>
      <c r="B247" t="s">
        <v>240</v>
      </c>
      <c r="C247" t="s">
        <v>60</v>
      </c>
      <c r="D247" t="s">
        <v>242</v>
      </c>
      <c r="E247" t="str">
        <f>HYPERLINK("/pdf/2024_10.1109_iccr61006.2024.10532886_Feed-forward_ANN_with_Random_Forest_Technique_for_Identifying_Malicious_Internet_of_Things_Network_Intrusion.pdf","open")</f>
        <v>open</v>
      </c>
      <c r="F247" t="s">
        <v>7119</v>
      </c>
      <c r="G247" t="s">
        <v>7615</v>
      </c>
      <c r="H247" t="s">
        <v>7616</v>
      </c>
      <c r="I247" t="s">
        <v>7617</v>
      </c>
    </row>
    <row r="248" spans="1:9" x14ac:dyDescent="0.2">
      <c r="A248" t="s">
        <v>239</v>
      </c>
      <c r="B248" t="s">
        <v>240</v>
      </c>
      <c r="C248" t="s">
        <v>60</v>
      </c>
      <c r="D248" t="s">
        <v>242</v>
      </c>
      <c r="E248" t="str">
        <f>HYPERLINK("/pdf/2024_10.1109_iccr61006.2024.10532886_Feed-forward_ANN_with_Random_Forest_Technique_for_Identifying_Malicious_Internet_of_Things_Network_Intrusion.pdf","open")</f>
        <v>open</v>
      </c>
      <c r="F248" t="s">
        <v>7119</v>
      </c>
      <c r="G248" t="s">
        <v>7618</v>
      </c>
      <c r="H248" t="s">
        <v>7619</v>
      </c>
      <c r="I248" t="s">
        <v>7620</v>
      </c>
    </row>
    <row r="249" spans="1:9" x14ac:dyDescent="0.2">
      <c r="A249" t="s">
        <v>239</v>
      </c>
      <c r="B249" t="s">
        <v>240</v>
      </c>
      <c r="C249" t="s">
        <v>60</v>
      </c>
      <c r="D249" t="s">
        <v>242</v>
      </c>
      <c r="E249" t="str">
        <f>HYPERLINK("/pdf/2024_10.1109_iccr61006.2024.10532886_Feed-forward_ANN_with_Random_Forest_Technique_for_Identifying_Malicious_Internet_of_Things_Network_Intrusion.pdf","open")</f>
        <v>open</v>
      </c>
      <c r="F249" t="s">
        <v>7130</v>
      </c>
      <c r="G249" t="s">
        <v>1584</v>
      </c>
      <c r="I249" t="s">
        <v>7621</v>
      </c>
    </row>
    <row r="250" spans="1:9" x14ac:dyDescent="0.2">
      <c r="A250" t="s">
        <v>244</v>
      </c>
      <c r="B250" t="s">
        <v>245</v>
      </c>
      <c r="C250" t="s">
        <v>100</v>
      </c>
      <c r="D250" t="s">
        <v>247</v>
      </c>
      <c r="E250" t="str">
        <f t="shared" ref="E250:E256" si="19">HYPERLINK("/pdf/2022_10.1049_cmu2.12401_Trust_management_and_data_protection_for_online_social_networks.pdf","open")</f>
        <v>open</v>
      </c>
      <c r="F250" t="s">
        <v>7119</v>
      </c>
      <c r="G250" t="s">
        <v>7622</v>
      </c>
      <c r="H250" t="s">
        <v>7623</v>
      </c>
      <c r="I250" t="s">
        <v>7151</v>
      </c>
    </row>
    <row r="251" spans="1:9" x14ac:dyDescent="0.2">
      <c r="A251" t="s">
        <v>244</v>
      </c>
      <c r="B251" t="s">
        <v>245</v>
      </c>
      <c r="C251" t="s">
        <v>100</v>
      </c>
      <c r="D251" t="s">
        <v>247</v>
      </c>
      <c r="E251" t="str">
        <f t="shared" si="19"/>
        <v>open</v>
      </c>
      <c r="F251" t="s">
        <v>7119</v>
      </c>
      <c r="G251" t="s">
        <v>7624</v>
      </c>
      <c r="H251" t="s">
        <v>7625</v>
      </c>
      <c r="I251" t="s">
        <v>7626</v>
      </c>
    </row>
    <row r="252" spans="1:9" x14ac:dyDescent="0.2">
      <c r="A252" t="s">
        <v>244</v>
      </c>
      <c r="B252" t="s">
        <v>245</v>
      </c>
      <c r="C252" t="s">
        <v>100</v>
      </c>
      <c r="D252" t="s">
        <v>247</v>
      </c>
      <c r="E252" t="str">
        <f t="shared" si="19"/>
        <v>open</v>
      </c>
      <c r="F252" t="s">
        <v>7119</v>
      </c>
      <c r="G252" t="s">
        <v>7627</v>
      </c>
      <c r="H252" t="s">
        <v>7628</v>
      </c>
      <c r="I252" t="s">
        <v>7629</v>
      </c>
    </row>
    <row r="253" spans="1:9" x14ac:dyDescent="0.2">
      <c r="A253" t="s">
        <v>244</v>
      </c>
      <c r="B253" t="s">
        <v>245</v>
      </c>
      <c r="C253" t="s">
        <v>100</v>
      </c>
      <c r="D253" t="s">
        <v>247</v>
      </c>
      <c r="E253" t="str">
        <f t="shared" si="19"/>
        <v>open</v>
      </c>
      <c r="F253" t="s">
        <v>7119</v>
      </c>
      <c r="G253" t="s">
        <v>7630</v>
      </c>
      <c r="H253" t="s">
        <v>7631</v>
      </c>
      <c r="I253" t="s">
        <v>7632</v>
      </c>
    </row>
    <row r="254" spans="1:9" x14ac:dyDescent="0.2">
      <c r="A254" t="s">
        <v>244</v>
      </c>
      <c r="B254" t="s">
        <v>245</v>
      </c>
      <c r="C254" t="s">
        <v>100</v>
      </c>
      <c r="D254" t="s">
        <v>247</v>
      </c>
      <c r="E254" t="str">
        <f t="shared" si="19"/>
        <v>open</v>
      </c>
      <c r="F254" t="s">
        <v>7119</v>
      </c>
      <c r="G254" t="s">
        <v>7633</v>
      </c>
      <c r="H254" t="s">
        <v>148</v>
      </c>
      <c r="I254" t="s">
        <v>7634</v>
      </c>
    </row>
    <row r="255" spans="1:9" x14ac:dyDescent="0.2">
      <c r="A255" t="s">
        <v>244</v>
      </c>
      <c r="B255" t="s">
        <v>245</v>
      </c>
      <c r="C255" t="s">
        <v>100</v>
      </c>
      <c r="D255" t="s">
        <v>247</v>
      </c>
      <c r="E255" t="str">
        <f t="shared" si="19"/>
        <v>open</v>
      </c>
      <c r="F255" t="s">
        <v>7130</v>
      </c>
      <c r="G255" t="s">
        <v>7183</v>
      </c>
      <c r="I255" t="s">
        <v>7635</v>
      </c>
    </row>
    <row r="256" spans="1:9" x14ac:dyDescent="0.2">
      <c r="A256" t="s">
        <v>244</v>
      </c>
      <c r="B256" t="s">
        <v>245</v>
      </c>
      <c r="C256" t="s">
        <v>100</v>
      </c>
      <c r="D256" t="s">
        <v>247</v>
      </c>
      <c r="E256" t="str">
        <f t="shared" si="19"/>
        <v>open</v>
      </c>
      <c r="F256" t="s">
        <v>7130</v>
      </c>
      <c r="G256" t="s">
        <v>7406</v>
      </c>
      <c r="I256" t="s">
        <v>7636</v>
      </c>
    </row>
    <row r="257" spans="1:9" x14ac:dyDescent="0.2">
      <c r="A257" t="s">
        <v>249</v>
      </c>
      <c r="B257" t="s">
        <v>250</v>
      </c>
      <c r="C257" t="s">
        <v>190</v>
      </c>
      <c r="D257" t="s">
        <v>252</v>
      </c>
      <c r="E257" t="str">
        <f>HYPERLINK("/pdf/2017_10.1109_dasc-picom-datacom-cyberscitec.2017.112_Combating_data_leakage_trojans_in_sequential_circuits_through_randomized_encoding.pdf","open")</f>
        <v>open</v>
      </c>
      <c r="F257" t="s">
        <v>7119</v>
      </c>
      <c r="G257" t="s">
        <v>7637</v>
      </c>
      <c r="H257" t="s">
        <v>7638</v>
      </c>
      <c r="I257" t="s">
        <v>7178</v>
      </c>
    </row>
    <row r="258" spans="1:9" x14ac:dyDescent="0.2">
      <c r="A258" t="s">
        <v>249</v>
      </c>
      <c r="B258" t="s">
        <v>250</v>
      </c>
      <c r="C258" t="s">
        <v>190</v>
      </c>
      <c r="D258" t="s">
        <v>252</v>
      </c>
      <c r="E258" t="str">
        <f>HYPERLINK("/pdf/2017_10.1109_dasc-picom-datacom-cyberscitec.2017.112_Combating_data_leakage_trojans_in_sequential_circuits_through_randomized_encoding.pdf","open")</f>
        <v>open</v>
      </c>
      <c r="F258" t="s">
        <v>7119</v>
      </c>
      <c r="G258" t="s">
        <v>7639</v>
      </c>
      <c r="H258" t="s">
        <v>7640</v>
      </c>
      <c r="I258" t="s">
        <v>7641</v>
      </c>
    </row>
    <row r="259" spans="1:9" x14ac:dyDescent="0.2">
      <c r="A259" t="s">
        <v>249</v>
      </c>
      <c r="B259" t="s">
        <v>250</v>
      </c>
      <c r="C259" t="s">
        <v>190</v>
      </c>
      <c r="D259" t="s">
        <v>252</v>
      </c>
      <c r="E259" t="str">
        <f>HYPERLINK("/pdf/2017_10.1109_dasc-picom-datacom-cyberscitec.2017.112_Combating_data_leakage_trojans_in_sequential_circuits_through_randomized_encoding.pdf","open")</f>
        <v>open</v>
      </c>
      <c r="F259" t="s">
        <v>7119</v>
      </c>
      <c r="G259" t="s">
        <v>7642</v>
      </c>
      <c r="H259" t="s">
        <v>7643</v>
      </c>
      <c r="I259" t="s">
        <v>7641</v>
      </c>
    </row>
    <row r="260" spans="1:9" x14ac:dyDescent="0.2">
      <c r="A260" t="s">
        <v>249</v>
      </c>
      <c r="B260" t="s">
        <v>250</v>
      </c>
      <c r="C260" t="s">
        <v>190</v>
      </c>
      <c r="D260" t="s">
        <v>252</v>
      </c>
      <c r="E260" t="str">
        <f>HYPERLINK("/pdf/2017_10.1109_dasc-picom-datacom-cyberscitec.2017.112_Combating_data_leakage_trojans_in_sequential_circuits_through_randomized_encoding.pdf","open")</f>
        <v>open</v>
      </c>
      <c r="F260" t="s">
        <v>7130</v>
      </c>
      <c r="G260" t="s">
        <v>1571</v>
      </c>
      <c r="I260" t="s">
        <v>7178</v>
      </c>
    </row>
    <row r="261" spans="1:9" x14ac:dyDescent="0.2">
      <c r="A261" t="s">
        <v>249</v>
      </c>
      <c r="B261" t="s">
        <v>250</v>
      </c>
      <c r="C261" t="s">
        <v>190</v>
      </c>
      <c r="D261" t="s">
        <v>252</v>
      </c>
      <c r="E261" t="str">
        <f>HYPERLINK("/pdf/2017_10.1109_dasc-picom-datacom-cyberscitec.2017.112_Combating_data_leakage_trojans_in_sequential_circuits_through_randomized_encoding.pdf","open")</f>
        <v>open</v>
      </c>
      <c r="F261" t="s">
        <v>7130</v>
      </c>
      <c r="G261" t="s">
        <v>1592</v>
      </c>
      <c r="I261" t="s">
        <v>7641</v>
      </c>
    </row>
    <row r="262" spans="1:9" x14ac:dyDescent="0.2">
      <c r="A262" t="s">
        <v>254</v>
      </c>
      <c r="B262" t="s">
        <v>255</v>
      </c>
      <c r="C262" t="s">
        <v>36</v>
      </c>
      <c r="D262" t="s">
        <v>257</v>
      </c>
      <c r="E262" t="str">
        <f>HYPERLINK("/pdf/2021_10.1109_ddecs52668.2021.9417061_A_Benchmark_Suite_of_RT-level_Hardware_Trojans_for_Pipelined_Microprocessor_Cores.pdf","open")</f>
        <v>open</v>
      </c>
      <c r="F262" t="s">
        <v>7119</v>
      </c>
      <c r="G262" t="s">
        <v>7644</v>
      </c>
      <c r="H262" t="s">
        <v>7645</v>
      </c>
      <c r="I262" t="s">
        <v>7151</v>
      </c>
    </row>
    <row r="263" spans="1:9" x14ac:dyDescent="0.2">
      <c r="A263" t="s">
        <v>254</v>
      </c>
      <c r="B263" t="s">
        <v>255</v>
      </c>
      <c r="C263" t="s">
        <v>36</v>
      </c>
      <c r="D263" t="s">
        <v>257</v>
      </c>
      <c r="E263" t="str">
        <f>HYPERLINK("/pdf/2021_10.1109_ddecs52668.2021.9417061_A_Benchmark_Suite_of_RT-level_Hardware_Trojans_for_Pipelined_Microprocessor_Cores.pdf","open")</f>
        <v>open</v>
      </c>
      <c r="F263" t="s">
        <v>7119</v>
      </c>
      <c r="G263" t="s">
        <v>7646</v>
      </c>
      <c r="H263" t="s">
        <v>7647</v>
      </c>
      <c r="I263" t="s">
        <v>7225</v>
      </c>
    </row>
    <row r="264" spans="1:9" x14ac:dyDescent="0.2">
      <c r="A264" t="s">
        <v>254</v>
      </c>
      <c r="B264" t="s">
        <v>255</v>
      </c>
      <c r="C264" t="s">
        <v>36</v>
      </c>
      <c r="D264" t="s">
        <v>257</v>
      </c>
      <c r="E264" t="str">
        <f>HYPERLINK("/pdf/2021_10.1109_ddecs52668.2021.9417061_A_Benchmark_Suite_of_RT-level_Hardware_Trojans_for_Pipelined_Microprocessor_Cores.pdf","open")</f>
        <v>open</v>
      </c>
      <c r="F264" t="s">
        <v>7119</v>
      </c>
      <c r="G264" t="s">
        <v>7648</v>
      </c>
      <c r="H264" t="s">
        <v>7649</v>
      </c>
      <c r="I264" t="s">
        <v>7650</v>
      </c>
    </row>
    <row r="265" spans="1:9" x14ac:dyDescent="0.2">
      <c r="A265" t="s">
        <v>254</v>
      </c>
      <c r="B265" t="s">
        <v>255</v>
      </c>
      <c r="C265" t="s">
        <v>36</v>
      </c>
      <c r="D265" t="s">
        <v>257</v>
      </c>
      <c r="E265" t="str">
        <f>HYPERLINK("/pdf/2021_10.1109_ddecs52668.2021.9417061_A_Benchmark_Suite_of_RT-level_Hardware_Trojans_for_Pipelined_Microprocessor_Cores.pdf","open")</f>
        <v>open</v>
      </c>
      <c r="F265" t="s">
        <v>7130</v>
      </c>
      <c r="G265" t="s">
        <v>7651</v>
      </c>
      <c r="I265" t="s">
        <v>7652</v>
      </c>
    </row>
    <row r="266" spans="1:9" x14ac:dyDescent="0.2">
      <c r="A266" t="s">
        <v>254</v>
      </c>
      <c r="B266" t="s">
        <v>255</v>
      </c>
      <c r="C266" t="s">
        <v>36</v>
      </c>
      <c r="D266" t="s">
        <v>257</v>
      </c>
      <c r="E266" t="str">
        <f>HYPERLINK("/pdf/2021_10.1109_ddecs52668.2021.9417061_A_Benchmark_Suite_of_RT-level_Hardware_Trojans_for_Pipelined_Microprocessor_Cores.pdf","open")</f>
        <v>open</v>
      </c>
      <c r="F266" t="s">
        <v>7130</v>
      </c>
      <c r="G266" t="s">
        <v>7183</v>
      </c>
      <c r="I266" t="s">
        <v>7653</v>
      </c>
    </row>
    <row r="267" spans="1:9" x14ac:dyDescent="0.2">
      <c r="A267" t="s">
        <v>259</v>
      </c>
      <c r="B267" t="s">
        <v>75</v>
      </c>
      <c r="C267" t="s">
        <v>25</v>
      </c>
      <c r="D267" t="s">
        <v>74</v>
      </c>
      <c r="E267" t="str">
        <f>HYPERLINK("/pdf/2024_10_1109_access_2024_3363640_how_can_credit_supervision_mechanism_improve_security_crowdsourcing_ecosystem_governance.pdf","open")</f>
        <v>open</v>
      </c>
      <c r="F267" t="s">
        <v>7119</v>
      </c>
      <c r="G267" t="s">
        <v>7603</v>
      </c>
      <c r="H267" t="s">
        <v>7654</v>
      </c>
      <c r="I267" t="s">
        <v>7655</v>
      </c>
    </row>
    <row r="268" spans="1:9" x14ac:dyDescent="0.2">
      <c r="A268" t="s">
        <v>259</v>
      </c>
      <c r="B268" t="s">
        <v>75</v>
      </c>
      <c r="C268" t="s">
        <v>25</v>
      </c>
      <c r="D268" t="s">
        <v>74</v>
      </c>
      <c r="E268" t="str">
        <f>HYPERLINK("/pdf/2024_10_1109_access_2024_3363640_how_can_credit_supervision_mechanism_improve_security_crowdsourcing_ecosystem_governance.pdf","open")</f>
        <v>open</v>
      </c>
      <c r="F268" t="s">
        <v>7119</v>
      </c>
      <c r="G268" t="s">
        <v>7656</v>
      </c>
      <c r="H268" t="s">
        <v>7657</v>
      </c>
      <c r="I268" t="s">
        <v>7658</v>
      </c>
    </row>
    <row r="269" spans="1:9" x14ac:dyDescent="0.2">
      <c r="A269" t="s">
        <v>259</v>
      </c>
      <c r="B269" t="s">
        <v>75</v>
      </c>
      <c r="C269" t="s">
        <v>25</v>
      </c>
      <c r="D269" t="s">
        <v>74</v>
      </c>
      <c r="E269" t="str">
        <f>HYPERLINK("/pdf/2024_10_1109_access_2024_3363640_how_can_credit_supervision_mechanism_improve_security_crowdsourcing_ecosystem_governance.pdf","open")</f>
        <v>open</v>
      </c>
      <c r="F269" t="s">
        <v>7119</v>
      </c>
      <c r="G269" t="s">
        <v>7659</v>
      </c>
      <c r="H269" t="s">
        <v>7250</v>
      </c>
      <c r="I269" t="s">
        <v>7178</v>
      </c>
    </row>
    <row r="270" spans="1:9" x14ac:dyDescent="0.2">
      <c r="A270" t="s">
        <v>259</v>
      </c>
      <c r="B270" t="s">
        <v>75</v>
      </c>
      <c r="C270" t="s">
        <v>25</v>
      </c>
      <c r="D270" t="s">
        <v>74</v>
      </c>
      <c r="E270" t="str">
        <f>HYPERLINK("/pdf/2024_10_1109_access_2024_3363640_how_can_credit_supervision_mechanism_improve_security_crowdsourcing_ecosystem_governance.pdf","open")</f>
        <v>open</v>
      </c>
      <c r="F270" t="s">
        <v>7130</v>
      </c>
      <c r="G270" t="s">
        <v>7215</v>
      </c>
      <c r="I270" t="s">
        <v>7660</v>
      </c>
    </row>
    <row r="271" spans="1:9" x14ac:dyDescent="0.2">
      <c r="A271" t="s">
        <v>259</v>
      </c>
      <c r="B271" t="s">
        <v>75</v>
      </c>
      <c r="C271" t="s">
        <v>25</v>
      </c>
      <c r="D271" t="s">
        <v>74</v>
      </c>
      <c r="E271" t="str">
        <f>HYPERLINK("/pdf/2024_10_1109_access_2024_3363640_how_can_credit_supervision_mechanism_improve_security_crowdsourcing_ecosystem_governance.pdf","open")</f>
        <v>open</v>
      </c>
      <c r="F271" t="s">
        <v>7130</v>
      </c>
      <c r="G271" t="s">
        <v>7661</v>
      </c>
      <c r="I271" t="s">
        <v>7662</v>
      </c>
    </row>
    <row r="272" spans="1:9" x14ac:dyDescent="0.2">
      <c r="A272" t="s">
        <v>261</v>
      </c>
      <c r="B272" t="s">
        <v>262</v>
      </c>
      <c r="C272" t="s">
        <v>36</v>
      </c>
      <c r="D272" t="s">
        <v>264</v>
      </c>
      <c r="E272" t="str">
        <f t="shared" ref="E272:E278" si="20">HYPERLINK("/pdf/2021_10.1109_bigdatasecurityhpscids52275.2021.00038_Toward_Pinpointing_Data_Leakage_from_Advanced_Persistent_Threats.pdf","open")</f>
        <v>open</v>
      </c>
      <c r="F272" t="s">
        <v>7119</v>
      </c>
      <c r="G272" t="s">
        <v>7319</v>
      </c>
      <c r="H272" t="s">
        <v>7663</v>
      </c>
      <c r="I272" t="s">
        <v>7664</v>
      </c>
    </row>
    <row r="273" spans="1:9" x14ac:dyDescent="0.2">
      <c r="A273" t="s">
        <v>261</v>
      </c>
      <c r="B273" t="s">
        <v>262</v>
      </c>
      <c r="C273" t="s">
        <v>36</v>
      </c>
      <c r="D273" t="s">
        <v>264</v>
      </c>
      <c r="E273" t="str">
        <f t="shared" si="20"/>
        <v>open</v>
      </c>
      <c r="F273" t="s">
        <v>7119</v>
      </c>
      <c r="G273" t="s">
        <v>7665</v>
      </c>
      <c r="H273" t="s">
        <v>7666</v>
      </c>
      <c r="I273" t="s">
        <v>7667</v>
      </c>
    </row>
    <row r="274" spans="1:9" x14ac:dyDescent="0.2">
      <c r="A274" t="s">
        <v>261</v>
      </c>
      <c r="B274" t="s">
        <v>262</v>
      </c>
      <c r="C274" t="s">
        <v>36</v>
      </c>
      <c r="D274" t="s">
        <v>264</v>
      </c>
      <c r="E274" t="str">
        <f t="shared" si="20"/>
        <v>open</v>
      </c>
      <c r="F274" t="s">
        <v>7119</v>
      </c>
      <c r="G274" t="s">
        <v>1584</v>
      </c>
      <c r="H274" t="s">
        <v>7668</v>
      </c>
      <c r="I274" t="s">
        <v>7669</v>
      </c>
    </row>
    <row r="275" spans="1:9" x14ac:dyDescent="0.2">
      <c r="A275" t="s">
        <v>261</v>
      </c>
      <c r="B275" t="s">
        <v>262</v>
      </c>
      <c r="C275" t="s">
        <v>36</v>
      </c>
      <c r="D275" t="s">
        <v>264</v>
      </c>
      <c r="E275" t="str">
        <f t="shared" si="20"/>
        <v>open</v>
      </c>
      <c r="F275" t="s">
        <v>7119</v>
      </c>
      <c r="G275" t="s">
        <v>1592</v>
      </c>
      <c r="H275" t="s">
        <v>7670</v>
      </c>
      <c r="I275" t="s">
        <v>7671</v>
      </c>
    </row>
    <row r="276" spans="1:9" x14ac:dyDescent="0.2">
      <c r="A276" t="s">
        <v>261</v>
      </c>
      <c r="B276" t="s">
        <v>262</v>
      </c>
      <c r="C276" t="s">
        <v>36</v>
      </c>
      <c r="D276" t="s">
        <v>264</v>
      </c>
      <c r="E276" t="str">
        <f t="shared" si="20"/>
        <v>open</v>
      </c>
      <c r="F276" t="s">
        <v>7119</v>
      </c>
      <c r="G276" t="s">
        <v>1588</v>
      </c>
      <c r="H276" t="s">
        <v>7672</v>
      </c>
      <c r="I276" t="s">
        <v>7673</v>
      </c>
    </row>
    <row r="277" spans="1:9" x14ac:dyDescent="0.2">
      <c r="A277" t="s">
        <v>261</v>
      </c>
      <c r="B277" t="s">
        <v>262</v>
      </c>
      <c r="C277" t="s">
        <v>36</v>
      </c>
      <c r="D277" t="s">
        <v>264</v>
      </c>
      <c r="E277" t="str">
        <f t="shared" si="20"/>
        <v>open</v>
      </c>
      <c r="F277" t="s">
        <v>7130</v>
      </c>
      <c r="G277" t="s">
        <v>7215</v>
      </c>
      <c r="I277" t="s">
        <v>7535</v>
      </c>
    </row>
    <row r="278" spans="1:9" x14ac:dyDescent="0.2">
      <c r="A278" t="s">
        <v>261</v>
      </c>
      <c r="B278" t="s">
        <v>262</v>
      </c>
      <c r="C278" t="s">
        <v>36</v>
      </c>
      <c r="D278" t="s">
        <v>264</v>
      </c>
      <c r="E278" t="str">
        <f t="shared" si="20"/>
        <v>open</v>
      </c>
      <c r="F278" t="s">
        <v>7130</v>
      </c>
      <c r="G278" t="s">
        <v>7200</v>
      </c>
      <c r="I278" t="s">
        <v>7674</v>
      </c>
    </row>
    <row r="279" spans="1:9" x14ac:dyDescent="0.2">
      <c r="A279" t="s">
        <v>266</v>
      </c>
      <c r="B279" t="s">
        <v>267</v>
      </c>
      <c r="C279" t="s">
        <v>268</v>
      </c>
      <c r="D279" t="s">
        <v>148</v>
      </c>
      <c r="E279" t="str">
        <f t="shared" ref="E279:E284" si="21">HYPERLINK("/pdf/2010_10.1109_cnsm.2010.5691292_User_identification_in_encrypted_network_communications.pdf","open")</f>
        <v>open</v>
      </c>
      <c r="F279" t="s">
        <v>7119</v>
      </c>
      <c r="G279" t="s">
        <v>7675</v>
      </c>
      <c r="H279" t="s">
        <v>7676</v>
      </c>
      <c r="I279" t="s">
        <v>7151</v>
      </c>
    </row>
    <row r="280" spans="1:9" x14ac:dyDescent="0.2">
      <c r="A280" t="s">
        <v>266</v>
      </c>
      <c r="B280" t="s">
        <v>267</v>
      </c>
      <c r="C280" t="s">
        <v>268</v>
      </c>
      <c r="D280" t="s">
        <v>148</v>
      </c>
      <c r="E280" t="str">
        <f t="shared" si="21"/>
        <v>open</v>
      </c>
      <c r="F280" t="s">
        <v>7119</v>
      </c>
      <c r="G280" t="s">
        <v>7677</v>
      </c>
      <c r="H280" t="s">
        <v>7678</v>
      </c>
      <c r="I280" t="s">
        <v>7151</v>
      </c>
    </row>
    <row r="281" spans="1:9" x14ac:dyDescent="0.2">
      <c r="A281" t="s">
        <v>266</v>
      </c>
      <c r="B281" t="s">
        <v>267</v>
      </c>
      <c r="C281" t="s">
        <v>268</v>
      </c>
      <c r="D281" t="s">
        <v>148</v>
      </c>
      <c r="E281" t="str">
        <f t="shared" si="21"/>
        <v>open</v>
      </c>
      <c r="F281" t="s">
        <v>7119</v>
      </c>
      <c r="G281" t="s">
        <v>7651</v>
      </c>
      <c r="H281" t="s">
        <v>7679</v>
      </c>
      <c r="I281" t="s">
        <v>7416</v>
      </c>
    </row>
    <row r="282" spans="1:9" x14ac:dyDescent="0.2">
      <c r="A282" t="s">
        <v>266</v>
      </c>
      <c r="B282" t="s">
        <v>267</v>
      </c>
      <c r="C282" t="s">
        <v>268</v>
      </c>
      <c r="D282" t="s">
        <v>148</v>
      </c>
      <c r="E282" t="str">
        <f t="shared" si="21"/>
        <v>open</v>
      </c>
      <c r="F282" t="s">
        <v>7119</v>
      </c>
      <c r="G282" t="s">
        <v>7680</v>
      </c>
      <c r="H282" t="s">
        <v>7681</v>
      </c>
      <c r="I282" t="s">
        <v>7154</v>
      </c>
    </row>
    <row r="283" spans="1:9" x14ac:dyDescent="0.2">
      <c r="A283" t="s">
        <v>266</v>
      </c>
      <c r="B283" t="s">
        <v>267</v>
      </c>
      <c r="C283" t="s">
        <v>268</v>
      </c>
      <c r="D283" t="s">
        <v>148</v>
      </c>
      <c r="E283" t="str">
        <f t="shared" si="21"/>
        <v>open</v>
      </c>
      <c r="F283" t="s">
        <v>7130</v>
      </c>
      <c r="G283" t="s">
        <v>7682</v>
      </c>
      <c r="I283" t="s">
        <v>7683</v>
      </c>
    </row>
    <row r="284" spans="1:9" x14ac:dyDescent="0.2">
      <c r="A284" t="s">
        <v>266</v>
      </c>
      <c r="B284" t="s">
        <v>267</v>
      </c>
      <c r="C284" t="s">
        <v>268</v>
      </c>
      <c r="D284" t="s">
        <v>148</v>
      </c>
      <c r="E284" t="str">
        <f t="shared" si="21"/>
        <v>open</v>
      </c>
      <c r="F284" t="s">
        <v>7130</v>
      </c>
      <c r="G284" t="s">
        <v>7215</v>
      </c>
      <c r="I284" t="s">
        <v>7684</v>
      </c>
    </row>
    <row r="285" spans="1:9" x14ac:dyDescent="0.2">
      <c r="A285" t="s">
        <v>271</v>
      </c>
      <c r="B285" t="s">
        <v>272</v>
      </c>
      <c r="C285" t="s">
        <v>60</v>
      </c>
      <c r="D285" t="s">
        <v>274</v>
      </c>
      <c r="E285" t="str">
        <f>HYPERLINK("/pdf/2024_10_4108_eetsis_5028_determining_intrusion_attacks_against_online_applications_using_cloud_based_data_security.pdf","open")</f>
        <v>open</v>
      </c>
      <c r="F285" t="s">
        <v>7119</v>
      </c>
      <c r="G285" t="s">
        <v>7685</v>
      </c>
      <c r="H285" t="s">
        <v>7686</v>
      </c>
      <c r="I285" t="s">
        <v>7151</v>
      </c>
    </row>
    <row r="286" spans="1:9" x14ac:dyDescent="0.2">
      <c r="A286" t="s">
        <v>271</v>
      </c>
      <c r="B286" t="s">
        <v>272</v>
      </c>
      <c r="C286" t="s">
        <v>60</v>
      </c>
      <c r="D286" t="s">
        <v>274</v>
      </c>
      <c r="E286" t="str">
        <f>HYPERLINK("/pdf/2024_10_4108_eetsis_5028_determining_intrusion_attacks_against_online_applications_using_cloud_based_data_security.pdf","open")</f>
        <v>open</v>
      </c>
      <c r="F286" t="s">
        <v>7119</v>
      </c>
      <c r="G286" t="s">
        <v>7687</v>
      </c>
      <c r="H286" t="s">
        <v>7688</v>
      </c>
      <c r="I286" t="s">
        <v>7689</v>
      </c>
    </row>
    <row r="287" spans="1:9" x14ac:dyDescent="0.2">
      <c r="A287" t="s">
        <v>271</v>
      </c>
      <c r="B287" t="s">
        <v>272</v>
      </c>
      <c r="C287" t="s">
        <v>60</v>
      </c>
      <c r="D287" t="s">
        <v>274</v>
      </c>
      <c r="E287" t="str">
        <f>HYPERLINK("/pdf/2024_10_4108_eetsis_5028_determining_intrusion_attacks_against_online_applications_using_cloud_based_data_security.pdf","open")</f>
        <v>open</v>
      </c>
      <c r="F287" t="s">
        <v>7119</v>
      </c>
      <c r="G287" t="s">
        <v>7690</v>
      </c>
      <c r="H287" t="s">
        <v>7691</v>
      </c>
      <c r="I287" t="s">
        <v>7692</v>
      </c>
    </row>
    <row r="288" spans="1:9" x14ac:dyDescent="0.2">
      <c r="A288" t="s">
        <v>271</v>
      </c>
      <c r="B288" t="s">
        <v>272</v>
      </c>
      <c r="C288" t="s">
        <v>60</v>
      </c>
      <c r="D288" t="s">
        <v>274</v>
      </c>
      <c r="E288" t="str">
        <f>HYPERLINK("/pdf/2024_10_4108_eetsis_5028_determining_intrusion_attacks_against_online_applications_using_cloud_based_data_security.pdf","open")</f>
        <v>open</v>
      </c>
      <c r="F288" t="s">
        <v>7130</v>
      </c>
      <c r="G288" t="s">
        <v>7693</v>
      </c>
      <c r="I288" t="s">
        <v>7694</v>
      </c>
    </row>
    <row r="289" spans="1:9" x14ac:dyDescent="0.2">
      <c r="A289" t="s">
        <v>271</v>
      </c>
      <c r="B289" t="s">
        <v>272</v>
      </c>
      <c r="C289" t="s">
        <v>60</v>
      </c>
      <c r="D289" t="s">
        <v>274</v>
      </c>
      <c r="E289" t="str">
        <f>HYPERLINK("/pdf/2024_10_4108_eetsis_5028_determining_intrusion_attacks_against_online_applications_using_cloud_based_data_security.pdf","open")</f>
        <v>open</v>
      </c>
      <c r="F289" t="s">
        <v>7130</v>
      </c>
      <c r="G289" t="s">
        <v>7215</v>
      </c>
      <c r="I289" t="s">
        <v>7695</v>
      </c>
    </row>
    <row r="290" spans="1:9" x14ac:dyDescent="0.2">
      <c r="A290" t="s">
        <v>276</v>
      </c>
      <c r="B290" t="s">
        <v>277</v>
      </c>
      <c r="C290" t="s">
        <v>190</v>
      </c>
      <c r="D290" t="s">
        <v>279</v>
      </c>
      <c r="E290" t="str">
        <f>HYPERLINK("/pdf/2017_10_1109_netsoft_2017_8004195_automated_verification_of_security_chains_in_software_defined_networks_with_synaptic.pdf","open")</f>
        <v>open</v>
      </c>
      <c r="F290" t="s">
        <v>7119</v>
      </c>
      <c r="G290" t="s">
        <v>7696</v>
      </c>
      <c r="H290" t="s">
        <v>7697</v>
      </c>
      <c r="I290" t="s">
        <v>7172</v>
      </c>
    </row>
    <row r="291" spans="1:9" x14ac:dyDescent="0.2">
      <c r="A291" t="s">
        <v>276</v>
      </c>
      <c r="B291" t="s">
        <v>277</v>
      </c>
      <c r="C291" t="s">
        <v>190</v>
      </c>
      <c r="D291" t="s">
        <v>279</v>
      </c>
      <c r="E291" t="str">
        <f>HYPERLINK("/pdf/2017_10_1109_netsoft_2017_8004195_automated_verification_of_security_chains_in_software_defined_networks_with_synaptic.pdf","open")</f>
        <v>open</v>
      </c>
      <c r="F291" t="s">
        <v>7119</v>
      </c>
      <c r="G291" t="s">
        <v>7698</v>
      </c>
      <c r="H291" t="s">
        <v>7699</v>
      </c>
      <c r="I291" t="s">
        <v>7700</v>
      </c>
    </row>
    <row r="292" spans="1:9" x14ac:dyDescent="0.2">
      <c r="A292" t="s">
        <v>276</v>
      </c>
      <c r="B292" t="s">
        <v>277</v>
      </c>
      <c r="C292" t="s">
        <v>190</v>
      </c>
      <c r="D292" t="s">
        <v>279</v>
      </c>
      <c r="E292" t="str">
        <f>HYPERLINK("/pdf/2017_10_1109_netsoft_2017_8004195_automated_verification_of_security_chains_in_software_defined_networks_with_synaptic.pdf","open")</f>
        <v>open</v>
      </c>
      <c r="F292" t="s">
        <v>7119</v>
      </c>
      <c r="G292" t="s">
        <v>7701</v>
      </c>
      <c r="H292" t="s">
        <v>7702</v>
      </c>
      <c r="I292" t="s">
        <v>7703</v>
      </c>
    </row>
    <row r="293" spans="1:9" x14ac:dyDescent="0.2">
      <c r="A293" t="s">
        <v>276</v>
      </c>
      <c r="B293" t="s">
        <v>277</v>
      </c>
      <c r="C293" t="s">
        <v>190</v>
      </c>
      <c r="D293" t="s">
        <v>279</v>
      </c>
      <c r="E293" t="str">
        <f>HYPERLINK("/pdf/2017_10_1109_netsoft_2017_8004195_automated_verification_of_security_chains_in_software_defined_networks_with_synaptic.pdf","open")</f>
        <v>open</v>
      </c>
      <c r="F293" t="s">
        <v>7130</v>
      </c>
      <c r="G293" t="s">
        <v>1571</v>
      </c>
      <c r="I293" t="s">
        <v>7158</v>
      </c>
    </row>
    <row r="294" spans="1:9" x14ac:dyDescent="0.2">
      <c r="A294" t="s">
        <v>276</v>
      </c>
      <c r="B294" t="s">
        <v>277</v>
      </c>
      <c r="C294" t="s">
        <v>190</v>
      </c>
      <c r="D294" t="s">
        <v>279</v>
      </c>
      <c r="E294" t="str">
        <f>HYPERLINK("/pdf/2017_10_1109_netsoft_2017_8004195_automated_verification_of_security_chains_in_software_defined_networks_with_synaptic.pdf","open")</f>
        <v>open</v>
      </c>
      <c r="F294" t="s">
        <v>7130</v>
      </c>
      <c r="G294" t="s">
        <v>7159</v>
      </c>
      <c r="I294" t="s">
        <v>7704</v>
      </c>
    </row>
    <row r="295" spans="1:9" x14ac:dyDescent="0.2">
      <c r="A295" t="s">
        <v>281</v>
      </c>
      <c r="B295" t="s">
        <v>282</v>
      </c>
      <c r="C295" t="s">
        <v>36</v>
      </c>
      <c r="D295" t="s">
        <v>284</v>
      </c>
      <c r="E295" t="str">
        <f>HYPERLINK("/pdf/2021_10.1109_vts50974.2021.9441032_Special_session__CAD_for_hardware_security_-_Automation_is_key_to_adoption_of_solutions.pdf","open")</f>
        <v>open</v>
      </c>
      <c r="F295" t="s">
        <v>7119</v>
      </c>
      <c r="G295" t="s">
        <v>7705</v>
      </c>
      <c r="H295" t="s">
        <v>7706</v>
      </c>
      <c r="I295" t="s">
        <v>7178</v>
      </c>
    </row>
    <row r="296" spans="1:9" x14ac:dyDescent="0.2">
      <c r="A296" t="s">
        <v>281</v>
      </c>
      <c r="B296" t="s">
        <v>282</v>
      </c>
      <c r="C296" t="s">
        <v>36</v>
      </c>
      <c r="D296" t="s">
        <v>284</v>
      </c>
      <c r="E296" t="str">
        <f>HYPERLINK("/pdf/2021_10.1109_vts50974.2021.9441032_Special_session__CAD_for_hardware_security_-_Automation_is_key_to_adoption_of_solutions.pdf","open")</f>
        <v>open</v>
      </c>
      <c r="F296" t="s">
        <v>7119</v>
      </c>
      <c r="G296" t="s">
        <v>7707</v>
      </c>
      <c r="H296" t="s">
        <v>7708</v>
      </c>
      <c r="I296" t="s">
        <v>7709</v>
      </c>
    </row>
    <row r="297" spans="1:9" x14ac:dyDescent="0.2">
      <c r="A297" t="s">
        <v>281</v>
      </c>
      <c r="B297" t="s">
        <v>282</v>
      </c>
      <c r="C297" t="s">
        <v>36</v>
      </c>
      <c r="D297" t="s">
        <v>284</v>
      </c>
      <c r="E297" t="str">
        <f>HYPERLINK("/pdf/2021_10.1109_vts50974.2021.9441032_Special_session__CAD_for_hardware_security_-_Automation_is_key_to_adoption_of_solutions.pdf","open")</f>
        <v>open</v>
      </c>
      <c r="F297" t="s">
        <v>7119</v>
      </c>
      <c r="G297" t="s">
        <v>7710</v>
      </c>
      <c r="H297" t="s">
        <v>7711</v>
      </c>
      <c r="I297" t="s">
        <v>7712</v>
      </c>
    </row>
    <row r="298" spans="1:9" x14ac:dyDescent="0.2">
      <c r="A298" t="s">
        <v>281</v>
      </c>
      <c r="B298" t="s">
        <v>282</v>
      </c>
      <c r="C298" t="s">
        <v>36</v>
      </c>
      <c r="D298" t="s">
        <v>284</v>
      </c>
      <c r="E298" t="str">
        <f>HYPERLINK("/pdf/2021_10.1109_vts50974.2021.9441032_Special_session__CAD_for_hardware_security_-_Automation_is_key_to_adoption_of_solutions.pdf","open")</f>
        <v>open</v>
      </c>
      <c r="F298" t="s">
        <v>7130</v>
      </c>
      <c r="G298" t="s">
        <v>1571</v>
      </c>
      <c r="I298" t="s">
        <v>7713</v>
      </c>
    </row>
    <row r="299" spans="1:9" x14ac:dyDescent="0.2">
      <c r="A299" t="s">
        <v>281</v>
      </c>
      <c r="B299" t="s">
        <v>282</v>
      </c>
      <c r="C299" t="s">
        <v>36</v>
      </c>
      <c r="D299" t="s">
        <v>284</v>
      </c>
      <c r="E299" t="str">
        <f>HYPERLINK("/pdf/2021_10.1109_vts50974.2021.9441032_Special_session__CAD_for_hardware_security_-_Automation_is_key_to_adoption_of_solutions.pdf","open")</f>
        <v>open</v>
      </c>
      <c r="F299" t="s">
        <v>7130</v>
      </c>
      <c r="G299" t="s">
        <v>7203</v>
      </c>
      <c r="I299" t="s">
        <v>7714</v>
      </c>
    </row>
    <row r="300" spans="1:9" x14ac:dyDescent="0.2">
      <c r="A300" t="s">
        <v>286</v>
      </c>
      <c r="B300" t="s">
        <v>287</v>
      </c>
      <c r="C300" t="s">
        <v>60</v>
      </c>
      <c r="D300" t="s">
        <v>289</v>
      </c>
      <c r="E300" t="str">
        <f t="shared" ref="E300:E305" si="22">HYPERLINK("/pdf/2024_10.1109_tifs.2024.3420233_SGD3QN__Joint_Stochastic_Games_and_Dueling_Double_Deep_Q-Networks_for_Defending_Malware_Propagation_in_Edge_In.pdf","open")</f>
        <v>open</v>
      </c>
      <c r="F300" t="s">
        <v>7119</v>
      </c>
      <c r="G300" t="s">
        <v>7715</v>
      </c>
      <c r="H300" t="s">
        <v>7716</v>
      </c>
      <c r="I300" t="s">
        <v>7717</v>
      </c>
    </row>
    <row r="301" spans="1:9" x14ac:dyDescent="0.2">
      <c r="A301" t="s">
        <v>286</v>
      </c>
      <c r="B301" t="s">
        <v>287</v>
      </c>
      <c r="C301" t="s">
        <v>60</v>
      </c>
      <c r="D301" t="s">
        <v>289</v>
      </c>
      <c r="E301" t="str">
        <f t="shared" si="22"/>
        <v>open</v>
      </c>
      <c r="F301" t="s">
        <v>7119</v>
      </c>
      <c r="G301" t="s">
        <v>7718</v>
      </c>
      <c r="H301" t="s">
        <v>7719</v>
      </c>
      <c r="I301" t="s">
        <v>7720</v>
      </c>
    </row>
    <row r="302" spans="1:9" x14ac:dyDescent="0.2">
      <c r="A302" t="s">
        <v>286</v>
      </c>
      <c r="B302" t="s">
        <v>287</v>
      </c>
      <c r="C302" t="s">
        <v>60</v>
      </c>
      <c r="D302" t="s">
        <v>289</v>
      </c>
      <c r="E302" t="str">
        <f t="shared" si="22"/>
        <v>open</v>
      </c>
      <c r="F302" t="s">
        <v>7119</v>
      </c>
      <c r="G302" t="s">
        <v>7721</v>
      </c>
      <c r="H302" t="s">
        <v>7722</v>
      </c>
      <c r="I302" t="s">
        <v>7717</v>
      </c>
    </row>
    <row r="303" spans="1:9" x14ac:dyDescent="0.2">
      <c r="A303" t="s">
        <v>286</v>
      </c>
      <c r="B303" t="s">
        <v>287</v>
      </c>
      <c r="C303" t="s">
        <v>60</v>
      </c>
      <c r="D303" t="s">
        <v>289</v>
      </c>
      <c r="E303" t="str">
        <f t="shared" si="22"/>
        <v>open</v>
      </c>
      <c r="F303" t="s">
        <v>7119</v>
      </c>
      <c r="G303" t="s">
        <v>7723</v>
      </c>
      <c r="H303" t="s">
        <v>7724</v>
      </c>
      <c r="I303" t="s">
        <v>7725</v>
      </c>
    </row>
    <row r="304" spans="1:9" x14ac:dyDescent="0.2">
      <c r="A304" t="s">
        <v>286</v>
      </c>
      <c r="B304" t="s">
        <v>287</v>
      </c>
      <c r="C304" t="s">
        <v>60</v>
      </c>
      <c r="D304" t="s">
        <v>289</v>
      </c>
      <c r="E304" t="str">
        <f t="shared" si="22"/>
        <v>open</v>
      </c>
      <c r="F304" t="s">
        <v>7130</v>
      </c>
      <c r="G304" t="s">
        <v>1571</v>
      </c>
      <c r="I304" t="s">
        <v>7158</v>
      </c>
    </row>
    <row r="305" spans="1:9" x14ac:dyDescent="0.2">
      <c r="A305" t="s">
        <v>286</v>
      </c>
      <c r="B305" t="s">
        <v>287</v>
      </c>
      <c r="C305" t="s">
        <v>60</v>
      </c>
      <c r="D305" t="s">
        <v>289</v>
      </c>
      <c r="E305" t="str">
        <f t="shared" si="22"/>
        <v>open</v>
      </c>
      <c r="F305" t="s">
        <v>7130</v>
      </c>
      <c r="G305" t="s">
        <v>1589</v>
      </c>
      <c r="I305" t="s">
        <v>7726</v>
      </c>
    </row>
    <row r="306" spans="1:9" x14ac:dyDescent="0.2">
      <c r="A306" t="s">
        <v>291</v>
      </c>
      <c r="B306" t="s">
        <v>292</v>
      </c>
      <c r="C306" t="s">
        <v>60</v>
      </c>
      <c r="D306" t="s">
        <v>294</v>
      </c>
      <c r="E306" t="str">
        <f>HYPERLINK("/pdf/2024_10.1007_s10115-024-02184-6_An_online_ensemble_classification_algorithm_for_multi-class_imbalanced_data_stream.pdf","open")</f>
        <v>open</v>
      </c>
      <c r="F306" t="s">
        <v>7119</v>
      </c>
      <c r="G306" t="s">
        <v>7727</v>
      </c>
      <c r="H306" t="s">
        <v>7728</v>
      </c>
      <c r="I306" t="s">
        <v>7729</v>
      </c>
    </row>
    <row r="307" spans="1:9" x14ac:dyDescent="0.2">
      <c r="A307" t="s">
        <v>291</v>
      </c>
      <c r="B307" t="s">
        <v>292</v>
      </c>
      <c r="C307" t="s">
        <v>60</v>
      </c>
      <c r="D307" t="s">
        <v>294</v>
      </c>
      <c r="E307" t="str">
        <f>HYPERLINK("/pdf/2024_10.1007_s10115-024-02184-6_An_online_ensemble_classification_algorithm_for_multi-class_imbalanced_data_stream.pdf","open")</f>
        <v>open</v>
      </c>
      <c r="F307" t="s">
        <v>7119</v>
      </c>
      <c r="G307" t="s">
        <v>7730</v>
      </c>
      <c r="H307" t="s">
        <v>7731</v>
      </c>
      <c r="I307" t="s">
        <v>7732</v>
      </c>
    </row>
    <row r="308" spans="1:9" x14ac:dyDescent="0.2">
      <c r="A308" t="s">
        <v>291</v>
      </c>
      <c r="B308" t="s">
        <v>292</v>
      </c>
      <c r="C308" t="s">
        <v>60</v>
      </c>
      <c r="D308" t="s">
        <v>294</v>
      </c>
      <c r="E308" t="str">
        <f>HYPERLINK("/pdf/2024_10.1007_s10115-024-02184-6_An_online_ensemble_classification_algorithm_for_multi-class_imbalanced_data_stream.pdf","open")</f>
        <v>open</v>
      </c>
      <c r="F308" t="s">
        <v>7119</v>
      </c>
      <c r="G308" t="s">
        <v>7733</v>
      </c>
      <c r="H308" t="s">
        <v>7734</v>
      </c>
      <c r="I308" t="s">
        <v>7735</v>
      </c>
    </row>
    <row r="309" spans="1:9" x14ac:dyDescent="0.2">
      <c r="A309" t="s">
        <v>291</v>
      </c>
      <c r="B309" t="s">
        <v>292</v>
      </c>
      <c r="C309" t="s">
        <v>60</v>
      </c>
      <c r="D309" t="s">
        <v>294</v>
      </c>
      <c r="E309" t="str">
        <f>HYPERLINK("/pdf/2024_10.1007_s10115-024-02184-6_An_online_ensemble_classification_algorithm_for_multi-class_imbalanced_data_stream.pdf","open")</f>
        <v>open</v>
      </c>
      <c r="F309" t="s">
        <v>7130</v>
      </c>
      <c r="G309" t="s">
        <v>1589</v>
      </c>
      <c r="I309" t="s">
        <v>7736</v>
      </c>
    </row>
    <row r="310" spans="1:9" x14ac:dyDescent="0.2">
      <c r="A310" t="s">
        <v>291</v>
      </c>
      <c r="B310" t="s">
        <v>292</v>
      </c>
      <c r="C310" t="s">
        <v>60</v>
      </c>
      <c r="D310" t="s">
        <v>294</v>
      </c>
      <c r="E310" t="str">
        <f>HYPERLINK("/pdf/2024_10.1007_s10115-024-02184-6_An_online_ensemble_classification_algorithm_for_multi-class_imbalanced_data_stream.pdf","open")</f>
        <v>open</v>
      </c>
      <c r="F310" t="s">
        <v>7130</v>
      </c>
      <c r="G310" t="s">
        <v>7183</v>
      </c>
      <c r="I310" t="s">
        <v>7737</v>
      </c>
    </row>
    <row r="311" spans="1:9" x14ac:dyDescent="0.2">
      <c r="A311" t="s">
        <v>296</v>
      </c>
      <c r="B311" t="s">
        <v>297</v>
      </c>
      <c r="C311" t="s">
        <v>19</v>
      </c>
      <c r="D311" t="s">
        <v>296</v>
      </c>
      <c r="E311" t="str">
        <f t="shared" ref="E311:E316" si="23">HYPERLINK("/pdf/2025_10.1109_icimia67127.2025.11200972_An_Intelligent_Data_Leakage_Prevention_in_Cloud_Computing_using_Golden_Jackal_Optimization.pdf.pdf","open")</f>
        <v>open</v>
      </c>
      <c r="F311" t="s">
        <v>7119</v>
      </c>
      <c r="G311" t="s">
        <v>7738</v>
      </c>
      <c r="H311" t="s">
        <v>7739</v>
      </c>
      <c r="I311" t="s">
        <v>7154</v>
      </c>
    </row>
    <row r="312" spans="1:9" x14ac:dyDescent="0.2">
      <c r="A312" t="s">
        <v>296</v>
      </c>
      <c r="B312" t="s">
        <v>297</v>
      </c>
      <c r="C312" t="s">
        <v>19</v>
      </c>
      <c r="D312" t="s">
        <v>296</v>
      </c>
      <c r="E312" t="str">
        <f t="shared" si="23"/>
        <v>open</v>
      </c>
      <c r="F312" t="s">
        <v>7119</v>
      </c>
      <c r="G312" t="s">
        <v>7740</v>
      </c>
      <c r="H312" t="s">
        <v>7741</v>
      </c>
      <c r="I312" t="s">
        <v>7297</v>
      </c>
    </row>
    <row r="313" spans="1:9" x14ac:dyDescent="0.2">
      <c r="A313" t="s">
        <v>296</v>
      </c>
      <c r="B313" t="s">
        <v>297</v>
      </c>
      <c r="C313" t="s">
        <v>19</v>
      </c>
      <c r="D313" t="s">
        <v>296</v>
      </c>
      <c r="E313" t="str">
        <f t="shared" si="23"/>
        <v>open</v>
      </c>
      <c r="F313" t="s">
        <v>7119</v>
      </c>
      <c r="G313" t="s">
        <v>7742</v>
      </c>
      <c r="H313" t="s">
        <v>7743</v>
      </c>
      <c r="I313" t="s">
        <v>7427</v>
      </c>
    </row>
    <row r="314" spans="1:9" x14ac:dyDescent="0.2">
      <c r="A314" t="s">
        <v>296</v>
      </c>
      <c r="B314" t="s">
        <v>297</v>
      </c>
      <c r="C314" t="s">
        <v>19</v>
      </c>
      <c r="D314" t="s">
        <v>296</v>
      </c>
      <c r="E314" t="str">
        <f t="shared" si="23"/>
        <v>open</v>
      </c>
      <c r="F314" t="s">
        <v>7119</v>
      </c>
      <c r="G314" t="s">
        <v>7744</v>
      </c>
      <c r="H314" t="s">
        <v>7745</v>
      </c>
      <c r="I314" t="s">
        <v>7746</v>
      </c>
    </row>
    <row r="315" spans="1:9" x14ac:dyDescent="0.2">
      <c r="A315" t="s">
        <v>296</v>
      </c>
      <c r="B315" t="s">
        <v>297</v>
      </c>
      <c r="C315" t="s">
        <v>19</v>
      </c>
      <c r="D315" t="s">
        <v>296</v>
      </c>
      <c r="E315" t="str">
        <f t="shared" si="23"/>
        <v>open</v>
      </c>
      <c r="F315" t="s">
        <v>7130</v>
      </c>
      <c r="G315" t="s">
        <v>1584</v>
      </c>
      <c r="I315" t="s">
        <v>7747</v>
      </c>
    </row>
    <row r="316" spans="1:9" x14ac:dyDescent="0.2">
      <c r="A316" t="s">
        <v>296</v>
      </c>
      <c r="B316" t="s">
        <v>297</v>
      </c>
      <c r="C316" t="s">
        <v>19</v>
      </c>
      <c r="D316" t="s">
        <v>296</v>
      </c>
      <c r="E316" t="str">
        <f t="shared" si="23"/>
        <v>open</v>
      </c>
      <c r="F316" t="s">
        <v>7130</v>
      </c>
      <c r="G316" t="s">
        <v>1597</v>
      </c>
      <c r="I316" t="s">
        <v>7748</v>
      </c>
    </row>
    <row r="317" spans="1:9" x14ac:dyDescent="0.2">
      <c r="A317" t="s">
        <v>300</v>
      </c>
      <c r="B317" t="s">
        <v>301</v>
      </c>
      <c r="C317" t="s">
        <v>60</v>
      </c>
      <c r="D317" t="s">
        <v>303</v>
      </c>
      <c r="E317" t="str">
        <f>HYPERLINK("/pdf/2024_10.1109_host55342.2024.10545402_NoiseHopper__Emission_Hopping_Air-Gap_Covert_Side_Channel_with_Lower_Probability_of_Detection.pdf","open")</f>
        <v>open</v>
      </c>
      <c r="F317" t="s">
        <v>7119</v>
      </c>
      <c r="G317" t="s">
        <v>7749</v>
      </c>
      <c r="H317" t="s">
        <v>7750</v>
      </c>
      <c r="I317" t="s">
        <v>7151</v>
      </c>
    </row>
    <row r="318" spans="1:9" x14ac:dyDescent="0.2">
      <c r="A318" t="s">
        <v>300</v>
      </c>
      <c r="B318" t="s">
        <v>301</v>
      </c>
      <c r="C318" t="s">
        <v>60</v>
      </c>
      <c r="D318" t="s">
        <v>303</v>
      </c>
      <c r="E318" t="str">
        <f>HYPERLINK("/pdf/2024_10.1109_host55342.2024.10545402_NoiseHopper__Emission_Hopping_Air-Gap_Covert_Side_Channel_with_Lower_Probability_of_Detection.pdf","open")</f>
        <v>open</v>
      </c>
      <c r="F318" t="s">
        <v>7119</v>
      </c>
      <c r="G318" t="s">
        <v>7751</v>
      </c>
      <c r="H318" t="s">
        <v>7752</v>
      </c>
      <c r="I318" t="s">
        <v>7151</v>
      </c>
    </row>
    <row r="319" spans="1:9" x14ac:dyDescent="0.2">
      <c r="A319" t="s">
        <v>300</v>
      </c>
      <c r="B319" t="s">
        <v>301</v>
      </c>
      <c r="C319" t="s">
        <v>60</v>
      </c>
      <c r="D319" t="s">
        <v>303</v>
      </c>
      <c r="E319" t="str">
        <f>HYPERLINK("/pdf/2024_10.1109_host55342.2024.10545402_NoiseHopper__Emission_Hopping_Air-Gap_Covert_Side_Channel_with_Lower_Probability_of_Detection.pdf","open")</f>
        <v>open</v>
      </c>
      <c r="F319" t="s">
        <v>7119</v>
      </c>
      <c r="G319" t="s">
        <v>7753</v>
      </c>
      <c r="H319" t="s">
        <v>7754</v>
      </c>
      <c r="I319" t="s">
        <v>7755</v>
      </c>
    </row>
    <row r="320" spans="1:9" x14ac:dyDescent="0.2">
      <c r="A320" t="s">
        <v>300</v>
      </c>
      <c r="B320" t="s">
        <v>301</v>
      </c>
      <c r="C320" t="s">
        <v>60</v>
      </c>
      <c r="D320" t="s">
        <v>303</v>
      </c>
      <c r="E320" t="str">
        <f>HYPERLINK("/pdf/2024_10.1109_host55342.2024.10545402_NoiseHopper__Emission_Hopping_Air-Gap_Covert_Side_Channel_with_Lower_Probability_of_Detection.pdf","open")</f>
        <v>open</v>
      </c>
      <c r="F320" t="s">
        <v>7130</v>
      </c>
      <c r="G320" t="s">
        <v>7183</v>
      </c>
      <c r="I320" t="s">
        <v>7756</v>
      </c>
    </row>
    <row r="321" spans="1:9" x14ac:dyDescent="0.2">
      <c r="A321" t="s">
        <v>300</v>
      </c>
      <c r="B321" t="s">
        <v>301</v>
      </c>
      <c r="C321" t="s">
        <v>60</v>
      </c>
      <c r="D321" t="s">
        <v>303</v>
      </c>
      <c r="E321" t="str">
        <f>HYPERLINK("/pdf/2024_10.1109_host55342.2024.10545402_NoiseHopper__Emission_Hopping_Air-Gap_Covert_Side_Channel_with_Lower_Probability_of_Detection.pdf","open")</f>
        <v>open</v>
      </c>
      <c r="F321" t="s">
        <v>7130</v>
      </c>
      <c r="G321" t="s">
        <v>7295</v>
      </c>
      <c r="I321" t="s">
        <v>7757</v>
      </c>
    </row>
    <row r="322" spans="1:9" x14ac:dyDescent="0.2">
      <c r="A322" t="s">
        <v>305</v>
      </c>
      <c r="B322" t="s">
        <v>306</v>
      </c>
      <c r="C322" t="s">
        <v>100</v>
      </c>
      <c r="D322" t="s">
        <v>148</v>
      </c>
      <c r="E322" t="str">
        <f>HYPERLINK("/pdf/2023_10_1109_mobilsoft59058_2023_00016_sensitive_and_personal_data_what_exactly_are_you_talking_about.pdf","open")</f>
        <v>open</v>
      </c>
      <c r="F322" t="s">
        <v>7119</v>
      </c>
      <c r="G322" t="s">
        <v>7758</v>
      </c>
      <c r="H322" t="s">
        <v>7759</v>
      </c>
      <c r="I322" t="s">
        <v>7151</v>
      </c>
    </row>
    <row r="323" spans="1:9" x14ac:dyDescent="0.2">
      <c r="A323" t="s">
        <v>305</v>
      </c>
      <c r="B323" t="s">
        <v>306</v>
      </c>
      <c r="C323" t="s">
        <v>100</v>
      </c>
      <c r="D323" t="s">
        <v>148</v>
      </c>
      <c r="E323" t="str">
        <f>HYPERLINK("/pdf/2023_10_1109_mobilsoft59058_2023_00016_sensitive_and_personal_data_what_exactly_are_you_talking_about.pdf","open")</f>
        <v>open</v>
      </c>
      <c r="F323" t="s">
        <v>7119</v>
      </c>
      <c r="G323" t="s">
        <v>7760</v>
      </c>
      <c r="H323" t="s">
        <v>7761</v>
      </c>
      <c r="I323" t="s">
        <v>7225</v>
      </c>
    </row>
    <row r="324" spans="1:9" x14ac:dyDescent="0.2">
      <c r="A324" t="s">
        <v>305</v>
      </c>
      <c r="B324" t="s">
        <v>306</v>
      </c>
      <c r="C324" t="s">
        <v>100</v>
      </c>
      <c r="D324" t="s">
        <v>148</v>
      </c>
      <c r="E324" t="str">
        <f>HYPERLINK("/pdf/2023_10_1109_mobilsoft59058_2023_00016_sensitive_and_personal_data_what_exactly_are_you_talking_about.pdf","open")</f>
        <v>open</v>
      </c>
      <c r="F324" t="s">
        <v>7119</v>
      </c>
      <c r="G324" t="s">
        <v>7762</v>
      </c>
      <c r="H324" t="s">
        <v>7763</v>
      </c>
      <c r="I324" t="s">
        <v>7764</v>
      </c>
    </row>
    <row r="325" spans="1:9" x14ac:dyDescent="0.2">
      <c r="A325" t="s">
        <v>305</v>
      </c>
      <c r="B325" t="s">
        <v>306</v>
      </c>
      <c r="C325" t="s">
        <v>100</v>
      </c>
      <c r="D325" t="s">
        <v>148</v>
      </c>
      <c r="E325" t="str">
        <f>HYPERLINK("/pdf/2023_10_1109_mobilsoft59058_2023_00016_sensitive_and_personal_data_what_exactly_are_you_talking_about.pdf","open")</f>
        <v>open</v>
      </c>
      <c r="F325" t="s">
        <v>7130</v>
      </c>
      <c r="G325" t="s">
        <v>1594</v>
      </c>
      <c r="I325" t="s">
        <v>7297</v>
      </c>
    </row>
    <row r="326" spans="1:9" x14ac:dyDescent="0.2">
      <c r="A326" t="s">
        <v>308</v>
      </c>
      <c r="B326" t="s">
        <v>309</v>
      </c>
      <c r="C326" t="s">
        <v>36</v>
      </c>
      <c r="D326" t="s">
        <v>311</v>
      </c>
      <c r="E326" t="str">
        <f>HYPERLINK("/pdf/2022_10_1016_j_neucom_2021_01_144_a_real_time_dynamic_concept_adaptive_learning_algorithm_for_exploitability_prediction.pdf","open")</f>
        <v>open</v>
      </c>
      <c r="F326" t="s">
        <v>7119</v>
      </c>
      <c r="G326" t="s">
        <v>7765</v>
      </c>
      <c r="H326" t="s">
        <v>7766</v>
      </c>
      <c r="I326" t="s">
        <v>7767</v>
      </c>
    </row>
    <row r="327" spans="1:9" x14ac:dyDescent="0.2">
      <c r="A327" t="s">
        <v>308</v>
      </c>
      <c r="B327" t="s">
        <v>309</v>
      </c>
      <c r="C327" t="s">
        <v>36</v>
      </c>
      <c r="D327" t="s">
        <v>311</v>
      </c>
      <c r="E327" t="str">
        <f>HYPERLINK("/pdf/2022_10_1016_j_neucom_2021_01_144_a_real_time_dynamic_concept_adaptive_learning_algorithm_for_exploitability_prediction.pdf","open")</f>
        <v>open</v>
      </c>
      <c r="F327" t="s">
        <v>7119</v>
      </c>
      <c r="G327" t="s">
        <v>7768</v>
      </c>
      <c r="H327" t="s">
        <v>7769</v>
      </c>
      <c r="I327" t="s">
        <v>7767</v>
      </c>
    </row>
    <row r="328" spans="1:9" x14ac:dyDescent="0.2">
      <c r="A328" t="s">
        <v>308</v>
      </c>
      <c r="B328" t="s">
        <v>309</v>
      </c>
      <c r="C328" t="s">
        <v>36</v>
      </c>
      <c r="D328" t="s">
        <v>311</v>
      </c>
      <c r="E328" t="str">
        <f>HYPERLINK("/pdf/2022_10_1016_j_neucom_2021_01_144_a_real_time_dynamic_concept_adaptive_learning_algorithm_for_exploitability_prediction.pdf","open")</f>
        <v>open</v>
      </c>
      <c r="F328" t="s">
        <v>7119</v>
      </c>
      <c r="G328" t="s">
        <v>7770</v>
      </c>
      <c r="H328" t="s">
        <v>7771</v>
      </c>
      <c r="I328" t="s">
        <v>7772</v>
      </c>
    </row>
    <row r="329" spans="1:9" x14ac:dyDescent="0.2">
      <c r="A329" t="s">
        <v>308</v>
      </c>
      <c r="B329" t="s">
        <v>309</v>
      </c>
      <c r="C329" t="s">
        <v>36</v>
      </c>
      <c r="D329" t="s">
        <v>311</v>
      </c>
      <c r="E329" t="str">
        <f>HYPERLINK("/pdf/2022_10_1016_j_neucom_2021_01_144_a_real_time_dynamic_concept_adaptive_learning_algorithm_for_exploitability_prediction.pdf","open")</f>
        <v>open</v>
      </c>
      <c r="F329" t="s">
        <v>7130</v>
      </c>
      <c r="G329" t="s">
        <v>1584</v>
      </c>
      <c r="I329" t="s">
        <v>7773</v>
      </c>
    </row>
    <row r="330" spans="1:9" x14ac:dyDescent="0.2">
      <c r="A330" t="s">
        <v>308</v>
      </c>
      <c r="B330" t="s">
        <v>309</v>
      </c>
      <c r="C330" t="s">
        <v>36</v>
      </c>
      <c r="D330" t="s">
        <v>311</v>
      </c>
      <c r="E330" t="str">
        <f>HYPERLINK("/pdf/2022_10_1016_j_neucom_2021_01_144_a_real_time_dynamic_concept_adaptive_learning_algorithm_for_exploitability_prediction.pdf","open")</f>
        <v>open</v>
      </c>
      <c r="F330" t="s">
        <v>7130</v>
      </c>
      <c r="G330" t="s">
        <v>1580</v>
      </c>
      <c r="I330" t="s">
        <v>7774</v>
      </c>
    </row>
    <row r="331" spans="1:9" x14ac:dyDescent="0.2">
      <c r="A331" t="s">
        <v>313</v>
      </c>
      <c r="B331" t="s">
        <v>314</v>
      </c>
      <c r="C331" t="s">
        <v>36</v>
      </c>
      <c r="D331" t="s">
        <v>316</v>
      </c>
      <c r="E331" t="str">
        <f>HYPERLINK("/pdf/2022_10_1080_0144929x_2021_1953597_the_relationship_between_online_political_participation_and_privacy_protection_evidence_f.pdf","open")</f>
        <v>open</v>
      </c>
      <c r="F331" t="s">
        <v>7119</v>
      </c>
      <c r="G331" t="s">
        <v>7603</v>
      </c>
      <c r="H331" t="s">
        <v>7775</v>
      </c>
      <c r="I331" t="s">
        <v>7776</v>
      </c>
    </row>
    <row r="332" spans="1:9" x14ac:dyDescent="0.2">
      <c r="A332" t="s">
        <v>313</v>
      </c>
      <c r="B332" t="s">
        <v>314</v>
      </c>
      <c r="C332" t="s">
        <v>36</v>
      </c>
      <c r="D332" t="s">
        <v>316</v>
      </c>
      <c r="E332" t="str">
        <f>HYPERLINK("/pdf/2022_10_1080_0144929x_2021_1953597_the_relationship_between_online_political_participation_and_privacy_protection_evidence_f.pdf","open")</f>
        <v>open</v>
      </c>
      <c r="F332" t="s">
        <v>7119</v>
      </c>
      <c r="G332" t="s">
        <v>7777</v>
      </c>
      <c r="H332" t="s">
        <v>7778</v>
      </c>
      <c r="I332" t="s">
        <v>7779</v>
      </c>
    </row>
    <row r="333" spans="1:9" x14ac:dyDescent="0.2">
      <c r="A333" t="s">
        <v>313</v>
      </c>
      <c r="B333" t="s">
        <v>314</v>
      </c>
      <c r="C333" t="s">
        <v>36</v>
      </c>
      <c r="D333" t="s">
        <v>316</v>
      </c>
      <c r="E333" t="str">
        <f>HYPERLINK("/pdf/2022_10_1080_0144929x_2021_1953597_the_relationship_between_online_political_participation_and_privacy_protection_evidence_f.pdf","open")</f>
        <v>open</v>
      </c>
      <c r="F333" t="s">
        <v>7119</v>
      </c>
      <c r="G333" t="s">
        <v>7780</v>
      </c>
      <c r="H333" t="s">
        <v>7781</v>
      </c>
      <c r="I333" t="s">
        <v>7782</v>
      </c>
    </row>
    <row r="334" spans="1:9" x14ac:dyDescent="0.2">
      <c r="A334" t="s">
        <v>313</v>
      </c>
      <c r="B334" t="s">
        <v>314</v>
      </c>
      <c r="C334" t="s">
        <v>36</v>
      </c>
      <c r="D334" t="s">
        <v>316</v>
      </c>
      <c r="E334" t="str">
        <f>HYPERLINK("/pdf/2022_10_1080_0144929x_2021_1953597_the_relationship_between_online_political_participation_and_privacy_protection_evidence_f.pdf","open")</f>
        <v>open</v>
      </c>
      <c r="F334" t="s">
        <v>7130</v>
      </c>
      <c r="G334" t="s">
        <v>7215</v>
      </c>
      <c r="I334" t="s">
        <v>7783</v>
      </c>
    </row>
    <row r="335" spans="1:9" x14ac:dyDescent="0.2">
      <c r="A335" t="s">
        <v>313</v>
      </c>
      <c r="B335" t="s">
        <v>314</v>
      </c>
      <c r="C335" t="s">
        <v>36</v>
      </c>
      <c r="D335" t="s">
        <v>316</v>
      </c>
      <c r="E335" t="str">
        <f>HYPERLINK("/pdf/2022_10_1080_0144929x_2021_1953597_the_relationship_between_online_political_participation_and_privacy_protection_evidence_f.pdf","open")</f>
        <v>open</v>
      </c>
      <c r="F335" t="s">
        <v>7130</v>
      </c>
      <c r="G335" t="s">
        <v>7422</v>
      </c>
      <c r="I335" t="s">
        <v>7784</v>
      </c>
    </row>
    <row r="336" spans="1:9" x14ac:dyDescent="0.2">
      <c r="A336" t="s">
        <v>318</v>
      </c>
      <c r="B336" t="s">
        <v>319</v>
      </c>
      <c r="C336" t="s">
        <v>25</v>
      </c>
      <c r="D336" t="s">
        <v>321</v>
      </c>
      <c r="E336" t="str">
        <f t="shared" ref="E336:E342" si="24">HYPERLINK("/pdf/2023_10_1007_s40747_021_00456_0_deep_learning_framework_for_handling_concept_drift_and_class_imbalanced_complex_decision_m.pdf","open")</f>
        <v>open</v>
      </c>
      <c r="F336" t="s">
        <v>7119</v>
      </c>
      <c r="G336" t="s">
        <v>7785</v>
      </c>
      <c r="H336" t="s">
        <v>7786</v>
      </c>
      <c r="I336" t="s">
        <v>7787</v>
      </c>
    </row>
    <row r="337" spans="1:9" x14ac:dyDescent="0.2">
      <c r="A337" t="s">
        <v>318</v>
      </c>
      <c r="B337" t="s">
        <v>319</v>
      </c>
      <c r="C337" t="s">
        <v>25</v>
      </c>
      <c r="D337" t="s">
        <v>321</v>
      </c>
      <c r="E337" t="str">
        <f t="shared" si="24"/>
        <v>open</v>
      </c>
      <c r="F337" t="s">
        <v>7119</v>
      </c>
      <c r="G337" t="s">
        <v>7319</v>
      </c>
      <c r="H337" t="s">
        <v>7788</v>
      </c>
      <c r="I337" t="s">
        <v>7178</v>
      </c>
    </row>
    <row r="338" spans="1:9" x14ac:dyDescent="0.2">
      <c r="A338" t="s">
        <v>318</v>
      </c>
      <c r="B338" t="s">
        <v>319</v>
      </c>
      <c r="C338" t="s">
        <v>25</v>
      </c>
      <c r="D338" t="s">
        <v>321</v>
      </c>
      <c r="E338" t="str">
        <f t="shared" si="24"/>
        <v>open</v>
      </c>
      <c r="F338" t="s">
        <v>7119</v>
      </c>
      <c r="G338" t="s">
        <v>7380</v>
      </c>
      <c r="H338" t="s">
        <v>7789</v>
      </c>
      <c r="I338" t="s">
        <v>7178</v>
      </c>
    </row>
    <row r="339" spans="1:9" x14ac:dyDescent="0.2">
      <c r="A339" t="s">
        <v>318</v>
      </c>
      <c r="B339" t="s">
        <v>319</v>
      </c>
      <c r="C339" t="s">
        <v>25</v>
      </c>
      <c r="D339" t="s">
        <v>321</v>
      </c>
      <c r="E339" t="str">
        <f t="shared" si="24"/>
        <v>open</v>
      </c>
      <c r="F339" t="s">
        <v>7119</v>
      </c>
      <c r="G339" t="s">
        <v>7790</v>
      </c>
      <c r="H339" t="s">
        <v>7791</v>
      </c>
      <c r="I339" t="s">
        <v>7178</v>
      </c>
    </row>
    <row r="340" spans="1:9" x14ac:dyDescent="0.2">
      <c r="A340" t="s">
        <v>318</v>
      </c>
      <c r="B340" t="s">
        <v>319</v>
      </c>
      <c r="C340" t="s">
        <v>25</v>
      </c>
      <c r="D340" t="s">
        <v>321</v>
      </c>
      <c r="E340" t="str">
        <f t="shared" si="24"/>
        <v>open</v>
      </c>
      <c r="F340" t="s">
        <v>7119</v>
      </c>
      <c r="G340" t="s">
        <v>7330</v>
      </c>
      <c r="H340" t="s">
        <v>7792</v>
      </c>
      <c r="I340" t="s">
        <v>7178</v>
      </c>
    </row>
    <row r="341" spans="1:9" x14ac:dyDescent="0.2">
      <c r="A341" t="s">
        <v>318</v>
      </c>
      <c r="B341" t="s">
        <v>319</v>
      </c>
      <c r="C341" t="s">
        <v>25</v>
      </c>
      <c r="D341" t="s">
        <v>321</v>
      </c>
      <c r="E341" t="str">
        <f t="shared" si="24"/>
        <v>open</v>
      </c>
      <c r="F341" t="s">
        <v>7130</v>
      </c>
      <c r="G341" t="s">
        <v>1584</v>
      </c>
      <c r="I341" t="s">
        <v>7793</v>
      </c>
    </row>
    <row r="342" spans="1:9" x14ac:dyDescent="0.2">
      <c r="A342" t="s">
        <v>318</v>
      </c>
      <c r="B342" t="s">
        <v>319</v>
      </c>
      <c r="C342" t="s">
        <v>25</v>
      </c>
      <c r="D342" t="s">
        <v>321</v>
      </c>
      <c r="E342" t="str">
        <f t="shared" si="24"/>
        <v>open</v>
      </c>
      <c r="F342" t="s">
        <v>7130</v>
      </c>
      <c r="G342" t="s">
        <v>7295</v>
      </c>
      <c r="I342" t="s">
        <v>7794</v>
      </c>
    </row>
    <row r="343" spans="1:9" x14ac:dyDescent="0.2">
      <c r="A343" t="s">
        <v>323</v>
      </c>
      <c r="B343" t="s">
        <v>323</v>
      </c>
      <c r="C343" t="s">
        <v>19</v>
      </c>
      <c r="D343" t="s">
        <v>324</v>
      </c>
      <c r="E343" t="str">
        <f t="shared" ref="E343:E349" si="25">HYPERLINK("/pdf/2025_10.1109_access.2025.3569356_FEXGBIDS__Federated_XGBoost-Based_Intrusion_Detection_System_for_In-Vehicle_Network.pdf","open")</f>
        <v>open</v>
      </c>
      <c r="F343" t="s">
        <v>7119</v>
      </c>
      <c r="G343" t="s">
        <v>7795</v>
      </c>
      <c r="H343" t="s">
        <v>7796</v>
      </c>
      <c r="I343" t="s">
        <v>7178</v>
      </c>
    </row>
    <row r="344" spans="1:9" x14ac:dyDescent="0.2">
      <c r="A344" t="s">
        <v>323</v>
      </c>
      <c r="B344" t="s">
        <v>323</v>
      </c>
      <c r="C344" t="s">
        <v>19</v>
      </c>
      <c r="D344" t="s">
        <v>324</v>
      </c>
      <c r="E344" t="str">
        <f t="shared" si="25"/>
        <v>open</v>
      </c>
      <c r="F344" t="s">
        <v>7119</v>
      </c>
      <c r="G344" t="s">
        <v>7797</v>
      </c>
      <c r="H344" t="s">
        <v>7798</v>
      </c>
      <c r="I344" t="s">
        <v>7799</v>
      </c>
    </row>
    <row r="345" spans="1:9" x14ac:dyDescent="0.2">
      <c r="A345" t="s">
        <v>323</v>
      </c>
      <c r="B345" t="s">
        <v>323</v>
      </c>
      <c r="C345" t="s">
        <v>19</v>
      </c>
      <c r="D345" t="s">
        <v>324</v>
      </c>
      <c r="E345" t="str">
        <f t="shared" si="25"/>
        <v>open</v>
      </c>
      <c r="F345" t="s">
        <v>7119</v>
      </c>
      <c r="G345" t="s">
        <v>7800</v>
      </c>
      <c r="H345" t="s">
        <v>7801</v>
      </c>
      <c r="I345" t="s">
        <v>7799</v>
      </c>
    </row>
    <row r="346" spans="1:9" x14ac:dyDescent="0.2">
      <c r="A346" t="s">
        <v>323</v>
      </c>
      <c r="B346" t="s">
        <v>323</v>
      </c>
      <c r="C346" t="s">
        <v>19</v>
      </c>
      <c r="D346" t="s">
        <v>324</v>
      </c>
      <c r="E346" t="str">
        <f t="shared" si="25"/>
        <v>open</v>
      </c>
      <c r="F346" t="s">
        <v>7119</v>
      </c>
      <c r="G346" t="s">
        <v>7802</v>
      </c>
      <c r="H346" t="s">
        <v>7803</v>
      </c>
      <c r="I346" t="s">
        <v>7804</v>
      </c>
    </row>
    <row r="347" spans="1:9" x14ac:dyDescent="0.2">
      <c r="A347" t="s">
        <v>323</v>
      </c>
      <c r="B347" t="s">
        <v>323</v>
      </c>
      <c r="C347" t="s">
        <v>19</v>
      </c>
      <c r="D347" t="s">
        <v>324</v>
      </c>
      <c r="E347" t="str">
        <f t="shared" si="25"/>
        <v>open</v>
      </c>
      <c r="F347" t="s">
        <v>7119</v>
      </c>
      <c r="G347" t="s">
        <v>7805</v>
      </c>
      <c r="H347" t="s">
        <v>7806</v>
      </c>
      <c r="I347" t="s">
        <v>7178</v>
      </c>
    </row>
    <row r="348" spans="1:9" x14ac:dyDescent="0.2">
      <c r="A348" t="s">
        <v>323</v>
      </c>
      <c r="B348" t="s">
        <v>323</v>
      </c>
      <c r="C348" t="s">
        <v>19</v>
      </c>
      <c r="D348" t="s">
        <v>324</v>
      </c>
      <c r="E348" t="str">
        <f t="shared" si="25"/>
        <v>open</v>
      </c>
      <c r="F348" t="s">
        <v>7130</v>
      </c>
      <c r="G348" t="s">
        <v>1584</v>
      </c>
      <c r="I348" t="s">
        <v>7807</v>
      </c>
    </row>
    <row r="349" spans="1:9" x14ac:dyDescent="0.2">
      <c r="A349" t="s">
        <v>323</v>
      </c>
      <c r="B349" t="s">
        <v>323</v>
      </c>
      <c r="C349" t="s">
        <v>19</v>
      </c>
      <c r="D349" t="s">
        <v>324</v>
      </c>
      <c r="E349" t="str">
        <f t="shared" si="25"/>
        <v>open</v>
      </c>
      <c r="F349" t="s">
        <v>7130</v>
      </c>
      <c r="G349" t="s">
        <v>1575</v>
      </c>
      <c r="I349" t="s">
        <v>7808</v>
      </c>
    </row>
    <row r="350" spans="1:9" x14ac:dyDescent="0.2">
      <c r="A350" t="s">
        <v>326</v>
      </c>
      <c r="B350" t="s">
        <v>327</v>
      </c>
      <c r="C350" t="s">
        <v>190</v>
      </c>
      <c r="D350" t="s">
        <v>329</v>
      </c>
      <c r="E350" t="str">
        <f t="shared" ref="E350:E355" si="26">HYPERLINK("/pdf/2017_10.1109_iccsn.2017.8230197_EddLeak__Enhancing_precision_of_detecting_inter-app_data_leakage_in_Android_applications.pdf","open")</f>
        <v>open</v>
      </c>
      <c r="F350" t="s">
        <v>7119</v>
      </c>
      <c r="G350" t="s">
        <v>7809</v>
      </c>
      <c r="H350" t="s">
        <v>7810</v>
      </c>
      <c r="I350" t="s">
        <v>7151</v>
      </c>
    </row>
    <row r="351" spans="1:9" x14ac:dyDescent="0.2">
      <c r="A351" t="s">
        <v>326</v>
      </c>
      <c r="B351" t="s">
        <v>327</v>
      </c>
      <c r="C351" t="s">
        <v>190</v>
      </c>
      <c r="D351" t="s">
        <v>329</v>
      </c>
      <c r="E351" t="str">
        <f t="shared" si="26"/>
        <v>open</v>
      </c>
      <c r="F351" t="s">
        <v>7119</v>
      </c>
      <c r="G351" t="s">
        <v>7811</v>
      </c>
      <c r="H351" t="s">
        <v>7812</v>
      </c>
      <c r="I351" t="s">
        <v>7813</v>
      </c>
    </row>
    <row r="352" spans="1:9" x14ac:dyDescent="0.2">
      <c r="A352" t="s">
        <v>326</v>
      </c>
      <c r="B352" t="s">
        <v>327</v>
      </c>
      <c r="C352" t="s">
        <v>190</v>
      </c>
      <c r="D352" t="s">
        <v>329</v>
      </c>
      <c r="E352" t="str">
        <f t="shared" si="26"/>
        <v>open</v>
      </c>
      <c r="F352" t="s">
        <v>7119</v>
      </c>
      <c r="G352" t="s">
        <v>7814</v>
      </c>
      <c r="H352" t="s">
        <v>7815</v>
      </c>
      <c r="I352" t="s">
        <v>7816</v>
      </c>
    </row>
    <row r="353" spans="1:9" x14ac:dyDescent="0.2">
      <c r="A353" t="s">
        <v>326</v>
      </c>
      <c r="B353" t="s">
        <v>327</v>
      </c>
      <c r="C353" t="s">
        <v>190</v>
      </c>
      <c r="D353" t="s">
        <v>329</v>
      </c>
      <c r="E353" t="str">
        <f t="shared" si="26"/>
        <v>open</v>
      </c>
      <c r="F353" t="s">
        <v>7119</v>
      </c>
      <c r="G353" t="s">
        <v>7817</v>
      </c>
      <c r="H353" t="s">
        <v>7818</v>
      </c>
      <c r="I353" t="s">
        <v>7816</v>
      </c>
    </row>
    <row r="354" spans="1:9" x14ac:dyDescent="0.2">
      <c r="A354" t="s">
        <v>326</v>
      </c>
      <c r="B354" t="s">
        <v>327</v>
      </c>
      <c r="C354" t="s">
        <v>190</v>
      </c>
      <c r="D354" t="s">
        <v>329</v>
      </c>
      <c r="E354" t="str">
        <f t="shared" si="26"/>
        <v>open</v>
      </c>
      <c r="F354" t="s">
        <v>7130</v>
      </c>
      <c r="G354" t="s">
        <v>1597</v>
      </c>
      <c r="I354" t="s">
        <v>7819</v>
      </c>
    </row>
    <row r="355" spans="1:9" x14ac:dyDescent="0.2">
      <c r="A355" t="s">
        <v>326</v>
      </c>
      <c r="B355" t="s">
        <v>327</v>
      </c>
      <c r="C355" t="s">
        <v>190</v>
      </c>
      <c r="D355" t="s">
        <v>329</v>
      </c>
      <c r="E355" t="str">
        <f t="shared" si="26"/>
        <v>open</v>
      </c>
      <c r="F355" t="s">
        <v>7130</v>
      </c>
      <c r="G355" t="s">
        <v>7327</v>
      </c>
      <c r="I355" t="s">
        <v>7820</v>
      </c>
    </row>
    <row r="356" spans="1:9" x14ac:dyDescent="0.2">
      <c r="A356" t="s">
        <v>331</v>
      </c>
      <c r="B356" t="s">
        <v>332</v>
      </c>
      <c r="C356" t="s">
        <v>25</v>
      </c>
      <c r="D356" t="s">
        <v>334</v>
      </c>
      <c r="E356" t="str">
        <f>HYPERLINK("/pdf/2023_10.1109_3ict60104.2023.10391475_Enhancing_Mobile_Security__A_Systematic_Review_of_AI_and_Blockchain_Integration_Strategies_for_Effective_Analy.pdf","open")</f>
        <v>open</v>
      </c>
      <c r="F356" t="s">
        <v>7119</v>
      </c>
      <c r="G356" t="s">
        <v>7821</v>
      </c>
      <c r="H356" t="s">
        <v>7822</v>
      </c>
      <c r="I356" t="s">
        <v>7151</v>
      </c>
    </row>
    <row r="357" spans="1:9" x14ac:dyDescent="0.2">
      <c r="A357" t="s">
        <v>331</v>
      </c>
      <c r="B357" t="s">
        <v>332</v>
      </c>
      <c r="C357" t="s">
        <v>25</v>
      </c>
      <c r="D357" t="s">
        <v>334</v>
      </c>
      <c r="E357" t="str">
        <f>HYPERLINK("/pdf/2023_10.1109_3ict60104.2023.10391475_Enhancing_Mobile_Security__A_Systematic_Review_of_AI_and_Blockchain_Integration_Strategies_for_Effective_Analy.pdf","open")</f>
        <v>open</v>
      </c>
      <c r="F357" t="s">
        <v>7119</v>
      </c>
      <c r="G357" t="s">
        <v>7823</v>
      </c>
      <c r="H357" t="s">
        <v>7824</v>
      </c>
      <c r="I357" t="s">
        <v>7825</v>
      </c>
    </row>
    <row r="358" spans="1:9" x14ac:dyDescent="0.2">
      <c r="A358" t="s">
        <v>331</v>
      </c>
      <c r="B358" t="s">
        <v>332</v>
      </c>
      <c r="C358" t="s">
        <v>25</v>
      </c>
      <c r="D358" t="s">
        <v>334</v>
      </c>
      <c r="E358" t="str">
        <f>HYPERLINK("/pdf/2023_10.1109_3ict60104.2023.10391475_Enhancing_Mobile_Security__A_Systematic_Review_of_AI_and_Blockchain_Integration_Strategies_for_Effective_Analy.pdf","open")</f>
        <v>open</v>
      </c>
      <c r="F358" t="s">
        <v>7119</v>
      </c>
      <c r="G358" t="s">
        <v>7826</v>
      </c>
      <c r="H358" t="s">
        <v>7827</v>
      </c>
      <c r="I358" t="s">
        <v>7828</v>
      </c>
    </row>
    <row r="359" spans="1:9" x14ac:dyDescent="0.2">
      <c r="A359" t="s">
        <v>331</v>
      </c>
      <c r="B359" t="s">
        <v>332</v>
      </c>
      <c r="C359" t="s">
        <v>25</v>
      </c>
      <c r="D359" t="s">
        <v>334</v>
      </c>
      <c r="E359" t="str">
        <f>HYPERLINK("/pdf/2023_10.1109_3ict60104.2023.10391475_Enhancing_Mobile_Security__A_Systematic_Review_of_AI_and_Blockchain_Integration_Strategies_for_Effective_Analy.pdf","open")</f>
        <v>open</v>
      </c>
      <c r="F359" t="s">
        <v>7130</v>
      </c>
      <c r="G359" t="s">
        <v>1571</v>
      </c>
      <c r="I359" t="s">
        <v>7178</v>
      </c>
    </row>
    <row r="360" spans="1:9" x14ac:dyDescent="0.2">
      <c r="A360" t="s">
        <v>331</v>
      </c>
      <c r="B360" t="s">
        <v>332</v>
      </c>
      <c r="C360" t="s">
        <v>25</v>
      </c>
      <c r="D360" t="s">
        <v>334</v>
      </c>
      <c r="E360" t="str">
        <f>HYPERLINK("/pdf/2023_10.1109_3ict60104.2023.10391475_Enhancing_Mobile_Security__A_Systematic_Review_of_AI_and_Blockchain_Integration_Strategies_for_Effective_Analy.pdf","open")</f>
        <v>open</v>
      </c>
      <c r="F360" t="s">
        <v>7130</v>
      </c>
      <c r="G360" t="s">
        <v>1601</v>
      </c>
      <c r="I360" t="s">
        <v>7829</v>
      </c>
    </row>
    <row r="361" spans="1:9" x14ac:dyDescent="0.2">
      <c r="A361" t="s">
        <v>336</v>
      </c>
      <c r="B361" t="s">
        <v>337</v>
      </c>
      <c r="C361" t="s">
        <v>19</v>
      </c>
      <c r="D361" t="s">
        <v>339</v>
      </c>
      <c r="E361" t="str">
        <f t="shared" ref="E361:E366" si="27">HYPERLINK("/pdf/2025_10.1007_s13198-025-03013-x_Mobile_network_intelligent_recommendation_based_on_data_mining_and_network_security_application_in_college_stu.pdf","open")</f>
        <v>open</v>
      </c>
      <c r="F361" t="s">
        <v>7119</v>
      </c>
      <c r="G361" t="s">
        <v>7830</v>
      </c>
      <c r="H361" t="s">
        <v>7831</v>
      </c>
      <c r="I361" t="s">
        <v>7178</v>
      </c>
    </row>
    <row r="362" spans="1:9" x14ac:dyDescent="0.2">
      <c r="A362" t="s">
        <v>336</v>
      </c>
      <c r="B362" t="s">
        <v>337</v>
      </c>
      <c r="C362" t="s">
        <v>19</v>
      </c>
      <c r="D362" t="s">
        <v>339</v>
      </c>
      <c r="E362" t="str">
        <f t="shared" si="27"/>
        <v>open</v>
      </c>
      <c r="F362" t="s">
        <v>7119</v>
      </c>
      <c r="G362" t="s">
        <v>7832</v>
      </c>
      <c r="H362" t="s">
        <v>7833</v>
      </c>
      <c r="I362" t="s">
        <v>7178</v>
      </c>
    </row>
    <row r="363" spans="1:9" x14ac:dyDescent="0.2">
      <c r="A363" t="s">
        <v>336</v>
      </c>
      <c r="B363" t="s">
        <v>337</v>
      </c>
      <c r="C363" t="s">
        <v>19</v>
      </c>
      <c r="D363" t="s">
        <v>339</v>
      </c>
      <c r="E363" t="str">
        <f t="shared" si="27"/>
        <v>open</v>
      </c>
      <c r="F363" t="s">
        <v>7119</v>
      </c>
      <c r="G363" t="s">
        <v>7834</v>
      </c>
      <c r="H363" t="s">
        <v>7835</v>
      </c>
      <c r="I363" t="s">
        <v>7836</v>
      </c>
    </row>
    <row r="364" spans="1:9" x14ac:dyDescent="0.2">
      <c r="A364" t="s">
        <v>336</v>
      </c>
      <c r="B364" t="s">
        <v>337</v>
      </c>
      <c r="C364" t="s">
        <v>19</v>
      </c>
      <c r="D364" t="s">
        <v>339</v>
      </c>
      <c r="E364" t="str">
        <f t="shared" si="27"/>
        <v>open</v>
      </c>
      <c r="F364" t="s">
        <v>7119</v>
      </c>
      <c r="G364" t="s">
        <v>7837</v>
      </c>
      <c r="H364" t="s">
        <v>7838</v>
      </c>
      <c r="I364" t="s">
        <v>7836</v>
      </c>
    </row>
    <row r="365" spans="1:9" x14ac:dyDescent="0.2">
      <c r="A365" t="s">
        <v>336</v>
      </c>
      <c r="B365" t="s">
        <v>337</v>
      </c>
      <c r="C365" t="s">
        <v>19</v>
      </c>
      <c r="D365" t="s">
        <v>339</v>
      </c>
      <c r="E365" t="str">
        <f t="shared" si="27"/>
        <v>open</v>
      </c>
      <c r="F365" t="s">
        <v>7130</v>
      </c>
      <c r="G365" t="s">
        <v>1571</v>
      </c>
      <c r="I365" t="s">
        <v>7178</v>
      </c>
    </row>
    <row r="366" spans="1:9" x14ac:dyDescent="0.2">
      <c r="A366" t="s">
        <v>336</v>
      </c>
      <c r="B366" t="s">
        <v>337</v>
      </c>
      <c r="C366" t="s">
        <v>19</v>
      </c>
      <c r="D366" t="s">
        <v>339</v>
      </c>
      <c r="E366" t="str">
        <f t="shared" si="27"/>
        <v>open</v>
      </c>
      <c r="F366" t="s">
        <v>7130</v>
      </c>
      <c r="G366" t="s">
        <v>7203</v>
      </c>
      <c r="I366" t="s">
        <v>7839</v>
      </c>
    </row>
    <row r="367" spans="1:9" x14ac:dyDescent="0.2">
      <c r="A367" t="s">
        <v>341</v>
      </c>
      <c r="B367" t="s">
        <v>342</v>
      </c>
      <c r="C367" t="s">
        <v>12</v>
      </c>
      <c r="D367" t="s">
        <v>344</v>
      </c>
      <c r="E367" t="str">
        <f t="shared" ref="E367:E373" si="28">HYPERLINK("/pdf/2018_10.1109_isvlsi.2018.00105_Security-driven_task_scheduling_for_multiprocessor_system-on-chips_with_performance_constraints.pdf","open")</f>
        <v>open</v>
      </c>
      <c r="F367" t="s">
        <v>7119</v>
      </c>
      <c r="G367" t="s">
        <v>7840</v>
      </c>
      <c r="H367" t="s">
        <v>7841</v>
      </c>
      <c r="I367" t="s">
        <v>7842</v>
      </c>
    </row>
    <row r="368" spans="1:9" x14ac:dyDescent="0.2">
      <c r="A368" t="s">
        <v>341</v>
      </c>
      <c r="B368" t="s">
        <v>342</v>
      </c>
      <c r="C368" t="s">
        <v>12</v>
      </c>
      <c r="D368" t="s">
        <v>344</v>
      </c>
      <c r="E368" t="str">
        <f t="shared" si="28"/>
        <v>open</v>
      </c>
      <c r="F368" t="s">
        <v>7119</v>
      </c>
      <c r="G368" t="s">
        <v>7843</v>
      </c>
      <c r="H368" t="s">
        <v>7844</v>
      </c>
      <c r="I368" t="s">
        <v>7845</v>
      </c>
    </row>
    <row r="369" spans="1:9" x14ac:dyDescent="0.2">
      <c r="A369" t="s">
        <v>341</v>
      </c>
      <c r="B369" t="s">
        <v>342</v>
      </c>
      <c r="C369" t="s">
        <v>12</v>
      </c>
      <c r="D369" t="s">
        <v>344</v>
      </c>
      <c r="E369" t="str">
        <f t="shared" si="28"/>
        <v>open</v>
      </c>
      <c r="F369" t="s">
        <v>7119</v>
      </c>
      <c r="G369" t="s">
        <v>7144</v>
      </c>
      <c r="H369" t="s">
        <v>7846</v>
      </c>
      <c r="I369" t="s">
        <v>7847</v>
      </c>
    </row>
    <row r="370" spans="1:9" x14ac:dyDescent="0.2">
      <c r="A370" t="s">
        <v>341</v>
      </c>
      <c r="B370" t="s">
        <v>342</v>
      </c>
      <c r="C370" t="s">
        <v>12</v>
      </c>
      <c r="D370" t="s">
        <v>344</v>
      </c>
      <c r="E370" t="str">
        <f t="shared" si="28"/>
        <v>open</v>
      </c>
      <c r="F370" t="s">
        <v>7119</v>
      </c>
      <c r="G370" t="s">
        <v>7183</v>
      </c>
      <c r="H370" t="s">
        <v>7848</v>
      </c>
      <c r="I370" t="s">
        <v>7849</v>
      </c>
    </row>
    <row r="371" spans="1:9" x14ac:dyDescent="0.2">
      <c r="A371" t="s">
        <v>341</v>
      </c>
      <c r="B371" t="s">
        <v>342</v>
      </c>
      <c r="C371" t="s">
        <v>12</v>
      </c>
      <c r="D371" t="s">
        <v>344</v>
      </c>
      <c r="E371" t="str">
        <f t="shared" si="28"/>
        <v>open</v>
      </c>
      <c r="F371" t="s">
        <v>7119</v>
      </c>
      <c r="G371" t="s">
        <v>7322</v>
      </c>
      <c r="H371" t="s">
        <v>7850</v>
      </c>
      <c r="I371" t="s">
        <v>7225</v>
      </c>
    </row>
    <row r="372" spans="1:9" x14ac:dyDescent="0.2">
      <c r="A372" t="s">
        <v>341</v>
      </c>
      <c r="B372" t="s">
        <v>342</v>
      </c>
      <c r="C372" t="s">
        <v>12</v>
      </c>
      <c r="D372" t="s">
        <v>344</v>
      </c>
      <c r="E372" t="str">
        <f t="shared" si="28"/>
        <v>open</v>
      </c>
      <c r="F372" t="s">
        <v>7130</v>
      </c>
      <c r="G372" t="s">
        <v>7851</v>
      </c>
      <c r="I372" t="s">
        <v>7852</v>
      </c>
    </row>
    <row r="373" spans="1:9" x14ac:dyDescent="0.2">
      <c r="A373" t="s">
        <v>341</v>
      </c>
      <c r="B373" t="s">
        <v>342</v>
      </c>
      <c r="C373" t="s">
        <v>12</v>
      </c>
      <c r="D373" t="s">
        <v>344</v>
      </c>
      <c r="E373" t="str">
        <f t="shared" si="28"/>
        <v>open</v>
      </c>
      <c r="F373" t="s">
        <v>7130</v>
      </c>
      <c r="G373" t="s">
        <v>7853</v>
      </c>
      <c r="I373" t="s">
        <v>7854</v>
      </c>
    </row>
    <row r="374" spans="1:9" x14ac:dyDescent="0.2">
      <c r="A374" t="s">
        <v>346</v>
      </c>
      <c r="B374" t="s">
        <v>347</v>
      </c>
      <c r="C374" t="s">
        <v>54</v>
      </c>
      <c r="D374" t="s">
        <v>349</v>
      </c>
      <c r="E374" t="str">
        <f t="shared" ref="E374:E379" si="29">HYPERLINK("/pdf/2020_10.1145_3407023.3409216_Exploring_data_leakage_in_encrypted_payload_using_supervised_machine_learning.pdf","open")</f>
        <v>open</v>
      </c>
      <c r="F374" t="s">
        <v>7119</v>
      </c>
      <c r="G374" t="s">
        <v>7349</v>
      </c>
      <c r="H374" t="s">
        <v>7855</v>
      </c>
      <c r="I374" t="s">
        <v>7856</v>
      </c>
    </row>
    <row r="375" spans="1:9" x14ac:dyDescent="0.2">
      <c r="A375" t="s">
        <v>346</v>
      </c>
      <c r="B375" t="s">
        <v>347</v>
      </c>
      <c r="C375" t="s">
        <v>54</v>
      </c>
      <c r="D375" t="s">
        <v>349</v>
      </c>
      <c r="E375" t="str">
        <f t="shared" si="29"/>
        <v>open</v>
      </c>
      <c r="F375" t="s">
        <v>7119</v>
      </c>
      <c r="G375" t="s">
        <v>7173</v>
      </c>
      <c r="H375" t="s">
        <v>7857</v>
      </c>
      <c r="I375" t="s">
        <v>7858</v>
      </c>
    </row>
    <row r="376" spans="1:9" x14ac:dyDescent="0.2">
      <c r="A376" t="s">
        <v>346</v>
      </c>
      <c r="B376" t="s">
        <v>347</v>
      </c>
      <c r="C376" t="s">
        <v>54</v>
      </c>
      <c r="D376" t="s">
        <v>349</v>
      </c>
      <c r="E376" t="str">
        <f t="shared" si="29"/>
        <v>open</v>
      </c>
      <c r="F376" t="s">
        <v>7119</v>
      </c>
      <c r="G376" t="s">
        <v>7859</v>
      </c>
      <c r="H376" t="s">
        <v>7860</v>
      </c>
      <c r="I376" t="s">
        <v>7861</v>
      </c>
    </row>
    <row r="377" spans="1:9" x14ac:dyDescent="0.2">
      <c r="A377" t="s">
        <v>346</v>
      </c>
      <c r="B377" t="s">
        <v>347</v>
      </c>
      <c r="C377" t="s">
        <v>54</v>
      </c>
      <c r="D377" t="s">
        <v>349</v>
      </c>
      <c r="E377" t="str">
        <f t="shared" si="29"/>
        <v>open</v>
      </c>
      <c r="F377" t="s">
        <v>7119</v>
      </c>
      <c r="G377" t="s">
        <v>7862</v>
      </c>
      <c r="H377" t="s">
        <v>7863</v>
      </c>
      <c r="I377" t="s">
        <v>7864</v>
      </c>
    </row>
    <row r="378" spans="1:9" x14ac:dyDescent="0.2">
      <c r="A378" t="s">
        <v>346</v>
      </c>
      <c r="B378" t="s">
        <v>347</v>
      </c>
      <c r="C378" t="s">
        <v>54</v>
      </c>
      <c r="D378" t="s">
        <v>349</v>
      </c>
      <c r="E378" t="str">
        <f t="shared" si="29"/>
        <v>open</v>
      </c>
      <c r="F378" t="s">
        <v>7130</v>
      </c>
      <c r="G378" t="s">
        <v>1584</v>
      </c>
      <c r="I378" t="s">
        <v>7865</v>
      </c>
    </row>
    <row r="379" spans="1:9" x14ac:dyDescent="0.2">
      <c r="A379" t="s">
        <v>346</v>
      </c>
      <c r="B379" t="s">
        <v>347</v>
      </c>
      <c r="C379" t="s">
        <v>54</v>
      </c>
      <c r="D379" t="s">
        <v>349</v>
      </c>
      <c r="E379" t="str">
        <f t="shared" si="29"/>
        <v>open</v>
      </c>
      <c r="F379" t="s">
        <v>7130</v>
      </c>
      <c r="G379" t="s">
        <v>1597</v>
      </c>
      <c r="I379" t="s">
        <v>7866</v>
      </c>
    </row>
    <row r="380" spans="1:9" x14ac:dyDescent="0.2">
      <c r="A380" t="s">
        <v>351</v>
      </c>
      <c r="B380" t="s">
        <v>352</v>
      </c>
      <c r="C380" t="s">
        <v>54</v>
      </c>
      <c r="D380" t="s">
        <v>354</v>
      </c>
      <c r="E380" t="str">
        <f>HYPERLINK("/pdf/2020_10.1109_tvlsi.2020.2982188_Cache-Out__Leaking_Cache_Memory_Using_Hardware_Trojan.pdf","open")</f>
        <v>open</v>
      </c>
      <c r="F380" t="s">
        <v>7119</v>
      </c>
      <c r="G380" t="s">
        <v>7867</v>
      </c>
      <c r="H380" t="s">
        <v>7868</v>
      </c>
      <c r="I380" t="s">
        <v>7178</v>
      </c>
    </row>
    <row r="381" spans="1:9" x14ac:dyDescent="0.2">
      <c r="A381" t="s">
        <v>351</v>
      </c>
      <c r="B381" t="s">
        <v>352</v>
      </c>
      <c r="C381" t="s">
        <v>54</v>
      </c>
      <c r="D381" t="s">
        <v>354</v>
      </c>
      <c r="E381" t="str">
        <f>HYPERLINK("/pdf/2020_10.1109_tvlsi.2020.2982188_Cache-Out__Leaking_Cache_Memory_Using_Hardware_Trojan.pdf","open")</f>
        <v>open</v>
      </c>
      <c r="F381" t="s">
        <v>7119</v>
      </c>
      <c r="G381" t="s">
        <v>7869</v>
      </c>
      <c r="H381" t="s">
        <v>7870</v>
      </c>
      <c r="I381" t="s">
        <v>7178</v>
      </c>
    </row>
    <row r="382" spans="1:9" x14ac:dyDescent="0.2">
      <c r="A382" t="s">
        <v>351</v>
      </c>
      <c r="B382" t="s">
        <v>352</v>
      </c>
      <c r="C382" t="s">
        <v>54</v>
      </c>
      <c r="D382" t="s">
        <v>354</v>
      </c>
      <c r="E382" t="str">
        <f>HYPERLINK("/pdf/2020_10.1109_tvlsi.2020.2982188_Cache-Out__Leaking_Cache_Memory_Using_Hardware_Trojan.pdf","open")</f>
        <v>open</v>
      </c>
      <c r="F382" t="s">
        <v>7119</v>
      </c>
      <c r="G382" t="s">
        <v>7871</v>
      </c>
      <c r="H382" t="s">
        <v>7872</v>
      </c>
      <c r="I382" t="s">
        <v>7873</v>
      </c>
    </row>
    <row r="383" spans="1:9" x14ac:dyDescent="0.2">
      <c r="A383" t="s">
        <v>351</v>
      </c>
      <c r="B383" t="s">
        <v>352</v>
      </c>
      <c r="C383" t="s">
        <v>54</v>
      </c>
      <c r="D383" t="s">
        <v>354</v>
      </c>
      <c r="E383" t="str">
        <f>HYPERLINK("/pdf/2020_10.1109_tvlsi.2020.2982188_Cache-Out__Leaking_Cache_Memory_Using_Hardware_Trojan.pdf","open")</f>
        <v>open</v>
      </c>
      <c r="F383" t="s">
        <v>7130</v>
      </c>
      <c r="G383" t="s">
        <v>1571</v>
      </c>
      <c r="I383" t="s">
        <v>7178</v>
      </c>
    </row>
    <row r="384" spans="1:9" x14ac:dyDescent="0.2">
      <c r="A384" t="s">
        <v>351</v>
      </c>
      <c r="B384" t="s">
        <v>352</v>
      </c>
      <c r="C384" t="s">
        <v>54</v>
      </c>
      <c r="D384" t="s">
        <v>354</v>
      </c>
      <c r="E384" t="str">
        <f>HYPERLINK("/pdf/2020_10.1109_tvlsi.2020.2982188_Cache-Out__Leaking_Cache_Memory_Using_Hardware_Trojan.pdf","open")</f>
        <v>open</v>
      </c>
      <c r="F384" t="s">
        <v>7130</v>
      </c>
      <c r="G384" t="s">
        <v>7203</v>
      </c>
      <c r="I384" t="s">
        <v>7874</v>
      </c>
    </row>
    <row r="385" spans="1:9" x14ac:dyDescent="0.2">
      <c r="A385" t="s">
        <v>356</v>
      </c>
      <c r="B385" t="s">
        <v>357</v>
      </c>
      <c r="C385" t="s">
        <v>25</v>
      </c>
      <c r="D385" t="s">
        <v>359</v>
      </c>
      <c r="E385" t="str">
        <f t="shared" ref="E385:E390" si="30">HYPERLINK("/pdf/2023_10.1109_isctech60480.2023.00028_An_attack-aware_shipping_enterprise_cybersecurity_framework_based_on_deep_learning.pdf","open")</f>
        <v>open</v>
      </c>
      <c r="F385" t="s">
        <v>7119</v>
      </c>
      <c r="G385" t="s">
        <v>7288</v>
      </c>
      <c r="H385" t="s">
        <v>7875</v>
      </c>
      <c r="I385" t="s">
        <v>7876</v>
      </c>
    </row>
    <row r="386" spans="1:9" x14ac:dyDescent="0.2">
      <c r="A386" t="s">
        <v>356</v>
      </c>
      <c r="B386" t="s">
        <v>357</v>
      </c>
      <c r="C386" t="s">
        <v>25</v>
      </c>
      <c r="D386" t="s">
        <v>359</v>
      </c>
      <c r="E386" t="str">
        <f t="shared" si="30"/>
        <v>open</v>
      </c>
      <c r="F386" t="s">
        <v>7119</v>
      </c>
      <c r="G386" t="s">
        <v>7877</v>
      </c>
      <c r="H386" t="s">
        <v>7878</v>
      </c>
      <c r="I386" t="s">
        <v>7332</v>
      </c>
    </row>
    <row r="387" spans="1:9" x14ac:dyDescent="0.2">
      <c r="A387" t="s">
        <v>356</v>
      </c>
      <c r="B387" t="s">
        <v>357</v>
      </c>
      <c r="C387" t="s">
        <v>25</v>
      </c>
      <c r="D387" t="s">
        <v>359</v>
      </c>
      <c r="E387" t="str">
        <f t="shared" si="30"/>
        <v>open</v>
      </c>
      <c r="F387" t="s">
        <v>7119</v>
      </c>
      <c r="G387" t="s">
        <v>7173</v>
      </c>
      <c r="H387" t="s">
        <v>7879</v>
      </c>
      <c r="I387" t="s">
        <v>7876</v>
      </c>
    </row>
    <row r="388" spans="1:9" x14ac:dyDescent="0.2">
      <c r="A388" t="s">
        <v>356</v>
      </c>
      <c r="B388" t="s">
        <v>357</v>
      </c>
      <c r="C388" t="s">
        <v>25</v>
      </c>
      <c r="D388" t="s">
        <v>359</v>
      </c>
      <c r="E388" t="str">
        <f t="shared" si="30"/>
        <v>open</v>
      </c>
      <c r="F388" t="s">
        <v>7119</v>
      </c>
      <c r="G388" t="s">
        <v>7880</v>
      </c>
      <c r="H388" t="s">
        <v>7881</v>
      </c>
      <c r="I388" t="s">
        <v>7332</v>
      </c>
    </row>
    <row r="389" spans="1:9" x14ac:dyDescent="0.2">
      <c r="A389" t="s">
        <v>356</v>
      </c>
      <c r="B389" t="s">
        <v>357</v>
      </c>
      <c r="C389" t="s">
        <v>25</v>
      </c>
      <c r="D389" t="s">
        <v>359</v>
      </c>
      <c r="E389" t="str">
        <f t="shared" si="30"/>
        <v>open</v>
      </c>
      <c r="F389" t="s">
        <v>7130</v>
      </c>
      <c r="G389" t="s">
        <v>1571</v>
      </c>
      <c r="I389" t="s">
        <v>7882</v>
      </c>
    </row>
    <row r="390" spans="1:9" x14ac:dyDescent="0.2">
      <c r="A390" t="s">
        <v>356</v>
      </c>
      <c r="B390" t="s">
        <v>357</v>
      </c>
      <c r="C390" t="s">
        <v>25</v>
      </c>
      <c r="D390" t="s">
        <v>359</v>
      </c>
      <c r="E390" t="str">
        <f t="shared" si="30"/>
        <v>open</v>
      </c>
      <c r="F390" t="s">
        <v>7130</v>
      </c>
      <c r="G390" t="s">
        <v>1592</v>
      </c>
      <c r="I390" t="s">
        <v>7883</v>
      </c>
    </row>
    <row r="391" spans="1:9" x14ac:dyDescent="0.2">
      <c r="A391" t="s">
        <v>361</v>
      </c>
      <c r="B391" t="s">
        <v>362</v>
      </c>
      <c r="C391" t="s">
        <v>363</v>
      </c>
      <c r="D391" t="s">
        <v>365</v>
      </c>
      <c r="E391" t="str">
        <f t="shared" ref="E391:E396" si="31">HYPERLINK("/pdf/2016_10.1016_j.jnca.2016.01.008_A_survey_on_data_leakage_prevention_systems.pdf","open")</f>
        <v>open</v>
      </c>
      <c r="F391" t="s">
        <v>7119</v>
      </c>
      <c r="G391" t="s">
        <v>7884</v>
      </c>
      <c r="H391" t="s">
        <v>7885</v>
      </c>
      <c r="I391" t="s">
        <v>7886</v>
      </c>
    </row>
    <row r="392" spans="1:9" x14ac:dyDescent="0.2">
      <c r="A392" t="s">
        <v>361</v>
      </c>
      <c r="B392" t="s">
        <v>362</v>
      </c>
      <c r="C392" t="s">
        <v>363</v>
      </c>
      <c r="D392" t="s">
        <v>365</v>
      </c>
      <c r="E392" t="str">
        <f t="shared" si="31"/>
        <v>open</v>
      </c>
      <c r="F392" t="s">
        <v>7119</v>
      </c>
      <c r="G392" t="s">
        <v>7887</v>
      </c>
      <c r="H392" t="s">
        <v>7888</v>
      </c>
      <c r="I392" t="s">
        <v>7889</v>
      </c>
    </row>
    <row r="393" spans="1:9" x14ac:dyDescent="0.2">
      <c r="A393" t="s">
        <v>361</v>
      </c>
      <c r="B393" t="s">
        <v>362</v>
      </c>
      <c r="C393" t="s">
        <v>363</v>
      </c>
      <c r="D393" t="s">
        <v>365</v>
      </c>
      <c r="E393" t="str">
        <f t="shared" si="31"/>
        <v>open</v>
      </c>
      <c r="F393" t="s">
        <v>7119</v>
      </c>
      <c r="G393" t="s">
        <v>7890</v>
      </c>
      <c r="H393" t="s">
        <v>7891</v>
      </c>
      <c r="I393" t="s">
        <v>7892</v>
      </c>
    </row>
    <row r="394" spans="1:9" x14ac:dyDescent="0.2">
      <c r="A394" t="s">
        <v>361</v>
      </c>
      <c r="B394" t="s">
        <v>362</v>
      </c>
      <c r="C394" t="s">
        <v>363</v>
      </c>
      <c r="D394" t="s">
        <v>365</v>
      </c>
      <c r="E394" t="str">
        <f t="shared" si="31"/>
        <v>open</v>
      </c>
      <c r="F394" t="s">
        <v>7119</v>
      </c>
      <c r="G394" t="s">
        <v>7893</v>
      </c>
      <c r="H394" t="s">
        <v>7894</v>
      </c>
      <c r="I394" t="s">
        <v>7895</v>
      </c>
    </row>
    <row r="395" spans="1:9" x14ac:dyDescent="0.2">
      <c r="A395" t="s">
        <v>361</v>
      </c>
      <c r="B395" t="s">
        <v>362</v>
      </c>
      <c r="C395" t="s">
        <v>363</v>
      </c>
      <c r="D395" t="s">
        <v>365</v>
      </c>
      <c r="E395" t="str">
        <f t="shared" si="31"/>
        <v>open</v>
      </c>
      <c r="F395" t="s">
        <v>7130</v>
      </c>
      <c r="G395" t="s">
        <v>1575</v>
      </c>
      <c r="I395" t="s">
        <v>7896</v>
      </c>
    </row>
    <row r="396" spans="1:9" x14ac:dyDescent="0.2">
      <c r="A396" t="s">
        <v>361</v>
      </c>
      <c r="B396" t="s">
        <v>362</v>
      </c>
      <c r="C396" t="s">
        <v>363</v>
      </c>
      <c r="D396" t="s">
        <v>365</v>
      </c>
      <c r="E396" t="str">
        <f t="shared" si="31"/>
        <v>open</v>
      </c>
      <c r="F396" t="s">
        <v>7130</v>
      </c>
      <c r="G396" t="s">
        <v>1571</v>
      </c>
      <c r="I396" t="s">
        <v>7713</v>
      </c>
    </row>
    <row r="397" spans="1:9" x14ac:dyDescent="0.2">
      <c r="A397" t="s">
        <v>367</v>
      </c>
      <c r="B397" t="s">
        <v>368</v>
      </c>
      <c r="C397" t="s">
        <v>60</v>
      </c>
      <c r="D397" t="s">
        <v>370</v>
      </c>
      <c r="E397" t="str">
        <f>HYPERLINK("/pdf/2024_10.1002_9781394200801.ch32_Risks_for_conversational_AI_security.pdf","open")</f>
        <v>open</v>
      </c>
      <c r="F397" t="s">
        <v>7119</v>
      </c>
      <c r="G397" t="s">
        <v>7897</v>
      </c>
      <c r="H397" t="s">
        <v>7898</v>
      </c>
      <c r="I397" t="s">
        <v>7899</v>
      </c>
    </row>
    <row r="398" spans="1:9" x14ac:dyDescent="0.2">
      <c r="A398" t="s">
        <v>367</v>
      </c>
      <c r="B398" t="s">
        <v>368</v>
      </c>
      <c r="C398" t="s">
        <v>60</v>
      </c>
      <c r="D398" t="s">
        <v>370</v>
      </c>
      <c r="E398" t="str">
        <f>HYPERLINK("/pdf/2024_10.1002_9781394200801.ch32_Risks_for_conversational_AI_security.pdf","open")</f>
        <v>open</v>
      </c>
      <c r="F398" t="s">
        <v>7119</v>
      </c>
      <c r="G398" t="s">
        <v>7900</v>
      </c>
      <c r="H398" t="s">
        <v>7901</v>
      </c>
      <c r="I398" t="s">
        <v>7902</v>
      </c>
    </row>
    <row r="399" spans="1:9" x14ac:dyDescent="0.2">
      <c r="A399" t="s">
        <v>367</v>
      </c>
      <c r="B399" t="s">
        <v>368</v>
      </c>
      <c r="C399" t="s">
        <v>60</v>
      </c>
      <c r="D399" t="s">
        <v>370</v>
      </c>
      <c r="E399" t="str">
        <f>HYPERLINK("/pdf/2024_10.1002_9781394200801.ch32_Risks_for_conversational_AI_security.pdf","open")</f>
        <v>open</v>
      </c>
      <c r="F399" t="s">
        <v>7119</v>
      </c>
      <c r="G399" t="s">
        <v>7903</v>
      </c>
      <c r="H399" t="s">
        <v>7904</v>
      </c>
      <c r="I399" t="s">
        <v>7899</v>
      </c>
    </row>
    <row r="400" spans="1:9" x14ac:dyDescent="0.2">
      <c r="A400" t="s">
        <v>367</v>
      </c>
      <c r="B400" t="s">
        <v>368</v>
      </c>
      <c r="C400" t="s">
        <v>60</v>
      </c>
      <c r="D400" t="s">
        <v>370</v>
      </c>
      <c r="E400" t="str">
        <f>HYPERLINK("/pdf/2024_10.1002_9781394200801.ch32_Risks_for_conversational_AI_security.pdf","open")</f>
        <v>open</v>
      </c>
      <c r="F400" t="s">
        <v>7130</v>
      </c>
      <c r="G400" t="s">
        <v>1571</v>
      </c>
      <c r="I400" t="s">
        <v>7905</v>
      </c>
    </row>
    <row r="401" spans="1:9" x14ac:dyDescent="0.2">
      <c r="A401" t="s">
        <v>367</v>
      </c>
      <c r="B401" t="s">
        <v>368</v>
      </c>
      <c r="C401" t="s">
        <v>60</v>
      </c>
      <c r="D401" t="s">
        <v>370</v>
      </c>
      <c r="E401" t="str">
        <f>HYPERLINK("/pdf/2024_10.1002_9781394200801.ch32_Risks_for_conversational_AI_security.pdf","open")</f>
        <v>open</v>
      </c>
      <c r="F401" t="s">
        <v>7130</v>
      </c>
      <c r="G401" t="s">
        <v>1574</v>
      </c>
      <c r="I401" t="s">
        <v>7906</v>
      </c>
    </row>
    <row r="402" spans="1:9" x14ac:dyDescent="0.2">
      <c r="A402" t="s">
        <v>372</v>
      </c>
      <c r="B402" t="s">
        <v>373</v>
      </c>
      <c r="C402" t="s">
        <v>363</v>
      </c>
      <c r="D402" t="s">
        <v>375</v>
      </c>
      <c r="E402" t="str">
        <f t="shared" ref="E402:E407" si="32">HYPERLINK("/pdf/2016_10.1109_hicss.2016.679_Utilizing_the_cloud_to_store_hijacked_camera_images.pdf","open")</f>
        <v>open</v>
      </c>
      <c r="F402" t="s">
        <v>7119</v>
      </c>
      <c r="G402" t="s">
        <v>7907</v>
      </c>
      <c r="H402" t="s">
        <v>7908</v>
      </c>
      <c r="I402" t="s">
        <v>7151</v>
      </c>
    </row>
    <row r="403" spans="1:9" x14ac:dyDescent="0.2">
      <c r="A403" t="s">
        <v>372</v>
      </c>
      <c r="B403" t="s">
        <v>373</v>
      </c>
      <c r="C403" t="s">
        <v>363</v>
      </c>
      <c r="D403" t="s">
        <v>375</v>
      </c>
      <c r="E403" t="str">
        <f t="shared" si="32"/>
        <v>open</v>
      </c>
      <c r="F403" t="s">
        <v>7119</v>
      </c>
      <c r="G403" t="s">
        <v>7909</v>
      </c>
      <c r="H403" t="s">
        <v>7910</v>
      </c>
      <c r="I403" t="s">
        <v>7911</v>
      </c>
    </row>
    <row r="404" spans="1:9" x14ac:dyDescent="0.2">
      <c r="A404" t="s">
        <v>372</v>
      </c>
      <c r="B404" t="s">
        <v>373</v>
      </c>
      <c r="C404" t="s">
        <v>363</v>
      </c>
      <c r="D404" t="s">
        <v>375</v>
      </c>
      <c r="E404" t="str">
        <f t="shared" si="32"/>
        <v>open</v>
      </c>
      <c r="F404" t="s">
        <v>7119</v>
      </c>
      <c r="G404" t="s">
        <v>7242</v>
      </c>
      <c r="H404" t="s">
        <v>7912</v>
      </c>
      <c r="I404" t="s">
        <v>7911</v>
      </c>
    </row>
    <row r="405" spans="1:9" x14ac:dyDescent="0.2">
      <c r="A405" t="s">
        <v>372</v>
      </c>
      <c r="B405" t="s">
        <v>373</v>
      </c>
      <c r="C405" t="s">
        <v>363</v>
      </c>
      <c r="D405" t="s">
        <v>375</v>
      </c>
      <c r="E405" t="str">
        <f t="shared" si="32"/>
        <v>open</v>
      </c>
      <c r="F405" t="s">
        <v>7119</v>
      </c>
      <c r="G405" t="s">
        <v>7913</v>
      </c>
      <c r="H405" t="s">
        <v>7914</v>
      </c>
      <c r="I405" t="s">
        <v>7915</v>
      </c>
    </row>
    <row r="406" spans="1:9" x14ac:dyDescent="0.2">
      <c r="A406" t="s">
        <v>372</v>
      </c>
      <c r="B406" t="s">
        <v>373</v>
      </c>
      <c r="C406" t="s">
        <v>363</v>
      </c>
      <c r="D406" t="s">
        <v>375</v>
      </c>
      <c r="E406" t="str">
        <f t="shared" si="32"/>
        <v>open</v>
      </c>
      <c r="F406" t="s">
        <v>7130</v>
      </c>
      <c r="G406" t="s">
        <v>1597</v>
      </c>
      <c r="I406" t="s">
        <v>7916</v>
      </c>
    </row>
    <row r="407" spans="1:9" x14ac:dyDescent="0.2">
      <c r="A407" t="s">
        <v>372</v>
      </c>
      <c r="B407" t="s">
        <v>373</v>
      </c>
      <c r="C407" t="s">
        <v>363</v>
      </c>
      <c r="D407" t="s">
        <v>375</v>
      </c>
      <c r="E407" t="str">
        <f t="shared" si="32"/>
        <v>open</v>
      </c>
      <c r="F407" t="s">
        <v>7130</v>
      </c>
      <c r="G407" t="s">
        <v>5650</v>
      </c>
      <c r="I407" t="s">
        <v>7917</v>
      </c>
    </row>
    <row r="408" spans="1:9" x14ac:dyDescent="0.2">
      <c r="A408" t="s">
        <v>140</v>
      </c>
      <c r="B408" t="s">
        <v>141</v>
      </c>
      <c r="C408" t="s">
        <v>25</v>
      </c>
      <c r="D408" t="s">
        <v>143</v>
      </c>
      <c r="E408" t="str">
        <f t="shared" ref="E408:E414" si="33">HYPERLINK("/pdf/2023_10_11591_ijece_v13i5_pp5560_5568_concept_drift_and_machine_learning_model_for_detecting_fraudulent_transactions_i.pdf","open")</f>
        <v>open</v>
      </c>
      <c r="F408" t="s">
        <v>7119</v>
      </c>
      <c r="G408" t="s">
        <v>7918</v>
      </c>
      <c r="H408" t="s">
        <v>7919</v>
      </c>
      <c r="I408" t="s">
        <v>7178</v>
      </c>
    </row>
    <row r="409" spans="1:9" x14ac:dyDescent="0.2">
      <c r="A409" t="s">
        <v>140</v>
      </c>
      <c r="B409" t="s">
        <v>141</v>
      </c>
      <c r="C409" t="s">
        <v>25</v>
      </c>
      <c r="D409" t="s">
        <v>143</v>
      </c>
      <c r="E409" t="str">
        <f t="shared" si="33"/>
        <v>open</v>
      </c>
      <c r="F409" t="s">
        <v>7119</v>
      </c>
      <c r="G409" t="s">
        <v>7380</v>
      </c>
      <c r="H409" t="s">
        <v>7404</v>
      </c>
      <c r="I409" t="s">
        <v>7920</v>
      </c>
    </row>
    <row r="410" spans="1:9" x14ac:dyDescent="0.2">
      <c r="A410" t="s">
        <v>140</v>
      </c>
      <c r="B410" t="s">
        <v>141</v>
      </c>
      <c r="C410" t="s">
        <v>25</v>
      </c>
      <c r="D410" t="s">
        <v>143</v>
      </c>
      <c r="E410" t="str">
        <f t="shared" si="33"/>
        <v>open</v>
      </c>
      <c r="F410" t="s">
        <v>7119</v>
      </c>
      <c r="G410" t="s">
        <v>7921</v>
      </c>
      <c r="H410" t="s">
        <v>7922</v>
      </c>
      <c r="I410" t="s">
        <v>7923</v>
      </c>
    </row>
    <row r="411" spans="1:9" x14ac:dyDescent="0.2">
      <c r="A411" t="s">
        <v>140</v>
      </c>
      <c r="B411" t="s">
        <v>141</v>
      </c>
      <c r="C411" t="s">
        <v>25</v>
      </c>
      <c r="D411" t="s">
        <v>143</v>
      </c>
      <c r="E411" t="str">
        <f t="shared" si="33"/>
        <v>open</v>
      </c>
      <c r="F411" t="s">
        <v>7119</v>
      </c>
      <c r="G411" t="s">
        <v>7330</v>
      </c>
      <c r="H411" t="s">
        <v>7924</v>
      </c>
      <c r="I411" t="s">
        <v>7178</v>
      </c>
    </row>
    <row r="412" spans="1:9" x14ac:dyDescent="0.2">
      <c r="A412" t="s">
        <v>140</v>
      </c>
      <c r="B412" t="s">
        <v>141</v>
      </c>
      <c r="C412" t="s">
        <v>25</v>
      </c>
      <c r="D412" t="s">
        <v>143</v>
      </c>
      <c r="E412" t="str">
        <f t="shared" si="33"/>
        <v>open</v>
      </c>
      <c r="F412" t="s">
        <v>7119</v>
      </c>
      <c r="G412" t="s">
        <v>7925</v>
      </c>
      <c r="H412" t="s">
        <v>7926</v>
      </c>
      <c r="I412" t="s">
        <v>7927</v>
      </c>
    </row>
    <row r="413" spans="1:9" x14ac:dyDescent="0.2">
      <c r="A413" t="s">
        <v>140</v>
      </c>
      <c r="B413" t="s">
        <v>141</v>
      </c>
      <c r="C413" t="s">
        <v>25</v>
      </c>
      <c r="D413" t="s">
        <v>143</v>
      </c>
      <c r="E413" t="str">
        <f t="shared" si="33"/>
        <v>open</v>
      </c>
      <c r="F413" t="s">
        <v>7130</v>
      </c>
      <c r="G413" t="s">
        <v>7380</v>
      </c>
      <c r="I413" t="s">
        <v>7928</v>
      </c>
    </row>
    <row r="414" spans="1:9" x14ac:dyDescent="0.2">
      <c r="A414" t="s">
        <v>140</v>
      </c>
      <c r="B414" t="s">
        <v>141</v>
      </c>
      <c r="C414" t="s">
        <v>25</v>
      </c>
      <c r="D414" t="s">
        <v>143</v>
      </c>
      <c r="E414" t="str">
        <f t="shared" si="33"/>
        <v>open</v>
      </c>
      <c r="F414" t="s">
        <v>7130</v>
      </c>
      <c r="G414" t="s">
        <v>1597</v>
      </c>
      <c r="I414" t="s">
        <v>7929</v>
      </c>
    </row>
    <row r="415" spans="1:9" x14ac:dyDescent="0.2">
      <c r="A415" t="s">
        <v>378</v>
      </c>
      <c r="B415" t="s">
        <v>379</v>
      </c>
      <c r="C415" t="s">
        <v>25</v>
      </c>
      <c r="D415" t="s">
        <v>378</v>
      </c>
      <c r="E415" t="str">
        <f t="shared" ref="E415:E420" si="34">HYPERLINK("/pdf/2024_10_1587_transfun_2023eap1049_real_time_monitoring_systems_that_provide_m2m_communication_between_machines.pdf","open")</f>
        <v>open</v>
      </c>
      <c r="F415" t="s">
        <v>7119</v>
      </c>
      <c r="G415" t="s">
        <v>7930</v>
      </c>
      <c r="H415" t="s">
        <v>7931</v>
      </c>
      <c r="I415" t="s">
        <v>7932</v>
      </c>
    </row>
    <row r="416" spans="1:9" x14ac:dyDescent="0.2">
      <c r="A416" t="s">
        <v>378</v>
      </c>
      <c r="B416" t="s">
        <v>379</v>
      </c>
      <c r="C416" t="s">
        <v>25</v>
      </c>
      <c r="D416" t="s">
        <v>378</v>
      </c>
      <c r="E416" t="str">
        <f t="shared" si="34"/>
        <v>open</v>
      </c>
      <c r="F416" t="s">
        <v>7119</v>
      </c>
      <c r="G416" t="s">
        <v>7933</v>
      </c>
      <c r="H416" t="s">
        <v>7934</v>
      </c>
      <c r="I416" t="s">
        <v>7935</v>
      </c>
    </row>
    <row r="417" spans="1:9" x14ac:dyDescent="0.2">
      <c r="A417" t="s">
        <v>378</v>
      </c>
      <c r="B417" t="s">
        <v>379</v>
      </c>
      <c r="C417" t="s">
        <v>25</v>
      </c>
      <c r="D417" t="s">
        <v>378</v>
      </c>
      <c r="E417" t="str">
        <f t="shared" si="34"/>
        <v>open</v>
      </c>
      <c r="F417" t="s">
        <v>7119</v>
      </c>
      <c r="G417" t="s">
        <v>7936</v>
      </c>
      <c r="H417" t="s">
        <v>7937</v>
      </c>
      <c r="I417" t="s">
        <v>7938</v>
      </c>
    </row>
    <row r="418" spans="1:9" x14ac:dyDescent="0.2">
      <c r="A418" t="s">
        <v>378</v>
      </c>
      <c r="B418" t="s">
        <v>379</v>
      </c>
      <c r="C418" t="s">
        <v>25</v>
      </c>
      <c r="D418" t="s">
        <v>378</v>
      </c>
      <c r="E418" t="str">
        <f t="shared" si="34"/>
        <v>open</v>
      </c>
      <c r="F418" t="s">
        <v>7119</v>
      </c>
      <c r="G418" t="s">
        <v>7183</v>
      </c>
      <c r="H418" t="s">
        <v>7939</v>
      </c>
      <c r="I418" t="s">
        <v>7940</v>
      </c>
    </row>
    <row r="419" spans="1:9" x14ac:dyDescent="0.2">
      <c r="A419" t="s">
        <v>378</v>
      </c>
      <c r="B419" t="s">
        <v>379</v>
      </c>
      <c r="C419" t="s">
        <v>25</v>
      </c>
      <c r="D419" t="s">
        <v>378</v>
      </c>
      <c r="E419" t="str">
        <f t="shared" si="34"/>
        <v>open</v>
      </c>
      <c r="F419" t="s">
        <v>7130</v>
      </c>
      <c r="G419" t="s">
        <v>1597</v>
      </c>
      <c r="I419" t="s">
        <v>7941</v>
      </c>
    </row>
    <row r="420" spans="1:9" x14ac:dyDescent="0.2">
      <c r="A420" t="s">
        <v>378</v>
      </c>
      <c r="B420" t="s">
        <v>379</v>
      </c>
      <c r="C420" t="s">
        <v>25</v>
      </c>
      <c r="D420" t="s">
        <v>378</v>
      </c>
      <c r="E420" t="str">
        <f t="shared" si="34"/>
        <v>open</v>
      </c>
      <c r="F420" t="s">
        <v>7130</v>
      </c>
      <c r="G420" t="s">
        <v>7942</v>
      </c>
      <c r="I420" t="s">
        <v>7943</v>
      </c>
    </row>
    <row r="421" spans="1:9" x14ac:dyDescent="0.2">
      <c r="A421" t="s">
        <v>382</v>
      </c>
      <c r="B421" t="s">
        <v>383</v>
      </c>
      <c r="C421" t="s">
        <v>48</v>
      </c>
      <c r="D421" t="s">
        <v>385</v>
      </c>
      <c r="E421" t="str">
        <f t="shared" ref="E421:E427" si="35">HYPERLINK("/pdf/2026_10_37394_23209_2026_23_6_intrusion_detection_system_iids.pdf","open")</f>
        <v>open</v>
      </c>
      <c r="F421" t="s">
        <v>7119</v>
      </c>
      <c r="G421" t="s">
        <v>7944</v>
      </c>
      <c r="H421" t="s">
        <v>7945</v>
      </c>
      <c r="I421" t="s">
        <v>7178</v>
      </c>
    </row>
    <row r="422" spans="1:9" x14ac:dyDescent="0.2">
      <c r="A422" t="s">
        <v>382</v>
      </c>
      <c r="B422" t="s">
        <v>383</v>
      </c>
      <c r="C422" t="s">
        <v>48</v>
      </c>
      <c r="D422" t="s">
        <v>385</v>
      </c>
      <c r="E422" t="str">
        <f t="shared" si="35"/>
        <v>open</v>
      </c>
      <c r="F422" t="s">
        <v>7119</v>
      </c>
      <c r="G422" t="s">
        <v>7946</v>
      </c>
      <c r="H422" t="s">
        <v>7947</v>
      </c>
      <c r="I422" t="s">
        <v>7948</v>
      </c>
    </row>
    <row r="423" spans="1:9" x14ac:dyDescent="0.2">
      <c r="A423" t="s">
        <v>382</v>
      </c>
      <c r="B423" t="s">
        <v>383</v>
      </c>
      <c r="C423" t="s">
        <v>48</v>
      </c>
      <c r="D423" t="s">
        <v>385</v>
      </c>
      <c r="E423" t="str">
        <f t="shared" si="35"/>
        <v>open</v>
      </c>
      <c r="F423" t="s">
        <v>7119</v>
      </c>
      <c r="G423" t="s">
        <v>7949</v>
      </c>
      <c r="H423" t="s">
        <v>7950</v>
      </c>
      <c r="I423" t="s">
        <v>7951</v>
      </c>
    </row>
    <row r="424" spans="1:9" x14ac:dyDescent="0.2">
      <c r="A424" t="s">
        <v>382</v>
      </c>
      <c r="B424" t="s">
        <v>383</v>
      </c>
      <c r="C424" t="s">
        <v>48</v>
      </c>
      <c r="D424" t="s">
        <v>385</v>
      </c>
      <c r="E424" t="str">
        <f t="shared" si="35"/>
        <v>open</v>
      </c>
      <c r="F424" t="s">
        <v>7119</v>
      </c>
      <c r="G424" t="s">
        <v>7952</v>
      </c>
      <c r="H424" t="s">
        <v>7953</v>
      </c>
      <c r="I424" t="s">
        <v>7951</v>
      </c>
    </row>
    <row r="425" spans="1:9" x14ac:dyDescent="0.2">
      <c r="A425" t="s">
        <v>382</v>
      </c>
      <c r="B425" t="s">
        <v>383</v>
      </c>
      <c r="C425" t="s">
        <v>48</v>
      </c>
      <c r="D425" t="s">
        <v>385</v>
      </c>
      <c r="E425" t="str">
        <f t="shared" si="35"/>
        <v>open</v>
      </c>
      <c r="F425" t="s">
        <v>7119</v>
      </c>
      <c r="G425" t="s">
        <v>7330</v>
      </c>
      <c r="H425" t="s">
        <v>7954</v>
      </c>
      <c r="I425" t="s">
        <v>7955</v>
      </c>
    </row>
    <row r="426" spans="1:9" x14ac:dyDescent="0.2">
      <c r="A426" t="s">
        <v>382</v>
      </c>
      <c r="B426" t="s">
        <v>383</v>
      </c>
      <c r="C426" t="s">
        <v>48</v>
      </c>
      <c r="D426" t="s">
        <v>385</v>
      </c>
      <c r="E426" t="str">
        <f t="shared" si="35"/>
        <v>open</v>
      </c>
      <c r="F426" t="s">
        <v>7130</v>
      </c>
      <c r="G426" t="s">
        <v>7173</v>
      </c>
      <c r="I426" t="s">
        <v>7956</v>
      </c>
    </row>
    <row r="427" spans="1:9" x14ac:dyDescent="0.2">
      <c r="A427" t="s">
        <v>382</v>
      </c>
      <c r="B427" t="s">
        <v>383</v>
      </c>
      <c r="C427" t="s">
        <v>48</v>
      </c>
      <c r="D427" t="s">
        <v>385</v>
      </c>
      <c r="E427" t="str">
        <f t="shared" si="35"/>
        <v>open</v>
      </c>
      <c r="F427" t="s">
        <v>7130</v>
      </c>
      <c r="G427" t="s">
        <v>7957</v>
      </c>
      <c r="I427" t="s">
        <v>7958</v>
      </c>
    </row>
    <row r="428" spans="1:9" x14ac:dyDescent="0.2">
      <c r="A428" t="s">
        <v>387</v>
      </c>
      <c r="B428" t="s">
        <v>388</v>
      </c>
      <c r="C428" t="s">
        <v>25</v>
      </c>
      <c r="D428" t="s">
        <v>390</v>
      </c>
      <c r="E428" t="str">
        <f>HYPERLINK("/pdf/2023_10_3390_fi15090296_fredy_federated_resilience_enhanced_with_differential_privacy.pdf","open")</f>
        <v>open</v>
      </c>
      <c r="F428" t="s">
        <v>7119</v>
      </c>
      <c r="G428" t="s">
        <v>7959</v>
      </c>
      <c r="H428" t="s">
        <v>7960</v>
      </c>
      <c r="I428" t="s">
        <v>7961</v>
      </c>
    </row>
    <row r="429" spans="1:9" x14ac:dyDescent="0.2">
      <c r="A429" t="s">
        <v>387</v>
      </c>
      <c r="B429" t="s">
        <v>388</v>
      </c>
      <c r="C429" t="s">
        <v>25</v>
      </c>
      <c r="D429" t="s">
        <v>390</v>
      </c>
      <c r="E429" t="str">
        <f>HYPERLINK("/pdf/2023_10_3390_fi15090296_fredy_federated_resilience_enhanced_with_differential_privacy.pdf","open")</f>
        <v>open</v>
      </c>
      <c r="F429" t="s">
        <v>7119</v>
      </c>
      <c r="G429" t="s">
        <v>7173</v>
      </c>
      <c r="H429" t="s">
        <v>7962</v>
      </c>
      <c r="I429" t="s">
        <v>7963</v>
      </c>
    </row>
    <row r="430" spans="1:9" x14ac:dyDescent="0.2">
      <c r="A430" t="s">
        <v>387</v>
      </c>
      <c r="B430" t="s">
        <v>388</v>
      </c>
      <c r="C430" t="s">
        <v>25</v>
      </c>
      <c r="D430" t="s">
        <v>390</v>
      </c>
      <c r="E430" t="str">
        <f>HYPERLINK("/pdf/2023_10_3390_fi15090296_fredy_federated_resilience_enhanced_with_differential_privacy.pdf","open")</f>
        <v>open</v>
      </c>
      <c r="F430" t="s">
        <v>7119</v>
      </c>
      <c r="G430" t="s">
        <v>7964</v>
      </c>
      <c r="H430" t="s">
        <v>7965</v>
      </c>
      <c r="I430" t="s">
        <v>7966</v>
      </c>
    </row>
    <row r="431" spans="1:9" x14ac:dyDescent="0.2">
      <c r="A431" t="s">
        <v>387</v>
      </c>
      <c r="B431" t="s">
        <v>388</v>
      </c>
      <c r="C431" t="s">
        <v>25</v>
      </c>
      <c r="D431" t="s">
        <v>390</v>
      </c>
      <c r="E431" t="str">
        <f>HYPERLINK("/pdf/2023_10_3390_fi15090296_fredy_federated_resilience_enhanced_with_differential_privacy.pdf","open")</f>
        <v>open</v>
      </c>
      <c r="F431" t="s">
        <v>7130</v>
      </c>
      <c r="G431" t="s">
        <v>1597</v>
      </c>
      <c r="I431" t="s">
        <v>7967</v>
      </c>
    </row>
    <row r="432" spans="1:9" x14ac:dyDescent="0.2">
      <c r="A432" t="s">
        <v>387</v>
      </c>
      <c r="B432" t="s">
        <v>388</v>
      </c>
      <c r="C432" t="s">
        <v>25</v>
      </c>
      <c r="D432" t="s">
        <v>390</v>
      </c>
      <c r="E432" t="str">
        <f>HYPERLINK("/pdf/2023_10_3390_fi15090296_fredy_federated_resilience_enhanced_with_differential_privacy.pdf","open")</f>
        <v>open</v>
      </c>
      <c r="F432" t="s">
        <v>7130</v>
      </c>
      <c r="G432" t="s">
        <v>7406</v>
      </c>
      <c r="I432" t="s">
        <v>7968</v>
      </c>
    </row>
    <row r="433" spans="1:9" x14ac:dyDescent="0.2">
      <c r="A433" t="s">
        <v>392</v>
      </c>
      <c r="B433" t="s">
        <v>393</v>
      </c>
      <c r="C433" t="s">
        <v>19</v>
      </c>
      <c r="D433" t="s">
        <v>395</v>
      </c>
      <c r="E433" t="str">
        <f t="shared" ref="E433:E439" si="36">HYPERLINK("/pdf/2025_10.1109_isctt66403.2025.11137906_Distributed_Network_Intrusion_Detection_Model_Based_on_Multi-Feature_Fusion_Generative_Adversarial_Network_and.pdf","open")</f>
        <v>open</v>
      </c>
      <c r="F433" t="s">
        <v>7119</v>
      </c>
      <c r="G433" t="s">
        <v>7969</v>
      </c>
      <c r="H433" t="s">
        <v>7970</v>
      </c>
      <c r="I433" t="s">
        <v>7971</v>
      </c>
    </row>
    <row r="434" spans="1:9" x14ac:dyDescent="0.2">
      <c r="A434" t="s">
        <v>392</v>
      </c>
      <c r="B434" t="s">
        <v>393</v>
      </c>
      <c r="C434" t="s">
        <v>19</v>
      </c>
      <c r="D434" t="s">
        <v>395</v>
      </c>
      <c r="E434" t="str">
        <f t="shared" si="36"/>
        <v>open</v>
      </c>
      <c r="F434" t="s">
        <v>7119</v>
      </c>
      <c r="G434" t="s">
        <v>7330</v>
      </c>
      <c r="H434" t="s">
        <v>7972</v>
      </c>
      <c r="I434" t="s">
        <v>7973</v>
      </c>
    </row>
    <row r="435" spans="1:9" x14ac:dyDescent="0.2">
      <c r="A435" t="s">
        <v>392</v>
      </c>
      <c r="B435" t="s">
        <v>393</v>
      </c>
      <c r="C435" t="s">
        <v>19</v>
      </c>
      <c r="D435" t="s">
        <v>395</v>
      </c>
      <c r="E435" t="str">
        <f t="shared" si="36"/>
        <v>open</v>
      </c>
      <c r="F435" t="s">
        <v>7119</v>
      </c>
      <c r="G435" t="s">
        <v>7974</v>
      </c>
      <c r="H435" t="s">
        <v>7975</v>
      </c>
      <c r="I435" t="s">
        <v>7976</v>
      </c>
    </row>
    <row r="436" spans="1:9" x14ac:dyDescent="0.2">
      <c r="A436" t="s">
        <v>392</v>
      </c>
      <c r="B436" t="s">
        <v>393</v>
      </c>
      <c r="C436" t="s">
        <v>19</v>
      </c>
      <c r="D436" t="s">
        <v>395</v>
      </c>
      <c r="E436" t="str">
        <f t="shared" si="36"/>
        <v>open</v>
      </c>
      <c r="F436" t="s">
        <v>7119</v>
      </c>
      <c r="G436" t="s">
        <v>7977</v>
      </c>
      <c r="H436" t="s">
        <v>7978</v>
      </c>
      <c r="I436" t="s">
        <v>7979</v>
      </c>
    </row>
    <row r="437" spans="1:9" x14ac:dyDescent="0.2">
      <c r="A437" t="s">
        <v>392</v>
      </c>
      <c r="B437" t="s">
        <v>393</v>
      </c>
      <c r="C437" t="s">
        <v>19</v>
      </c>
      <c r="D437" t="s">
        <v>395</v>
      </c>
      <c r="E437" t="str">
        <f t="shared" si="36"/>
        <v>open</v>
      </c>
      <c r="F437" t="s">
        <v>7119</v>
      </c>
      <c r="G437" t="s">
        <v>7980</v>
      </c>
      <c r="H437" t="s">
        <v>7981</v>
      </c>
      <c r="I437" t="s">
        <v>7982</v>
      </c>
    </row>
    <row r="438" spans="1:9" x14ac:dyDescent="0.2">
      <c r="A438" t="s">
        <v>392</v>
      </c>
      <c r="B438" t="s">
        <v>393</v>
      </c>
      <c r="C438" t="s">
        <v>19</v>
      </c>
      <c r="D438" t="s">
        <v>395</v>
      </c>
      <c r="E438" t="str">
        <f t="shared" si="36"/>
        <v>open</v>
      </c>
      <c r="F438" t="s">
        <v>7130</v>
      </c>
      <c r="G438" t="s">
        <v>7203</v>
      </c>
      <c r="I438" t="s">
        <v>7983</v>
      </c>
    </row>
    <row r="439" spans="1:9" x14ac:dyDescent="0.2">
      <c r="A439" t="s">
        <v>392</v>
      </c>
      <c r="B439" t="s">
        <v>393</v>
      </c>
      <c r="C439" t="s">
        <v>19</v>
      </c>
      <c r="D439" t="s">
        <v>395</v>
      </c>
      <c r="E439" t="str">
        <f t="shared" si="36"/>
        <v>open</v>
      </c>
      <c r="F439" t="s">
        <v>7130</v>
      </c>
      <c r="G439" t="s">
        <v>7288</v>
      </c>
      <c r="I439" t="s">
        <v>7984</v>
      </c>
    </row>
    <row r="440" spans="1:9" x14ac:dyDescent="0.2">
      <c r="A440" t="s">
        <v>397</v>
      </c>
      <c r="B440" t="s">
        <v>398</v>
      </c>
      <c r="C440" t="s">
        <v>25</v>
      </c>
      <c r="D440" t="s">
        <v>400</v>
      </c>
      <c r="E440" t="str">
        <f>HYPERLINK("/pdf/2023_10_3390_en16134838_a_review_of_cybersecurity_concerns_for_transactive_energy_markets.pdf","open")</f>
        <v>open</v>
      </c>
      <c r="F440" t="s">
        <v>7119</v>
      </c>
      <c r="G440" t="s">
        <v>7985</v>
      </c>
      <c r="H440" t="s">
        <v>7986</v>
      </c>
      <c r="I440" t="s">
        <v>7151</v>
      </c>
    </row>
    <row r="441" spans="1:9" x14ac:dyDescent="0.2">
      <c r="A441" t="s">
        <v>397</v>
      </c>
      <c r="B441" t="s">
        <v>398</v>
      </c>
      <c r="C441" t="s">
        <v>25</v>
      </c>
      <c r="D441" t="s">
        <v>400</v>
      </c>
      <c r="E441" t="str">
        <f>HYPERLINK("/pdf/2023_10_3390_en16134838_a_review_of_cybersecurity_concerns_for_transactive_energy_markets.pdf","open")</f>
        <v>open</v>
      </c>
      <c r="F441" t="s">
        <v>7119</v>
      </c>
      <c r="G441" t="s">
        <v>7987</v>
      </c>
      <c r="H441" t="s">
        <v>7988</v>
      </c>
      <c r="I441" t="s">
        <v>7151</v>
      </c>
    </row>
    <row r="442" spans="1:9" x14ac:dyDescent="0.2">
      <c r="A442" t="s">
        <v>397</v>
      </c>
      <c r="B442" t="s">
        <v>398</v>
      </c>
      <c r="C442" t="s">
        <v>25</v>
      </c>
      <c r="D442" t="s">
        <v>400</v>
      </c>
      <c r="E442" t="str">
        <f>HYPERLINK("/pdf/2023_10_3390_en16134838_a_review_of_cybersecurity_concerns_for_transactive_energy_markets.pdf","open")</f>
        <v>open</v>
      </c>
      <c r="F442" t="s">
        <v>7119</v>
      </c>
      <c r="G442" t="s">
        <v>7989</v>
      </c>
      <c r="H442" t="s">
        <v>7990</v>
      </c>
      <c r="I442" t="s">
        <v>7991</v>
      </c>
    </row>
    <row r="443" spans="1:9" x14ac:dyDescent="0.2">
      <c r="A443" t="s">
        <v>397</v>
      </c>
      <c r="B443" t="s">
        <v>398</v>
      </c>
      <c r="C443" t="s">
        <v>25</v>
      </c>
      <c r="D443" t="s">
        <v>400</v>
      </c>
      <c r="E443" t="str">
        <f>HYPERLINK("/pdf/2023_10_3390_en16134838_a_review_of_cybersecurity_concerns_for_transactive_energy_markets.pdf","open")</f>
        <v>open</v>
      </c>
      <c r="F443" t="s">
        <v>7130</v>
      </c>
      <c r="G443" t="s">
        <v>1571</v>
      </c>
      <c r="I443" t="s">
        <v>7158</v>
      </c>
    </row>
    <row r="444" spans="1:9" x14ac:dyDescent="0.2">
      <c r="A444" t="s">
        <v>397</v>
      </c>
      <c r="B444" t="s">
        <v>398</v>
      </c>
      <c r="C444" t="s">
        <v>25</v>
      </c>
      <c r="D444" t="s">
        <v>400</v>
      </c>
      <c r="E444" t="str">
        <f>HYPERLINK("/pdf/2023_10_3390_en16134838_a_review_of_cybersecurity_concerns_for_transactive_energy_markets.pdf","open")</f>
        <v>open</v>
      </c>
      <c r="F444" t="s">
        <v>7130</v>
      </c>
      <c r="G444" t="s">
        <v>7159</v>
      </c>
      <c r="I444" t="s">
        <v>7992</v>
      </c>
    </row>
    <row r="445" spans="1:9" x14ac:dyDescent="0.2">
      <c r="A445" t="s">
        <v>402</v>
      </c>
      <c r="B445" t="s">
        <v>403</v>
      </c>
      <c r="C445" t="s">
        <v>136</v>
      </c>
      <c r="D445" t="s">
        <v>405</v>
      </c>
      <c r="E445" t="str">
        <f>HYPERLINK("/pdf/2019_10_1109_compsac_2019_00118_ctrl_alt_led_leaking_data_from_air_gapped_computers_via_keyboard_leds.pdf","open")</f>
        <v>open</v>
      </c>
      <c r="F445" t="s">
        <v>7119</v>
      </c>
      <c r="G445" t="s">
        <v>7993</v>
      </c>
      <c r="H445" t="s">
        <v>7994</v>
      </c>
      <c r="I445" t="s">
        <v>7178</v>
      </c>
    </row>
    <row r="446" spans="1:9" x14ac:dyDescent="0.2">
      <c r="A446" t="s">
        <v>402</v>
      </c>
      <c r="B446" t="s">
        <v>403</v>
      </c>
      <c r="C446" t="s">
        <v>136</v>
      </c>
      <c r="D446" t="s">
        <v>405</v>
      </c>
      <c r="E446" t="str">
        <f>HYPERLINK("/pdf/2019_10_1109_compsac_2019_00118_ctrl_alt_led_leaking_data_from_air_gapped_computers_via_keyboard_leds.pdf","open")</f>
        <v>open</v>
      </c>
      <c r="F446" t="s">
        <v>7119</v>
      </c>
      <c r="G446" t="s">
        <v>7183</v>
      </c>
      <c r="H446" t="s">
        <v>7995</v>
      </c>
      <c r="I446" t="s">
        <v>7178</v>
      </c>
    </row>
    <row r="447" spans="1:9" x14ac:dyDescent="0.2">
      <c r="A447" t="s">
        <v>402</v>
      </c>
      <c r="B447" t="s">
        <v>403</v>
      </c>
      <c r="C447" t="s">
        <v>136</v>
      </c>
      <c r="D447" t="s">
        <v>405</v>
      </c>
      <c r="E447" t="str">
        <f>HYPERLINK("/pdf/2019_10_1109_compsac_2019_00118_ctrl_alt_led_leaking_data_from_air_gapped_computers_via_keyboard_leds.pdf","open")</f>
        <v>open</v>
      </c>
      <c r="F447" t="s">
        <v>7119</v>
      </c>
      <c r="G447" t="s">
        <v>7996</v>
      </c>
      <c r="H447" t="s">
        <v>7997</v>
      </c>
      <c r="I447" t="s">
        <v>7178</v>
      </c>
    </row>
    <row r="448" spans="1:9" x14ac:dyDescent="0.2">
      <c r="A448" t="s">
        <v>402</v>
      </c>
      <c r="B448" t="s">
        <v>403</v>
      </c>
      <c r="C448" t="s">
        <v>136</v>
      </c>
      <c r="D448" t="s">
        <v>405</v>
      </c>
      <c r="E448" t="str">
        <f>HYPERLINK("/pdf/2019_10_1109_compsac_2019_00118_ctrl_alt_led_leaking_data_from_air_gapped_computers_via_keyboard_leds.pdf","open")</f>
        <v>open</v>
      </c>
      <c r="F448" t="s">
        <v>7130</v>
      </c>
      <c r="G448" t="s">
        <v>7998</v>
      </c>
      <c r="I448" t="s">
        <v>7999</v>
      </c>
    </row>
    <row r="449" spans="1:9" x14ac:dyDescent="0.2">
      <c r="A449" t="s">
        <v>407</v>
      </c>
      <c r="B449" t="s">
        <v>408</v>
      </c>
      <c r="C449" t="s">
        <v>12</v>
      </c>
      <c r="D449" t="s">
        <v>410</v>
      </c>
      <c r="E449" t="str">
        <f t="shared" ref="E449:E454" si="37">HYPERLINK("/pdf/2018_10.1109_iccnc.2018.8390242_Don't_Be_Surprised__I_See_Your_Mobile_App_Stealing_Your_Data.pdf","open")</f>
        <v>open</v>
      </c>
      <c r="F449" t="s">
        <v>7119</v>
      </c>
      <c r="G449" t="s">
        <v>8000</v>
      </c>
      <c r="H449" t="s">
        <v>8001</v>
      </c>
      <c r="I449" t="s">
        <v>7225</v>
      </c>
    </row>
    <row r="450" spans="1:9" x14ac:dyDescent="0.2">
      <c r="A450" t="s">
        <v>407</v>
      </c>
      <c r="B450" t="s">
        <v>408</v>
      </c>
      <c r="C450" t="s">
        <v>12</v>
      </c>
      <c r="D450" t="s">
        <v>410</v>
      </c>
      <c r="E450" t="str">
        <f t="shared" si="37"/>
        <v>open</v>
      </c>
      <c r="F450" t="s">
        <v>7119</v>
      </c>
      <c r="G450" t="s">
        <v>8002</v>
      </c>
      <c r="H450" t="s">
        <v>8003</v>
      </c>
      <c r="I450" t="s">
        <v>8004</v>
      </c>
    </row>
    <row r="451" spans="1:9" x14ac:dyDescent="0.2">
      <c r="A451" t="s">
        <v>407</v>
      </c>
      <c r="B451" t="s">
        <v>408</v>
      </c>
      <c r="C451" t="s">
        <v>12</v>
      </c>
      <c r="D451" t="s">
        <v>410</v>
      </c>
      <c r="E451" t="str">
        <f t="shared" si="37"/>
        <v>open</v>
      </c>
      <c r="F451" t="s">
        <v>7119</v>
      </c>
      <c r="G451" t="s">
        <v>8005</v>
      </c>
      <c r="H451" t="s">
        <v>8006</v>
      </c>
      <c r="I451" t="s">
        <v>7416</v>
      </c>
    </row>
    <row r="452" spans="1:9" x14ac:dyDescent="0.2">
      <c r="A452" t="s">
        <v>407</v>
      </c>
      <c r="B452" t="s">
        <v>408</v>
      </c>
      <c r="C452" t="s">
        <v>12</v>
      </c>
      <c r="D452" t="s">
        <v>410</v>
      </c>
      <c r="E452" t="str">
        <f t="shared" si="37"/>
        <v>open</v>
      </c>
      <c r="F452" t="s">
        <v>7119</v>
      </c>
      <c r="G452" t="s">
        <v>8007</v>
      </c>
      <c r="H452" t="s">
        <v>8008</v>
      </c>
      <c r="I452" t="s">
        <v>7307</v>
      </c>
    </row>
    <row r="453" spans="1:9" x14ac:dyDescent="0.2">
      <c r="A453" t="s">
        <v>407</v>
      </c>
      <c r="B453" t="s">
        <v>408</v>
      </c>
      <c r="C453" t="s">
        <v>12</v>
      </c>
      <c r="D453" t="s">
        <v>410</v>
      </c>
      <c r="E453" t="str">
        <f t="shared" si="37"/>
        <v>open</v>
      </c>
      <c r="F453" t="s">
        <v>7130</v>
      </c>
      <c r="G453" t="s">
        <v>7203</v>
      </c>
      <c r="I453" t="s">
        <v>8009</v>
      </c>
    </row>
    <row r="454" spans="1:9" x14ac:dyDescent="0.2">
      <c r="A454" t="s">
        <v>407</v>
      </c>
      <c r="B454" t="s">
        <v>408</v>
      </c>
      <c r="C454" t="s">
        <v>12</v>
      </c>
      <c r="D454" t="s">
        <v>410</v>
      </c>
      <c r="E454" t="str">
        <f t="shared" si="37"/>
        <v>open</v>
      </c>
      <c r="F454" t="s">
        <v>7130</v>
      </c>
      <c r="G454" t="s">
        <v>7124</v>
      </c>
      <c r="I454" t="s">
        <v>8010</v>
      </c>
    </row>
    <row r="455" spans="1:9" x14ac:dyDescent="0.2">
      <c r="A455" t="s">
        <v>412</v>
      </c>
      <c r="B455" t="s">
        <v>11</v>
      </c>
      <c r="C455" t="s">
        <v>12</v>
      </c>
      <c r="D455" t="s">
        <v>14</v>
      </c>
      <c r="E455" t="str">
        <f t="shared" ref="E455:E460" si="38">HYPERLINK("/pdf/2018_10_1007_978_1_4842_3700_7_defending_iot_infrastructures_with_the_raspberry_pi_monitoring_and_detecting_nefarious_be.pdf","open")</f>
        <v>open</v>
      </c>
      <c r="F455" t="s">
        <v>7119</v>
      </c>
      <c r="G455" t="s">
        <v>8011</v>
      </c>
      <c r="H455" t="s">
        <v>8012</v>
      </c>
      <c r="I455" t="s">
        <v>8013</v>
      </c>
    </row>
    <row r="456" spans="1:9" x14ac:dyDescent="0.2">
      <c r="A456" t="s">
        <v>412</v>
      </c>
      <c r="B456" t="s">
        <v>11</v>
      </c>
      <c r="C456" t="s">
        <v>12</v>
      </c>
      <c r="D456" t="s">
        <v>14</v>
      </c>
      <c r="E456" t="str">
        <f t="shared" si="38"/>
        <v>open</v>
      </c>
      <c r="F456" t="s">
        <v>7119</v>
      </c>
      <c r="G456" t="s">
        <v>8014</v>
      </c>
      <c r="H456" t="s">
        <v>8015</v>
      </c>
      <c r="I456" t="s">
        <v>8013</v>
      </c>
    </row>
    <row r="457" spans="1:9" x14ac:dyDescent="0.2">
      <c r="A457" t="s">
        <v>412</v>
      </c>
      <c r="B457" t="s">
        <v>11</v>
      </c>
      <c r="C457" t="s">
        <v>12</v>
      </c>
      <c r="D457" t="s">
        <v>14</v>
      </c>
      <c r="E457" t="str">
        <f t="shared" si="38"/>
        <v>open</v>
      </c>
      <c r="F457" t="s">
        <v>7119</v>
      </c>
      <c r="G457" t="s">
        <v>8016</v>
      </c>
      <c r="H457" t="s">
        <v>8017</v>
      </c>
      <c r="I457" t="s">
        <v>8018</v>
      </c>
    </row>
    <row r="458" spans="1:9" x14ac:dyDescent="0.2">
      <c r="A458" t="s">
        <v>412</v>
      </c>
      <c r="B458" t="s">
        <v>11</v>
      </c>
      <c r="C458" t="s">
        <v>12</v>
      </c>
      <c r="D458" t="s">
        <v>14</v>
      </c>
      <c r="E458" t="str">
        <f t="shared" si="38"/>
        <v>open</v>
      </c>
      <c r="F458" t="s">
        <v>7119</v>
      </c>
      <c r="G458" t="s">
        <v>8019</v>
      </c>
      <c r="H458" t="s">
        <v>8020</v>
      </c>
      <c r="I458" t="s">
        <v>8021</v>
      </c>
    </row>
    <row r="459" spans="1:9" x14ac:dyDescent="0.2">
      <c r="A459" t="s">
        <v>412</v>
      </c>
      <c r="B459" t="s">
        <v>11</v>
      </c>
      <c r="C459" t="s">
        <v>12</v>
      </c>
      <c r="D459" t="s">
        <v>14</v>
      </c>
      <c r="E459" t="str">
        <f t="shared" si="38"/>
        <v>open</v>
      </c>
      <c r="F459" t="s">
        <v>7130</v>
      </c>
      <c r="G459" t="s">
        <v>7131</v>
      </c>
      <c r="I459" t="s">
        <v>8022</v>
      </c>
    </row>
    <row r="460" spans="1:9" x14ac:dyDescent="0.2">
      <c r="A460" t="s">
        <v>412</v>
      </c>
      <c r="B460" t="s">
        <v>11</v>
      </c>
      <c r="C460" t="s">
        <v>12</v>
      </c>
      <c r="D460" t="s">
        <v>14</v>
      </c>
      <c r="E460" t="str">
        <f t="shared" si="38"/>
        <v>open</v>
      </c>
      <c r="F460" t="s">
        <v>7130</v>
      </c>
      <c r="G460" t="s">
        <v>7215</v>
      </c>
      <c r="I460" t="s">
        <v>8023</v>
      </c>
    </row>
    <row r="461" spans="1:9" x14ac:dyDescent="0.2">
      <c r="A461" t="s">
        <v>415</v>
      </c>
      <c r="B461" t="s">
        <v>416</v>
      </c>
      <c r="C461" t="s">
        <v>19</v>
      </c>
      <c r="D461" t="s">
        <v>418</v>
      </c>
      <c r="E461" t="str">
        <f>HYPERLINK("/pdf/2025_10.1007_s10586-025-05591-8_RF-FedAvg__Federated_learning-based_random_forest_model_for_intrusion_detection_in_wireless_sensor_networks.pdf","open")</f>
        <v>open</v>
      </c>
      <c r="F461" t="s">
        <v>7119</v>
      </c>
      <c r="G461" t="s">
        <v>7173</v>
      </c>
      <c r="H461" t="s">
        <v>8024</v>
      </c>
      <c r="I461" t="s">
        <v>8025</v>
      </c>
    </row>
    <row r="462" spans="1:9" x14ac:dyDescent="0.2">
      <c r="A462" t="s">
        <v>415</v>
      </c>
      <c r="B462" t="s">
        <v>416</v>
      </c>
      <c r="C462" t="s">
        <v>19</v>
      </c>
      <c r="D462" t="s">
        <v>418</v>
      </c>
      <c r="E462" t="str">
        <f>HYPERLINK("/pdf/2025_10.1007_s10586-025-05591-8_RF-FedAvg__Federated_learning-based_random_forest_model_for_intrusion_detection_in_wireless_sensor_networks.pdf","open")</f>
        <v>open</v>
      </c>
      <c r="F462" t="s">
        <v>7119</v>
      </c>
      <c r="G462" t="s">
        <v>7380</v>
      </c>
      <c r="H462" t="s">
        <v>8026</v>
      </c>
      <c r="I462" t="s">
        <v>7178</v>
      </c>
    </row>
    <row r="463" spans="1:9" x14ac:dyDescent="0.2">
      <c r="A463" t="s">
        <v>415</v>
      </c>
      <c r="B463" t="s">
        <v>416</v>
      </c>
      <c r="C463" t="s">
        <v>19</v>
      </c>
      <c r="D463" t="s">
        <v>418</v>
      </c>
      <c r="E463" t="str">
        <f>HYPERLINK("/pdf/2025_10.1007_s10586-025-05591-8_RF-FedAvg__Federated_learning-based_random_forest_model_for_intrusion_detection_in_wireless_sensor_networks.pdf","open")</f>
        <v>open</v>
      </c>
      <c r="F463" t="s">
        <v>7119</v>
      </c>
      <c r="G463" t="s">
        <v>8027</v>
      </c>
      <c r="H463" t="s">
        <v>8028</v>
      </c>
      <c r="I463" t="s">
        <v>7178</v>
      </c>
    </row>
    <row r="464" spans="1:9" x14ac:dyDescent="0.2">
      <c r="A464" t="s">
        <v>415</v>
      </c>
      <c r="B464" t="s">
        <v>416</v>
      </c>
      <c r="C464" t="s">
        <v>19</v>
      </c>
      <c r="D464" t="s">
        <v>418</v>
      </c>
      <c r="E464" t="str">
        <f>HYPERLINK("/pdf/2025_10.1007_s10586-025-05591-8_RF-FedAvg__Federated_learning-based_random_forest_model_for_intrusion_detection_in_wireless_sensor_networks.pdf","open")</f>
        <v>open</v>
      </c>
      <c r="F464" t="s">
        <v>7130</v>
      </c>
      <c r="G464" t="s">
        <v>7173</v>
      </c>
      <c r="I464" t="s">
        <v>8029</v>
      </c>
    </row>
    <row r="465" spans="1:9" x14ac:dyDescent="0.2">
      <c r="A465" t="s">
        <v>415</v>
      </c>
      <c r="B465" t="s">
        <v>416</v>
      </c>
      <c r="C465" t="s">
        <v>19</v>
      </c>
      <c r="D465" t="s">
        <v>418</v>
      </c>
      <c r="E465" t="str">
        <f>HYPERLINK("/pdf/2025_10.1007_s10586-025-05591-8_RF-FedAvg__Federated_learning-based_random_forest_model_for_intrusion_detection_in_wireless_sensor_networks.pdf","open")</f>
        <v>open</v>
      </c>
      <c r="F465" t="s">
        <v>7130</v>
      </c>
      <c r="G465" t="s">
        <v>7406</v>
      </c>
      <c r="I465" t="s">
        <v>8030</v>
      </c>
    </row>
    <row r="466" spans="1:9" x14ac:dyDescent="0.2">
      <c r="A466" t="s">
        <v>420</v>
      </c>
      <c r="B466" t="s">
        <v>421</v>
      </c>
      <c r="C466" t="s">
        <v>19</v>
      </c>
      <c r="D466" t="s">
        <v>423</v>
      </c>
      <c r="E466" t="str">
        <f>HYPERLINK("/pdf/2025_10.1109_tifs.2025.3607271_The_Gradient_Puppeteer__Adversarial_Domination_in_Gradient_Leakage_Attacks_Through_Model_Poisoning.pdf","open")</f>
        <v>open</v>
      </c>
      <c r="F466" t="s">
        <v>7119</v>
      </c>
      <c r="G466" t="s">
        <v>8031</v>
      </c>
      <c r="H466" t="s">
        <v>8032</v>
      </c>
      <c r="I466" t="s">
        <v>8033</v>
      </c>
    </row>
    <row r="467" spans="1:9" x14ac:dyDescent="0.2">
      <c r="A467" t="s">
        <v>420</v>
      </c>
      <c r="B467" t="s">
        <v>421</v>
      </c>
      <c r="C467" t="s">
        <v>19</v>
      </c>
      <c r="D467" t="s">
        <v>423</v>
      </c>
      <c r="E467" t="str">
        <f>HYPERLINK("/pdf/2025_10.1109_tifs.2025.3607271_The_Gradient_Puppeteer__Adversarial_Domination_in_Gradient_Leakage_Attacks_Through_Model_Poisoning.pdf","open")</f>
        <v>open</v>
      </c>
      <c r="F467" t="s">
        <v>7119</v>
      </c>
      <c r="G467" t="s">
        <v>8034</v>
      </c>
      <c r="H467" t="s">
        <v>8035</v>
      </c>
      <c r="I467" t="s">
        <v>8036</v>
      </c>
    </row>
    <row r="468" spans="1:9" x14ac:dyDescent="0.2">
      <c r="A468" t="s">
        <v>420</v>
      </c>
      <c r="B468" t="s">
        <v>421</v>
      </c>
      <c r="C468" t="s">
        <v>19</v>
      </c>
      <c r="D468" t="s">
        <v>423</v>
      </c>
      <c r="E468" t="str">
        <f>HYPERLINK("/pdf/2025_10.1109_tifs.2025.3607271_The_Gradient_Puppeteer__Adversarial_Domination_in_Gradient_Leakage_Attacks_Through_Model_Poisoning.pdf","open")</f>
        <v>open</v>
      </c>
      <c r="F468" t="s">
        <v>7119</v>
      </c>
      <c r="G468" t="s">
        <v>8037</v>
      </c>
      <c r="H468" t="s">
        <v>8038</v>
      </c>
      <c r="I468" t="s">
        <v>8039</v>
      </c>
    </row>
    <row r="469" spans="1:9" x14ac:dyDescent="0.2">
      <c r="A469" t="s">
        <v>420</v>
      </c>
      <c r="B469" t="s">
        <v>421</v>
      </c>
      <c r="C469" t="s">
        <v>19</v>
      </c>
      <c r="D469" t="s">
        <v>423</v>
      </c>
      <c r="E469" t="str">
        <f>HYPERLINK("/pdf/2025_10.1109_tifs.2025.3607271_The_Gradient_Puppeteer__Adversarial_Domination_in_Gradient_Leakage_Attacks_Through_Model_Poisoning.pdf","open")</f>
        <v>open</v>
      </c>
      <c r="F469" t="s">
        <v>7130</v>
      </c>
      <c r="G469" t="s">
        <v>1584</v>
      </c>
      <c r="I469" t="s">
        <v>8040</v>
      </c>
    </row>
    <row r="470" spans="1:9" x14ac:dyDescent="0.2">
      <c r="A470" t="s">
        <v>420</v>
      </c>
      <c r="B470" t="s">
        <v>421</v>
      </c>
      <c r="C470" t="s">
        <v>19</v>
      </c>
      <c r="D470" t="s">
        <v>423</v>
      </c>
      <c r="E470" t="str">
        <f>HYPERLINK("/pdf/2025_10.1109_tifs.2025.3607271_The_Gradient_Puppeteer__Adversarial_Domination_in_Gradient_Leakage_Attacks_Through_Model_Poisoning.pdf","open")</f>
        <v>open</v>
      </c>
      <c r="F470" t="s">
        <v>7130</v>
      </c>
      <c r="G470" t="s">
        <v>1592</v>
      </c>
      <c r="I470" t="s">
        <v>8041</v>
      </c>
    </row>
    <row r="471" spans="1:9" x14ac:dyDescent="0.2">
      <c r="A471" t="s">
        <v>425</v>
      </c>
      <c r="B471" t="s">
        <v>426</v>
      </c>
      <c r="C471" t="s">
        <v>210</v>
      </c>
      <c r="D471" t="s">
        <v>428</v>
      </c>
      <c r="E471" t="str">
        <f>HYPERLINK("/pdf/2015_10.1109_ictc.2015.7354766_Mobile_security_technology_for_smart_devices.pdf","open")</f>
        <v>open</v>
      </c>
      <c r="F471" t="s">
        <v>7119</v>
      </c>
      <c r="G471" t="s">
        <v>8042</v>
      </c>
      <c r="H471" t="s">
        <v>8043</v>
      </c>
      <c r="I471" t="s">
        <v>7307</v>
      </c>
    </row>
    <row r="472" spans="1:9" x14ac:dyDescent="0.2">
      <c r="A472" t="s">
        <v>425</v>
      </c>
      <c r="B472" t="s">
        <v>426</v>
      </c>
      <c r="C472" t="s">
        <v>210</v>
      </c>
      <c r="D472" t="s">
        <v>428</v>
      </c>
      <c r="E472" t="str">
        <f>HYPERLINK("/pdf/2015_10.1109_ictc.2015.7354766_Mobile_security_technology_for_smart_devices.pdf","open")</f>
        <v>open</v>
      </c>
      <c r="F472" t="s">
        <v>7119</v>
      </c>
      <c r="G472" t="s">
        <v>8044</v>
      </c>
      <c r="H472" t="s">
        <v>8045</v>
      </c>
      <c r="I472" t="s">
        <v>7307</v>
      </c>
    </row>
    <row r="473" spans="1:9" x14ac:dyDescent="0.2">
      <c r="A473" t="s">
        <v>425</v>
      </c>
      <c r="B473" t="s">
        <v>426</v>
      </c>
      <c r="C473" t="s">
        <v>210</v>
      </c>
      <c r="D473" t="s">
        <v>428</v>
      </c>
      <c r="E473" t="str">
        <f>HYPERLINK("/pdf/2015_10.1109_ictc.2015.7354766_Mobile_security_technology_for_smart_devices.pdf","open")</f>
        <v>open</v>
      </c>
      <c r="F473" t="s">
        <v>7119</v>
      </c>
      <c r="G473" t="s">
        <v>8046</v>
      </c>
      <c r="H473" t="s">
        <v>8047</v>
      </c>
      <c r="I473" t="s">
        <v>7307</v>
      </c>
    </row>
    <row r="474" spans="1:9" x14ac:dyDescent="0.2">
      <c r="A474" t="s">
        <v>425</v>
      </c>
      <c r="B474" t="s">
        <v>426</v>
      </c>
      <c r="C474" t="s">
        <v>210</v>
      </c>
      <c r="D474" t="s">
        <v>428</v>
      </c>
      <c r="E474" t="str">
        <f>HYPERLINK("/pdf/2015_10.1109_ictc.2015.7354766_Mobile_security_technology_for_smart_devices.pdf","open")</f>
        <v>open</v>
      </c>
      <c r="F474" t="s">
        <v>7130</v>
      </c>
      <c r="G474" t="s">
        <v>7203</v>
      </c>
      <c r="I474" t="s">
        <v>8048</v>
      </c>
    </row>
    <row r="475" spans="1:9" x14ac:dyDescent="0.2">
      <c r="A475" t="s">
        <v>430</v>
      </c>
      <c r="B475" t="s">
        <v>431</v>
      </c>
      <c r="C475" t="s">
        <v>60</v>
      </c>
      <c r="D475" t="s">
        <v>433</v>
      </c>
      <c r="E475" t="str">
        <f t="shared" ref="E475:E481" si="39">HYPERLINK("/pdf/2024_10.1109_icees61253.2024.10776873_A_Comparative_Study_on_the_Impacts_of_Data_Leakage_During_Feature_Selection_using_the_CIC-IoT_2023_Intrusion_D.pdf","open")</f>
        <v>open</v>
      </c>
      <c r="F475" t="s">
        <v>7119</v>
      </c>
      <c r="G475" t="s">
        <v>7319</v>
      </c>
      <c r="H475" t="s">
        <v>8049</v>
      </c>
      <c r="I475" t="s">
        <v>8050</v>
      </c>
    </row>
    <row r="476" spans="1:9" x14ac:dyDescent="0.2">
      <c r="A476" t="s">
        <v>430</v>
      </c>
      <c r="B476" t="s">
        <v>431</v>
      </c>
      <c r="C476" t="s">
        <v>60</v>
      </c>
      <c r="D476" t="s">
        <v>433</v>
      </c>
      <c r="E476" t="str">
        <f t="shared" si="39"/>
        <v>open</v>
      </c>
      <c r="F476" t="s">
        <v>7119</v>
      </c>
      <c r="G476" t="s">
        <v>7173</v>
      </c>
      <c r="H476" t="s">
        <v>8051</v>
      </c>
      <c r="I476" t="s">
        <v>8052</v>
      </c>
    </row>
    <row r="477" spans="1:9" x14ac:dyDescent="0.2">
      <c r="A477" t="s">
        <v>430</v>
      </c>
      <c r="B477" t="s">
        <v>431</v>
      </c>
      <c r="C477" t="s">
        <v>60</v>
      </c>
      <c r="D477" t="s">
        <v>433</v>
      </c>
      <c r="E477" t="str">
        <f t="shared" si="39"/>
        <v>open</v>
      </c>
      <c r="F477" t="s">
        <v>7119</v>
      </c>
      <c r="G477" t="s">
        <v>8053</v>
      </c>
      <c r="H477" t="s">
        <v>8054</v>
      </c>
      <c r="I477" t="s">
        <v>8055</v>
      </c>
    </row>
    <row r="478" spans="1:9" x14ac:dyDescent="0.2">
      <c r="A478" t="s">
        <v>430</v>
      </c>
      <c r="B478" t="s">
        <v>431</v>
      </c>
      <c r="C478" t="s">
        <v>60</v>
      </c>
      <c r="D478" t="s">
        <v>433</v>
      </c>
      <c r="E478" t="str">
        <f t="shared" si="39"/>
        <v>open</v>
      </c>
      <c r="F478" t="s">
        <v>7119</v>
      </c>
      <c r="G478" t="s">
        <v>7330</v>
      </c>
      <c r="H478" t="s">
        <v>8056</v>
      </c>
      <c r="I478" t="s">
        <v>8050</v>
      </c>
    </row>
    <row r="479" spans="1:9" x14ac:dyDescent="0.2">
      <c r="A479" t="s">
        <v>430</v>
      </c>
      <c r="B479" t="s">
        <v>431</v>
      </c>
      <c r="C479" t="s">
        <v>60</v>
      </c>
      <c r="D479" t="s">
        <v>433</v>
      </c>
      <c r="E479" t="str">
        <f t="shared" si="39"/>
        <v>open</v>
      </c>
      <c r="F479" t="s">
        <v>7119</v>
      </c>
      <c r="G479" t="s">
        <v>8057</v>
      </c>
      <c r="H479" t="s">
        <v>8058</v>
      </c>
      <c r="I479" t="s">
        <v>8059</v>
      </c>
    </row>
    <row r="480" spans="1:9" x14ac:dyDescent="0.2">
      <c r="A480" t="s">
        <v>430</v>
      </c>
      <c r="B480" t="s">
        <v>431</v>
      </c>
      <c r="C480" t="s">
        <v>60</v>
      </c>
      <c r="D480" t="s">
        <v>433</v>
      </c>
      <c r="E480" t="str">
        <f t="shared" si="39"/>
        <v>open</v>
      </c>
      <c r="F480" t="s">
        <v>7130</v>
      </c>
      <c r="G480" t="s">
        <v>1597</v>
      </c>
      <c r="I480" t="s">
        <v>8060</v>
      </c>
    </row>
    <row r="481" spans="1:9" x14ac:dyDescent="0.2">
      <c r="A481" t="s">
        <v>430</v>
      </c>
      <c r="B481" t="s">
        <v>431</v>
      </c>
      <c r="C481" t="s">
        <v>60</v>
      </c>
      <c r="D481" t="s">
        <v>433</v>
      </c>
      <c r="E481" t="str">
        <f t="shared" si="39"/>
        <v>open</v>
      </c>
      <c r="F481" t="s">
        <v>7130</v>
      </c>
      <c r="G481" t="s">
        <v>8061</v>
      </c>
      <c r="I481" t="s">
        <v>8052</v>
      </c>
    </row>
    <row r="482" spans="1:9" x14ac:dyDescent="0.2">
      <c r="A482" t="s">
        <v>435</v>
      </c>
      <c r="B482" t="s">
        <v>436</v>
      </c>
      <c r="C482" t="s">
        <v>25</v>
      </c>
      <c r="D482" t="s">
        <v>438</v>
      </c>
      <c r="E482" t="str">
        <f>HYPERLINK("/pdf/2023_10.1109_tnet.2022.3215549_Packet_Chunking_for_File_Detection.pdf","open")</f>
        <v>open</v>
      </c>
      <c r="F482" t="s">
        <v>7119</v>
      </c>
      <c r="G482" t="s">
        <v>8062</v>
      </c>
      <c r="H482" t="s">
        <v>8063</v>
      </c>
      <c r="I482" t="s">
        <v>8064</v>
      </c>
    </row>
    <row r="483" spans="1:9" x14ac:dyDescent="0.2">
      <c r="A483" t="s">
        <v>435</v>
      </c>
      <c r="B483" t="s">
        <v>436</v>
      </c>
      <c r="C483" t="s">
        <v>25</v>
      </c>
      <c r="D483" t="s">
        <v>438</v>
      </c>
      <c r="E483" t="str">
        <f>HYPERLINK("/pdf/2023_10.1109_tnet.2022.3215549_Packet_Chunking_for_File_Detection.pdf","open")</f>
        <v>open</v>
      </c>
      <c r="F483" t="s">
        <v>7119</v>
      </c>
      <c r="G483" t="s">
        <v>8065</v>
      </c>
      <c r="H483" t="s">
        <v>8066</v>
      </c>
      <c r="I483" t="s">
        <v>8064</v>
      </c>
    </row>
    <row r="484" spans="1:9" x14ac:dyDescent="0.2">
      <c r="A484" t="s">
        <v>435</v>
      </c>
      <c r="B484" t="s">
        <v>436</v>
      </c>
      <c r="C484" t="s">
        <v>25</v>
      </c>
      <c r="D484" t="s">
        <v>438</v>
      </c>
      <c r="E484" t="str">
        <f>HYPERLINK("/pdf/2023_10.1109_tnet.2022.3215549_Packet_Chunking_for_File_Detection.pdf","open")</f>
        <v>open</v>
      </c>
      <c r="F484" t="s">
        <v>7119</v>
      </c>
      <c r="G484" t="s">
        <v>8067</v>
      </c>
      <c r="H484" t="s">
        <v>8068</v>
      </c>
      <c r="I484" t="s">
        <v>8064</v>
      </c>
    </row>
    <row r="485" spans="1:9" x14ac:dyDescent="0.2">
      <c r="A485" t="s">
        <v>435</v>
      </c>
      <c r="B485" t="s">
        <v>436</v>
      </c>
      <c r="C485" t="s">
        <v>25</v>
      </c>
      <c r="D485" t="s">
        <v>438</v>
      </c>
      <c r="E485" t="str">
        <f>HYPERLINK("/pdf/2023_10.1109_tnet.2022.3215549_Packet_Chunking_for_File_Detection.pdf","open")</f>
        <v>open</v>
      </c>
      <c r="F485" t="s">
        <v>7130</v>
      </c>
      <c r="G485" t="s">
        <v>7406</v>
      </c>
      <c r="I485" t="s">
        <v>8069</v>
      </c>
    </row>
    <row r="486" spans="1:9" x14ac:dyDescent="0.2">
      <c r="A486" t="s">
        <v>435</v>
      </c>
      <c r="B486" t="s">
        <v>436</v>
      </c>
      <c r="C486" t="s">
        <v>25</v>
      </c>
      <c r="D486" t="s">
        <v>438</v>
      </c>
      <c r="E486" t="str">
        <f>HYPERLINK("/pdf/2023_10.1109_tnet.2022.3215549_Packet_Chunking_for_File_Detection.pdf","open")</f>
        <v>open</v>
      </c>
      <c r="F486" t="s">
        <v>7130</v>
      </c>
      <c r="G486" t="s">
        <v>7862</v>
      </c>
      <c r="I486" t="s">
        <v>8070</v>
      </c>
    </row>
    <row r="487" spans="1:9" x14ac:dyDescent="0.2">
      <c r="A487" t="s">
        <v>440</v>
      </c>
      <c r="B487" t="s">
        <v>441</v>
      </c>
      <c r="C487" t="s">
        <v>54</v>
      </c>
      <c r="D487" t="s">
        <v>443</v>
      </c>
      <c r="E487" t="str">
        <f>HYPERLINK("/pdf/2020_10.1109_tvlsi.2019.2961358_HarTBleed__Using_Hardware_Trojans_for_Data_Leakage_Exploits.pdf","open")</f>
        <v>open</v>
      </c>
      <c r="F487" t="s">
        <v>7119</v>
      </c>
      <c r="G487" t="s">
        <v>8071</v>
      </c>
      <c r="H487" t="s">
        <v>8072</v>
      </c>
      <c r="I487" t="s">
        <v>8073</v>
      </c>
    </row>
    <row r="488" spans="1:9" x14ac:dyDescent="0.2">
      <c r="A488" t="s">
        <v>440</v>
      </c>
      <c r="B488" t="s">
        <v>441</v>
      </c>
      <c r="C488" t="s">
        <v>54</v>
      </c>
      <c r="D488" t="s">
        <v>443</v>
      </c>
      <c r="E488" t="str">
        <f>HYPERLINK("/pdf/2020_10.1109_tvlsi.2019.2961358_HarTBleed__Using_Hardware_Trojans_for_Data_Leakage_Exploits.pdf","open")</f>
        <v>open</v>
      </c>
      <c r="F488" t="s">
        <v>7119</v>
      </c>
      <c r="G488" t="s">
        <v>8074</v>
      </c>
      <c r="H488" t="s">
        <v>8075</v>
      </c>
      <c r="I488" t="s">
        <v>8076</v>
      </c>
    </row>
    <row r="489" spans="1:9" x14ac:dyDescent="0.2">
      <c r="A489" t="s">
        <v>440</v>
      </c>
      <c r="B489" t="s">
        <v>441</v>
      </c>
      <c r="C489" t="s">
        <v>54</v>
      </c>
      <c r="D489" t="s">
        <v>443</v>
      </c>
      <c r="E489" t="str">
        <f>HYPERLINK("/pdf/2020_10.1109_tvlsi.2019.2961358_HarTBleed__Using_Hardware_Trojans_for_Data_Leakage_Exploits.pdf","open")</f>
        <v>open</v>
      </c>
      <c r="F489" t="s">
        <v>7119</v>
      </c>
      <c r="G489" t="s">
        <v>8077</v>
      </c>
      <c r="H489" t="s">
        <v>8078</v>
      </c>
      <c r="I489" t="s">
        <v>8073</v>
      </c>
    </row>
    <row r="490" spans="1:9" x14ac:dyDescent="0.2">
      <c r="A490" t="s">
        <v>440</v>
      </c>
      <c r="B490" t="s">
        <v>441</v>
      </c>
      <c r="C490" t="s">
        <v>54</v>
      </c>
      <c r="D490" t="s">
        <v>443</v>
      </c>
      <c r="E490" t="str">
        <f>HYPERLINK("/pdf/2020_10.1109_tvlsi.2019.2961358_HarTBleed__Using_Hardware_Trojans_for_Data_Leakage_Exploits.pdf","open")</f>
        <v>open</v>
      </c>
      <c r="F490" t="s">
        <v>7130</v>
      </c>
      <c r="G490" t="s">
        <v>1571</v>
      </c>
      <c r="I490" t="s">
        <v>7178</v>
      </c>
    </row>
    <row r="491" spans="1:9" x14ac:dyDescent="0.2">
      <c r="A491" t="s">
        <v>440</v>
      </c>
      <c r="B491" t="s">
        <v>441</v>
      </c>
      <c r="C491" t="s">
        <v>54</v>
      </c>
      <c r="D491" t="s">
        <v>443</v>
      </c>
      <c r="E491" t="str">
        <f>HYPERLINK("/pdf/2020_10.1109_tvlsi.2019.2961358_HarTBleed__Using_Hardware_Trojans_for_Data_Leakage_Exploits.pdf","open")</f>
        <v>open</v>
      </c>
      <c r="F491" t="s">
        <v>7130</v>
      </c>
      <c r="G491" t="s">
        <v>7203</v>
      </c>
      <c r="I491" t="s">
        <v>8079</v>
      </c>
    </row>
    <row r="492" spans="1:9" x14ac:dyDescent="0.2">
      <c r="A492" t="s">
        <v>445</v>
      </c>
      <c r="B492" t="s">
        <v>446</v>
      </c>
      <c r="C492" t="s">
        <v>19</v>
      </c>
      <c r="D492" t="s">
        <v>448</v>
      </c>
      <c r="E492" t="str">
        <f>HYPERLINK("/pdf/2025_10_3991_ijep_v15i4_53127_integration_of_cybersecurity_into_computer_science_teachers_training_a_systematic_review.pdf","open")</f>
        <v>open</v>
      </c>
      <c r="F492" t="s">
        <v>7119</v>
      </c>
      <c r="G492" t="s">
        <v>8080</v>
      </c>
      <c r="H492" t="s">
        <v>8081</v>
      </c>
      <c r="I492" t="s">
        <v>8082</v>
      </c>
    </row>
    <row r="493" spans="1:9" x14ac:dyDescent="0.2">
      <c r="A493" t="s">
        <v>445</v>
      </c>
      <c r="B493" t="s">
        <v>446</v>
      </c>
      <c r="C493" t="s">
        <v>19</v>
      </c>
      <c r="D493" t="s">
        <v>448</v>
      </c>
      <c r="E493" t="str">
        <f>HYPERLINK("/pdf/2025_10_3991_ijep_v15i4_53127_integration_of_cybersecurity_into_computer_science_teachers_training_a_systematic_review.pdf","open")</f>
        <v>open</v>
      </c>
      <c r="F493" t="s">
        <v>7119</v>
      </c>
      <c r="G493" t="s">
        <v>8083</v>
      </c>
      <c r="H493" t="s">
        <v>8084</v>
      </c>
      <c r="I493" t="s">
        <v>8082</v>
      </c>
    </row>
    <row r="494" spans="1:9" x14ac:dyDescent="0.2">
      <c r="A494" t="s">
        <v>445</v>
      </c>
      <c r="B494" t="s">
        <v>446</v>
      </c>
      <c r="C494" t="s">
        <v>19</v>
      </c>
      <c r="D494" t="s">
        <v>448</v>
      </c>
      <c r="E494" t="str">
        <f>HYPERLINK("/pdf/2025_10_3991_ijep_v15i4_53127_integration_of_cybersecurity_into_computer_science_teachers_training_a_systematic_review.pdf","open")</f>
        <v>open</v>
      </c>
      <c r="F494" t="s">
        <v>7130</v>
      </c>
      <c r="G494" t="s">
        <v>1571</v>
      </c>
      <c r="I494" t="s">
        <v>7158</v>
      </c>
    </row>
    <row r="495" spans="1:9" x14ac:dyDescent="0.2">
      <c r="A495" t="s">
        <v>445</v>
      </c>
      <c r="B495" t="s">
        <v>446</v>
      </c>
      <c r="C495" t="s">
        <v>19</v>
      </c>
      <c r="D495" t="s">
        <v>448</v>
      </c>
      <c r="E495" t="str">
        <f>HYPERLINK("/pdf/2025_10_3991_ijep_v15i4_53127_integration_of_cybersecurity_into_computer_science_teachers_training_a_systematic_review.pdf","open")</f>
        <v>open</v>
      </c>
      <c r="F495" t="s">
        <v>7130</v>
      </c>
      <c r="G495" t="s">
        <v>7215</v>
      </c>
      <c r="I495" t="s">
        <v>8085</v>
      </c>
    </row>
    <row r="496" spans="1:9" x14ac:dyDescent="0.2">
      <c r="A496" t="s">
        <v>450</v>
      </c>
      <c r="B496" t="s">
        <v>451</v>
      </c>
      <c r="C496" t="s">
        <v>19</v>
      </c>
      <c r="D496" t="s">
        <v>453</v>
      </c>
      <c r="E496" t="str">
        <f t="shared" ref="E496:E501" si="40">HYPERLINK("/pdf/2025_10.1109_iccad66269.2025.11240658_Invited_Paper__2025_ICCAD_CAD_Contest_Problem_A__Hardware_Trojan_Detection_on_Gate-Level_Netlist.pdf","open")</f>
        <v>open</v>
      </c>
      <c r="F496" t="s">
        <v>7119</v>
      </c>
      <c r="G496" t="s">
        <v>8086</v>
      </c>
      <c r="H496" t="s">
        <v>8087</v>
      </c>
      <c r="I496" t="s">
        <v>7225</v>
      </c>
    </row>
    <row r="497" spans="1:9" x14ac:dyDescent="0.2">
      <c r="A497" t="s">
        <v>450</v>
      </c>
      <c r="B497" t="s">
        <v>451</v>
      </c>
      <c r="C497" t="s">
        <v>19</v>
      </c>
      <c r="D497" t="s">
        <v>453</v>
      </c>
      <c r="E497" t="str">
        <f t="shared" si="40"/>
        <v>open</v>
      </c>
      <c r="F497" t="s">
        <v>7119</v>
      </c>
      <c r="G497" t="s">
        <v>8088</v>
      </c>
      <c r="H497" t="s">
        <v>8089</v>
      </c>
      <c r="I497" t="s">
        <v>8090</v>
      </c>
    </row>
    <row r="498" spans="1:9" x14ac:dyDescent="0.2">
      <c r="A498" t="s">
        <v>450</v>
      </c>
      <c r="B498" t="s">
        <v>451</v>
      </c>
      <c r="C498" t="s">
        <v>19</v>
      </c>
      <c r="D498" t="s">
        <v>453</v>
      </c>
      <c r="E498" t="str">
        <f t="shared" si="40"/>
        <v>open</v>
      </c>
      <c r="F498" t="s">
        <v>7119</v>
      </c>
      <c r="G498" t="s">
        <v>8091</v>
      </c>
      <c r="H498" t="s">
        <v>8092</v>
      </c>
      <c r="I498" t="s">
        <v>8093</v>
      </c>
    </row>
    <row r="499" spans="1:9" x14ac:dyDescent="0.2">
      <c r="A499" t="s">
        <v>450</v>
      </c>
      <c r="B499" t="s">
        <v>451</v>
      </c>
      <c r="C499" t="s">
        <v>19</v>
      </c>
      <c r="D499" t="s">
        <v>453</v>
      </c>
      <c r="E499" t="str">
        <f t="shared" si="40"/>
        <v>open</v>
      </c>
      <c r="F499" t="s">
        <v>7119</v>
      </c>
      <c r="G499" t="s">
        <v>8094</v>
      </c>
      <c r="H499" t="s">
        <v>8095</v>
      </c>
      <c r="I499" t="s">
        <v>8096</v>
      </c>
    </row>
    <row r="500" spans="1:9" x14ac:dyDescent="0.2">
      <c r="A500" t="s">
        <v>450</v>
      </c>
      <c r="B500" t="s">
        <v>451</v>
      </c>
      <c r="C500" t="s">
        <v>19</v>
      </c>
      <c r="D500" t="s">
        <v>453</v>
      </c>
      <c r="E500" t="str">
        <f t="shared" si="40"/>
        <v>open</v>
      </c>
      <c r="F500" t="s">
        <v>7130</v>
      </c>
      <c r="G500" t="s">
        <v>1597</v>
      </c>
      <c r="I500" t="s">
        <v>8097</v>
      </c>
    </row>
    <row r="501" spans="1:9" x14ac:dyDescent="0.2">
      <c r="A501" t="s">
        <v>450</v>
      </c>
      <c r="B501" t="s">
        <v>451</v>
      </c>
      <c r="C501" t="s">
        <v>19</v>
      </c>
      <c r="D501" t="s">
        <v>453</v>
      </c>
      <c r="E501" t="str">
        <f t="shared" si="40"/>
        <v>open</v>
      </c>
      <c r="F501" t="s">
        <v>7130</v>
      </c>
      <c r="G501" t="s">
        <v>7295</v>
      </c>
      <c r="I501" t="s">
        <v>8098</v>
      </c>
    </row>
    <row r="502" spans="1:9" x14ac:dyDescent="0.2">
      <c r="A502" t="s">
        <v>455</v>
      </c>
      <c r="B502" t="s">
        <v>456</v>
      </c>
      <c r="C502" t="s">
        <v>136</v>
      </c>
      <c r="D502" t="s">
        <v>148</v>
      </c>
      <c r="E502" t="str">
        <f>HYPERLINK("/pdf/2019_Testing_the_human_backdoor__organizational_response_to_a_phishing_campaign.pdf","open")</f>
        <v>open</v>
      </c>
      <c r="F502" t="s">
        <v>7119</v>
      </c>
      <c r="G502" t="s">
        <v>8099</v>
      </c>
      <c r="H502" t="s">
        <v>8100</v>
      </c>
      <c r="I502" t="s">
        <v>7151</v>
      </c>
    </row>
    <row r="503" spans="1:9" x14ac:dyDescent="0.2">
      <c r="A503" t="s">
        <v>455</v>
      </c>
      <c r="B503" t="s">
        <v>456</v>
      </c>
      <c r="C503" t="s">
        <v>136</v>
      </c>
      <c r="D503" t="s">
        <v>148</v>
      </c>
      <c r="E503" t="str">
        <f>HYPERLINK("/pdf/2019_Testing_the_human_backdoor__organizational_response_to_a_phishing_campaign.pdf","open")</f>
        <v>open</v>
      </c>
      <c r="F503" t="s">
        <v>7119</v>
      </c>
      <c r="G503" t="s">
        <v>8101</v>
      </c>
      <c r="H503" t="s">
        <v>8102</v>
      </c>
      <c r="I503" t="s">
        <v>7163</v>
      </c>
    </row>
    <row r="504" spans="1:9" x14ac:dyDescent="0.2">
      <c r="A504" t="s">
        <v>455</v>
      </c>
      <c r="B504" t="s">
        <v>456</v>
      </c>
      <c r="C504" t="s">
        <v>136</v>
      </c>
      <c r="D504" t="s">
        <v>148</v>
      </c>
      <c r="E504" t="str">
        <f>HYPERLINK("/pdf/2019_Testing_the_human_backdoor__organizational_response_to_a_phishing_campaign.pdf","open")</f>
        <v>open</v>
      </c>
      <c r="F504" t="s">
        <v>7119</v>
      </c>
      <c r="G504" t="s">
        <v>8103</v>
      </c>
      <c r="H504" t="s">
        <v>8104</v>
      </c>
      <c r="I504" t="s">
        <v>8105</v>
      </c>
    </row>
    <row r="505" spans="1:9" x14ac:dyDescent="0.2">
      <c r="A505" t="s">
        <v>455</v>
      </c>
      <c r="B505" t="s">
        <v>456</v>
      </c>
      <c r="C505" t="s">
        <v>136</v>
      </c>
      <c r="D505" t="s">
        <v>148</v>
      </c>
      <c r="E505" t="str">
        <f>HYPERLINK("/pdf/2019_Testing_the_human_backdoor__organizational_response_to_a_phishing_campaign.pdf","open")</f>
        <v>open</v>
      </c>
      <c r="F505" t="s">
        <v>7130</v>
      </c>
      <c r="G505" t="s">
        <v>1571</v>
      </c>
      <c r="I505" t="s">
        <v>7178</v>
      </c>
    </row>
    <row r="506" spans="1:9" x14ac:dyDescent="0.2">
      <c r="A506" t="s">
        <v>455</v>
      </c>
      <c r="B506" t="s">
        <v>456</v>
      </c>
      <c r="C506" t="s">
        <v>136</v>
      </c>
      <c r="D506" t="s">
        <v>148</v>
      </c>
      <c r="E506" t="str">
        <f>HYPERLINK("/pdf/2019_Testing_the_human_backdoor__organizational_response_to_a_phishing_campaign.pdf","open")</f>
        <v>open</v>
      </c>
      <c r="F506" t="s">
        <v>7130</v>
      </c>
      <c r="G506" t="s">
        <v>7215</v>
      </c>
      <c r="I506" t="s">
        <v>8106</v>
      </c>
    </row>
    <row r="507" spans="1:9" x14ac:dyDescent="0.2">
      <c r="A507" t="s">
        <v>459</v>
      </c>
      <c r="B507" t="s">
        <v>460</v>
      </c>
      <c r="C507" t="s">
        <v>156</v>
      </c>
      <c r="D507" t="s">
        <v>148</v>
      </c>
      <c r="E507" t="str">
        <f>HYPERLINK("/pdf/2013_10_15837_ijccc_2013_1_173_managing_information_technology_security_in_the_context_of_cyber_crime_trends.pdf","open")</f>
        <v>open</v>
      </c>
      <c r="F507" t="s">
        <v>7119</v>
      </c>
      <c r="G507" t="s">
        <v>8107</v>
      </c>
      <c r="H507" t="s">
        <v>8108</v>
      </c>
      <c r="I507" t="s">
        <v>8109</v>
      </c>
    </row>
    <row r="508" spans="1:9" x14ac:dyDescent="0.2">
      <c r="A508" t="s">
        <v>459</v>
      </c>
      <c r="B508" t="s">
        <v>460</v>
      </c>
      <c r="C508" t="s">
        <v>156</v>
      </c>
      <c r="D508" t="s">
        <v>148</v>
      </c>
      <c r="E508" t="str">
        <f>HYPERLINK("/pdf/2013_10_15837_ijccc_2013_1_173_managing_information_technology_security_in_the_context_of_cyber_crime_trends.pdf","open")</f>
        <v>open</v>
      </c>
      <c r="F508" t="s">
        <v>7119</v>
      </c>
      <c r="G508" t="s">
        <v>8110</v>
      </c>
      <c r="H508" t="s">
        <v>8111</v>
      </c>
      <c r="I508" t="s">
        <v>8112</v>
      </c>
    </row>
    <row r="509" spans="1:9" x14ac:dyDescent="0.2">
      <c r="A509" t="s">
        <v>459</v>
      </c>
      <c r="B509" t="s">
        <v>460</v>
      </c>
      <c r="C509" t="s">
        <v>156</v>
      </c>
      <c r="D509" t="s">
        <v>148</v>
      </c>
      <c r="E509" t="str">
        <f>HYPERLINK("/pdf/2013_10_15837_ijccc_2013_1_173_managing_information_technology_security_in_the_context_of_cyber_crime_trends.pdf","open")</f>
        <v>open</v>
      </c>
      <c r="F509" t="s">
        <v>7119</v>
      </c>
      <c r="G509" t="s">
        <v>8113</v>
      </c>
      <c r="H509" t="s">
        <v>8114</v>
      </c>
      <c r="I509" t="s">
        <v>8115</v>
      </c>
    </row>
    <row r="510" spans="1:9" x14ac:dyDescent="0.2">
      <c r="A510" t="s">
        <v>459</v>
      </c>
      <c r="B510" t="s">
        <v>460</v>
      </c>
      <c r="C510" t="s">
        <v>156</v>
      </c>
      <c r="D510" t="s">
        <v>148</v>
      </c>
      <c r="E510" t="str">
        <f>HYPERLINK("/pdf/2013_10_15837_ijccc_2013_1_173_managing_information_technology_security_in_the_context_of_cyber_crime_trends.pdf","open")</f>
        <v>open</v>
      </c>
      <c r="F510" t="s">
        <v>7130</v>
      </c>
      <c r="G510" t="s">
        <v>7215</v>
      </c>
      <c r="I510" t="s">
        <v>8116</v>
      </c>
    </row>
    <row r="511" spans="1:9" x14ac:dyDescent="0.2">
      <c r="A511" t="s">
        <v>459</v>
      </c>
      <c r="B511" t="s">
        <v>460</v>
      </c>
      <c r="C511" t="s">
        <v>156</v>
      </c>
      <c r="D511" t="s">
        <v>148</v>
      </c>
      <c r="E511" t="str">
        <f>HYPERLINK("/pdf/2013_10_15837_ijccc_2013_1_173_managing_information_technology_security_in_the_context_of_cyber_crime_trends.pdf","open")</f>
        <v>open</v>
      </c>
      <c r="F511" t="s">
        <v>7130</v>
      </c>
      <c r="G511" t="s">
        <v>7159</v>
      </c>
      <c r="I511" t="s">
        <v>8117</v>
      </c>
    </row>
    <row r="512" spans="1:9" x14ac:dyDescent="0.2">
      <c r="A512" t="s">
        <v>463</v>
      </c>
      <c r="B512" t="s">
        <v>464</v>
      </c>
      <c r="C512" t="s">
        <v>25</v>
      </c>
      <c r="D512" t="s">
        <v>466</v>
      </c>
      <c r="E512" t="str">
        <f>HYPERLINK("/pdf/2023_10.1109_cymaen57228.2023.10050996_Robotic_Process_Automation_and_Intelligent_Automation_Security_Challenges__A_Review.pdf","open")</f>
        <v>open</v>
      </c>
      <c r="F512" t="s">
        <v>7119</v>
      </c>
      <c r="G512" t="s">
        <v>8118</v>
      </c>
      <c r="H512" t="s">
        <v>8119</v>
      </c>
      <c r="I512" t="s">
        <v>7178</v>
      </c>
    </row>
    <row r="513" spans="1:9" x14ac:dyDescent="0.2">
      <c r="A513" t="s">
        <v>463</v>
      </c>
      <c r="B513" t="s">
        <v>464</v>
      </c>
      <c r="C513" t="s">
        <v>25</v>
      </c>
      <c r="D513" t="s">
        <v>466</v>
      </c>
      <c r="E513" t="str">
        <f>HYPERLINK("/pdf/2023_10.1109_cymaen57228.2023.10050996_Robotic_Process_Automation_and_Intelligent_Automation_Security_Challenges__A_Review.pdf","open")</f>
        <v>open</v>
      </c>
      <c r="F513" t="s">
        <v>7119</v>
      </c>
      <c r="G513" t="s">
        <v>8120</v>
      </c>
      <c r="H513" t="s">
        <v>8121</v>
      </c>
      <c r="I513" t="s">
        <v>7178</v>
      </c>
    </row>
    <row r="514" spans="1:9" x14ac:dyDescent="0.2">
      <c r="A514" t="s">
        <v>463</v>
      </c>
      <c r="B514" t="s">
        <v>464</v>
      </c>
      <c r="C514" t="s">
        <v>25</v>
      </c>
      <c r="D514" t="s">
        <v>466</v>
      </c>
      <c r="E514" t="str">
        <f>HYPERLINK("/pdf/2023_10.1109_cymaen57228.2023.10050996_Robotic_Process_Automation_and_Intelligent_Automation_Security_Challenges__A_Review.pdf","open")</f>
        <v>open</v>
      </c>
      <c r="F514" t="s">
        <v>7119</v>
      </c>
      <c r="G514" t="s">
        <v>7131</v>
      </c>
      <c r="H514" t="s">
        <v>8122</v>
      </c>
      <c r="I514" t="s">
        <v>8123</v>
      </c>
    </row>
    <row r="515" spans="1:9" x14ac:dyDescent="0.2">
      <c r="A515" t="s">
        <v>463</v>
      </c>
      <c r="B515" t="s">
        <v>464</v>
      </c>
      <c r="C515" t="s">
        <v>25</v>
      </c>
      <c r="D515" t="s">
        <v>466</v>
      </c>
      <c r="E515" t="str">
        <f>HYPERLINK("/pdf/2023_10.1109_cymaen57228.2023.10050996_Robotic_Process_Automation_and_Intelligent_Automation_Security_Challenges__A_Review.pdf","open")</f>
        <v>open</v>
      </c>
      <c r="F515" t="s">
        <v>7130</v>
      </c>
      <c r="G515" t="s">
        <v>7215</v>
      </c>
      <c r="I515" t="s">
        <v>8124</v>
      </c>
    </row>
    <row r="516" spans="1:9" x14ac:dyDescent="0.2">
      <c r="A516" t="s">
        <v>463</v>
      </c>
      <c r="B516" t="s">
        <v>464</v>
      </c>
      <c r="C516" t="s">
        <v>25</v>
      </c>
      <c r="D516" t="s">
        <v>466</v>
      </c>
      <c r="E516" t="str">
        <f>HYPERLINK("/pdf/2023_10.1109_cymaen57228.2023.10050996_Robotic_Process_Automation_and_Intelligent_Automation_Security_Challenges__A_Review.pdf","open")</f>
        <v>open</v>
      </c>
      <c r="F516" t="s">
        <v>7130</v>
      </c>
      <c r="G516" t="s">
        <v>7422</v>
      </c>
      <c r="I516" t="s">
        <v>8125</v>
      </c>
    </row>
    <row r="517" spans="1:9" x14ac:dyDescent="0.2">
      <c r="A517" t="s">
        <v>468</v>
      </c>
      <c r="B517" t="s">
        <v>469</v>
      </c>
      <c r="C517" t="s">
        <v>100</v>
      </c>
      <c r="D517" t="s">
        <v>471</v>
      </c>
      <c r="E517" t="str">
        <f>HYPERLINK("/pdf/2022_10.1109_globecom48099.2022.10001017_Intelligent_Ensemble_based_System_for_Rare_Attacks_Dectection_in_IoT_Networks.pdf","open")</f>
        <v>open</v>
      </c>
      <c r="F517" t="s">
        <v>7119</v>
      </c>
      <c r="G517" t="s">
        <v>8126</v>
      </c>
      <c r="H517" t="s">
        <v>8127</v>
      </c>
      <c r="I517" t="s">
        <v>7599</v>
      </c>
    </row>
    <row r="518" spans="1:9" x14ac:dyDescent="0.2">
      <c r="A518" t="s">
        <v>468</v>
      </c>
      <c r="B518" t="s">
        <v>469</v>
      </c>
      <c r="C518" t="s">
        <v>100</v>
      </c>
      <c r="D518" t="s">
        <v>471</v>
      </c>
      <c r="E518" t="str">
        <f>HYPERLINK("/pdf/2022_10.1109_globecom48099.2022.10001017_Intelligent_Ensemble_based_System_for_Rare_Attacks_Dectection_in_IoT_Networks.pdf","open")</f>
        <v>open</v>
      </c>
      <c r="F518" t="s">
        <v>7119</v>
      </c>
      <c r="G518" t="s">
        <v>8128</v>
      </c>
      <c r="H518" t="s">
        <v>8129</v>
      </c>
      <c r="I518" t="s">
        <v>7712</v>
      </c>
    </row>
    <row r="519" spans="1:9" x14ac:dyDescent="0.2">
      <c r="A519" t="s">
        <v>468</v>
      </c>
      <c r="B519" t="s">
        <v>469</v>
      </c>
      <c r="C519" t="s">
        <v>100</v>
      </c>
      <c r="D519" t="s">
        <v>471</v>
      </c>
      <c r="E519" t="str">
        <f>HYPERLINK("/pdf/2022_10.1109_globecom48099.2022.10001017_Intelligent_Ensemble_based_System_for_Rare_Attacks_Dectection_in_IoT_Networks.pdf","open")</f>
        <v>open</v>
      </c>
      <c r="F519" t="s">
        <v>7119</v>
      </c>
      <c r="G519" t="s">
        <v>8130</v>
      </c>
      <c r="H519" t="s">
        <v>8131</v>
      </c>
      <c r="I519" t="s">
        <v>7178</v>
      </c>
    </row>
    <row r="520" spans="1:9" x14ac:dyDescent="0.2">
      <c r="A520" t="s">
        <v>468</v>
      </c>
      <c r="B520" t="s">
        <v>469</v>
      </c>
      <c r="C520" t="s">
        <v>100</v>
      </c>
      <c r="D520" t="s">
        <v>471</v>
      </c>
      <c r="E520" t="str">
        <f>HYPERLINK("/pdf/2022_10.1109_globecom48099.2022.10001017_Intelligent_Ensemble_based_System_for_Rare_Attacks_Dectection_in_IoT_Networks.pdf","open")</f>
        <v>open</v>
      </c>
      <c r="F520" t="s">
        <v>7130</v>
      </c>
      <c r="G520" t="s">
        <v>1597</v>
      </c>
      <c r="I520" t="s">
        <v>8132</v>
      </c>
    </row>
    <row r="521" spans="1:9" x14ac:dyDescent="0.2">
      <c r="A521" t="s">
        <v>468</v>
      </c>
      <c r="B521" t="s">
        <v>469</v>
      </c>
      <c r="C521" t="s">
        <v>100</v>
      </c>
      <c r="D521" t="s">
        <v>471</v>
      </c>
      <c r="E521" t="str">
        <f>HYPERLINK("/pdf/2022_10.1109_globecom48099.2022.10001017_Intelligent_Ensemble_based_System_for_Rare_Attacks_Dectection_in_IoT_Networks.pdf","open")</f>
        <v>open</v>
      </c>
      <c r="F521" t="s">
        <v>7130</v>
      </c>
      <c r="G521" t="s">
        <v>7173</v>
      </c>
      <c r="I521" t="s">
        <v>8133</v>
      </c>
    </row>
    <row r="522" spans="1:9" x14ac:dyDescent="0.2">
      <c r="A522" t="s">
        <v>473</v>
      </c>
      <c r="B522" t="s">
        <v>474</v>
      </c>
      <c r="C522" t="s">
        <v>36</v>
      </c>
      <c r="D522" t="s">
        <v>476</v>
      </c>
      <c r="E522" t="str">
        <f t="shared" ref="E522:E529" si="41">HYPERLINK("/pdf/2022_10.1109_hpcc-dss-smartcity-dependsys53884.2021.00090_Detecting_Data_Leakage_in_DNS_Traffic_based_on_Time_Series_Anomaly_Detection.pdf","open")</f>
        <v>open</v>
      </c>
      <c r="F522" t="s">
        <v>7119</v>
      </c>
      <c r="G522" t="s">
        <v>7349</v>
      </c>
      <c r="H522" t="s">
        <v>8134</v>
      </c>
      <c r="I522" t="s">
        <v>7178</v>
      </c>
    </row>
    <row r="523" spans="1:9" x14ac:dyDescent="0.2">
      <c r="A523" t="s">
        <v>473</v>
      </c>
      <c r="B523" t="s">
        <v>474</v>
      </c>
      <c r="C523" t="s">
        <v>36</v>
      </c>
      <c r="D523" t="s">
        <v>476</v>
      </c>
      <c r="E523" t="str">
        <f t="shared" si="41"/>
        <v>open</v>
      </c>
      <c r="F523" t="s">
        <v>7119</v>
      </c>
      <c r="G523" t="s">
        <v>8135</v>
      </c>
      <c r="H523" t="s">
        <v>8136</v>
      </c>
      <c r="I523" t="s">
        <v>7178</v>
      </c>
    </row>
    <row r="524" spans="1:9" x14ac:dyDescent="0.2">
      <c r="A524" t="s">
        <v>473</v>
      </c>
      <c r="B524" t="s">
        <v>474</v>
      </c>
      <c r="C524" t="s">
        <v>36</v>
      </c>
      <c r="D524" t="s">
        <v>476</v>
      </c>
      <c r="E524" t="str">
        <f t="shared" si="41"/>
        <v>open</v>
      </c>
      <c r="F524" t="s">
        <v>7119</v>
      </c>
      <c r="G524" t="s">
        <v>8137</v>
      </c>
      <c r="H524" t="s">
        <v>8138</v>
      </c>
      <c r="I524" t="s">
        <v>8139</v>
      </c>
    </row>
    <row r="525" spans="1:9" x14ac:dyDescent="0.2">
      <c r="A525" t="s">
        <v>473</v>
      </c>
      <c r="B525" t="s">
        <v>474</v>
      </c>
      <c r="C525" t="s">
        <v>36</v>
      </c>
      <c r="D525" t="s">
        <v>476</v>
      </c>
      <c r="E525" t="str">
        <f t="shared" si="41"/>
        <v>open</v>
      </c>
      <c r="F525" t="s">
        <v>7119</v>
      </c>
      <c r="G525" t="s">
        <v>8140</v>
      </c>
      <c r="H525" t="s">
        <v>8141</v>
      </c>
      <c r="I525" t="s">
        <v>8139</v>
      </c>
    </row>
    <row r="526" spans="1:9" x14ac:dyDescent="0.2">
      <c r="A526" t="s">
        <v>473</v>
      </c>
      <c r="B526" t="s">
        <v>474</v>
      </c>
      <c r="C526" t="s">
        <v>36</v>
      </c>
      <c r="D526" t="s">
        <v>476</v>
      </c>
      <c r="E526" t="str">
        <f t="shared" si="41"/>
        <v>open</v>
      </c>
      <c r="F526" t="s">
        <v>7119</v>
      </c>
      <c r="G526" t="s">
        <v>8142</v>
      </c>
      <c r="H526" t="s">
        <v>8143</v>
      </c>
      <c r="I526" t="s">
        <v>8144</v>
      </c>
    </row>
    <row r="527" spans="1:9" x14ac:dyDescent="0.2">
      <c r="A527" t="s">
        <v>473</v>
      </c>
      <c r="B527" t="s">
        <v>474</v>
      </c>
      <c r="C527" t="s">
        <v>36</v>
      </c>
      <c r="D527" t="s">
        <v>476</v>
      </c>
      <c r="E527" t="str">
        <f t="shared" si="41"/>
        <v>open</v>
      </c>
      <c r="F527" t="s">
        <v>7119</v>
      </c>
      <c r="G527" t="s">
        <v>8145</v>
      </c>
      <c r="H527" t="s">
        <v>8146</v>
      </c>
      <c r="I527" t="s">
        <v>8147</v>
      </c>
    </row>
    <row r="528" spans="1:9" x14ac:dyDescent="0.2">
      <c r="A528" t="s">
        <v>473</v>
      </c>
      <c r="B528" t="s">
        <v>474</v>
      </c>
      <c r="C528" t="s">
        <v>36</v>
      </c>
      <c r="D528" t="s">
        <v>476</v>
      </c>
      <c r="E528" t="str">
        <f t="shared" si="41"/>
        <v>open</v>
      </c>
      <c r="F528" t="s">
        <v>7130</v>
      </c>
      <c r="G528" t="s">
        <v>1597</v>
      </c>
      <c r="I528" t="s">
        <v>8148</v>
      </c>
    </row>
    <row r="529" spans="1:9" x14ac:dyDescent="0.2">
      <c r="A529" t="s">
        <v>473</v>
      </c>
      <c r="B529" t="s">
        <v>474</v>
      </c>
      <c r="C529" t="s">
        <v>36</v>
      </c>
      <c r="D529" t="s">
        <v>476</v>
      </c>
      <c r="E529" t="str">
        <f t="shared" si="41"/>
        <v>open</v>
      </c>
      <c r="F529" t="s">
        <v>7130</v>
      </c>
      <c r="G529" t="s">
        <v>7295</v>
      </c>
      <c r="I529" t="s">
        <v>8149</v>
      </c>
    </row>
    <row r="530" spans="1:9" x14ac:dyDescent="0.2">
      <c r="A530" t="s">
        <v>478</v>
      </c>
      <c r="B530" t="s">
        <v>479</v>
      </c>
      <c r="C530" t="s">
        <v>136</v>
      </c>
      <c r="D530" t="s">
        <v>480</v>
      </c>
      <c r="E530" t="str">
        <f>HYPERLINK("/pdf/2019_10.1016_j.jnca.2019.07.006_Using_malware_for_the_greater_good__Mitigating_data_leakage.pdf","open")</f>
        <v>open</v>
      </c>
      <c r="F530" t="s">
        <v>7119</v>
      </c>
      <c r="G530" t="s">
        <v>8150</v>
      </c>
      <c r="H530" t="s">
        <v>8151</v>
      </c>
      <c r="I530" t="s">
        <v>7151</v>
      </c>
    </row>
    <row r="531" spans="1:9" x14ac:dyDescent="0.2">
      <c r="A531" t="s">
        <v>478</v>
      </c>
      <c r="B531" t="s">
        <v>479</v>
      </c>
      <c r="C531" t="s">
        <v>136</v>
      </c>
      <c r="D531" t="s">
        <v>480</v>
      </c>
      <c r="E531" t="str">
        <f>HYPERLINK("/pdf/2019_10.1016_j.jnca.2019.07.006_Using_malware_for_the_greater_good__Mitigating_data_leakage.pdf","open")</f>
        <v>open</v>
      </c>
      <c r="F531" t="s">
        <v>7119</v>
      </c>
      <c r="G531" t="s">
        <v>8152</v>
      </c>
      <c r="H531" t="s">
        <v>8153</v>
      </c>
      <c r="I531" t="s">
        <v>8154</v>
      </c>
    </row>
    <row r="532" spans="1:9" x14ac:dyDescent="0.2">
      <c r="A532" t="s">
        <v>478</v>
      </c>
      <c r="B532" t="s">
        <v>479</v>
      </c>
      <c r="C532" t="s">
        <v>136</v>
      </c>
      <c r="D532" t="s">
        <v>480</v>
      </c>
      <c r="E532" t="str">
        <f>HYPERLINK("/pdf/2019_10.1016_j.jnca.2019.07.006_Using_malware_for_the_greater_good__Mitigating_data_leakage.pdf","open")</f>
        <v>open</v>
      </c>
      <c r="F532" t="s">
        <v>7119</v>
      </c>
      <c r="G532" t="s">
        <v>8155</v>
      </c>
      <c r="H532" t="s">
        <v>8156</v>
      </c>
      <c r="I532" t="s">
        <v>8157</v>
      </c>
    </row>
    <row r="533" spans="1:9" x14ac:dyDescent="0.2">
      <c r="A533" t="s">
        <v>478</v>
      </c>
      <c r="B533" t="s">
        <v>479</v>
      </c>
      <c r="C533" t="s">
        <v>136</v>
      </c>
      <c r="D533" t="s">
        <v>480</v>
      </c>
      <c r="E533" t="str">
        <f>HYPERLINK("/pdf/2019_10.1016_j.jnca.2019.07.006_Using_malware_for_the_greater_good__Mitigating_data_leakage.pdf","open")</f>
        <v>open</v>
      </c>
      <c r="F533" t="s">
        <v>7130</v>
      </c>
      <c r="G533" t="s">
        <v>1571</v>
      </c>
      <c r="I533" t="s">
        <v>8158</v>
      </c>
    </row>
    <row r="534" spans="1:9" x14ac:dyDescent="0.2">
      <c r="A534" t="s">
        <v>478</v>
      </c>
      <c r="B534" t="s">
        <v>479</v>
      </c>
      <c r="C534" t="s">
        <v>136</v>
      </c>
      <c r="D534" t="s">
        <v>480</v>
      </c>
      <c r="E534" t="str">
        <f>HYPERLINK("/pdf/2019_10.1016_j.jnca.2019.07.006_Using_malware_for_the_greater_good__Mitigating_data_leakage.pdf","open")</f>
        <v>open</v>
      </c>
      <c r="F534" t="s">
        <v>7130</v>
      </c>
      <c r="G534" t="s">
        <v>7406</v>
      </c>
      <c r="I534" t="s">
        <v>8159</v>
      </c>
    </row>
    <row r="535" spans="1:9" x14ac:dyDescent="0.2">
      <c r="A535" t="s">
        <v>482</v>
      </c>
      <c r="B535" t="s">
        <v>483</v>
      </c>
      <c r="C535" t="s">
        <v>363</v>
      </c>
      <c r="D535" t="s">
        <v>482</v>
      </c>
      <c r="E535" t="str">
        <f t="shared" ref="E535:E540" si="42">HYPERLINK("/pdf/2016_10.1002_sec.1531_DAT_detectors__uncovering_TCP_IP_covert_channels_by_descriptive_analytics.pdf","open")</f>
        <v>open</v>
      </c>
      <c r="F535" t="s">
        <v>7119</v>
      </c>
      <c r="G535" t="s">
        <v>8160</v>
      </c>
      <c r="H535" t="s">
        <v>8161</v>
      </c>
      <c r="I535" t="s">
        <v>7178</v>
      </c>
    </row>
    <row r="536" spans="1:9" x14ac:dyDescent="0.2">
      <c r="A536" t="s">
        <v>482</v>
      </c>
      <c r="B536" t="s">
        <v>483</v>
      </c>
      <c r="C536" t="s">
        <v>363</v>
      </c>
      <c r="D536" t="s">
        <v>482</v>
      </c>
      <c r="E536" t="str">
        <f t="shared" si="42"/>
        <v>open</v>
      </c>
      <c r="F536" t="s">
        <v>7119</v>
      </c>
      <c r="G536" t="s">
        <v>8162</v>
      </c>
      <c r="H536" t="s">
        <v>8163</v>
      </c>
      <c r="I536" t="s">
        <v>8164</v>
      </c>
    </row>
    <row r="537" spans="1:9" x14ac:dyDescent="0.2">
      <c r="A537" t="s">
        <v>482</v>
      </c>
      <c r="B537" t="s">
        <v>483</v>
      </c>
      <c r="C537" t="s">
        <v>363</v>
      </c>
      <c r="D537" t="s">
        <v>482</v>
      </c>
      <c r="E537" t="str">
        <f t="shared" si="42"/>
        <v>open</v>
      </c>
      <c r="F537" t="s">
        <v>7119</v>
      </c>
      <c r="G537" t="s">
        <v>8165</v>
      </c>
      <c r="H537" t="s">
        <v>8166</v>
      </c>
      <c r="I537" t="s">
        <v>8167</v>
      </c>
    </row>
    <row r="538" spans="1:9" x14ac:dyDescent="0.2">
      <c r="A538" t="s">
        <v>482</v>
      </c>
      <c r="B538" t="s">
        <v>483</v>
      </c>
      <c r="C538" t="s">
        <v>363</v>
      </c>
      <c r="D538" t="s">
        <v>482</v>
      </c>
      <c r="E538" t="str">
        <f t="shared" si="42"/>
        <v>open</v>
      </c>
      <c r="F538" t="s">
        <v>7119</v>
      </c>
      <c r="G538" t="s">
        <v>8168</v>
      </c>
      <c r="H538" t="s">
        <v>8169</v>
      </c>
      <c r="I538" t="s">
        <v>8170</v>
      </c>
    </row>
    <row r="539" spans="1:9" x14ac:dyDescent="0.2">
      <c r="A539" t="s">
        <v>482</v>
      </c>
      <c r="B539" t="s">
        <v>483</v>
      </c>
      <c r="C539" t="s">
        <v>363</v>
      </c>
      <c r="D539" t="s">
        <v>482</v>
      </c>
      <c r="E539" t="str">
        <f t="shared" si="42"/>
        <v>open</v>
      </c>
      <c r="F539" t="s">
        <v>7130</v>
      </c>
      <c r="G539" t="s">
        <v>7215</v>
      </c>
      <c r="I539" t="s">
        <v>8171</v>
      </c>
    </row>
    <row r="540" spans="1:9" x14ac:dyDescent="0.2">
      <c r="A540" t="s">
        <v>482</v>
      </c>
      <c r="B540" t="s">
        <v>483</v>
      </c>
      <c r="C540" t="s">
        <v>363</v>
      </c>
      <c r="D540" t="s">
        <v>482</v>
      </c>
      <c r="E540" t="str">
        <f t="shared" si="42"/>
        <v>open</v>
      </c>
      <c r="F540" t="s">
        <v>7130</v>
      </c>
      <c r="G540" t="s">
        <v>8172</v>
      </c>
      <c r="I540" t="s">
        <v>8173</v>
      </c>
    </row>
    <row r="541" spans="1:9" x14ac:dyDescent="0.2">
      <c r="A541" t="s">
        <v>486</v>
      </c>
      <c r="B541" t="s">
        <v>487</v>
      </c>
      <c r="C541" t="s">
        <v>25</v>
      </c>
      <c r="D541" t="s">
        <v>489</v>
      </c>
      <c r="E541" t="str">
        <f t="shared" ref="E541:E546" si="43">HYPERLINK("/pdf/2023_10.1007_s10207-022-00651-1_Random_resampling_algorithms_for_addressing_the_imbalanced_dataset_classes_in_insider_threat_detection.pdf","open")</f>
        <v>open</v>
      </c>
      <c r="F541" t="s">
        <v>7119</v>
      </c>
      <c r="G541" t="s">
        <v>7173</v>
      </c>
      <c r="H541" t="s">
        <v>8174</v>
      </c>
      <c r="I541" t="s">
        <v>8175</v>
      </c>
    </row>
    <row r="542" spans="1:9" x14ac:dyDescent="0.2">
      <c r="A542" t="s">
        <v>486</v>
      </c>
      <c r="B542" t="s">
        <v>487</v>
      </c>
      <c r="C542" t="s">
        <v>25</v>
      </c>
      <c r="D542" t="s">
        <v>489</v>
      </c>
      <c r="E542" t="str">
        <f t="shared" si="43"/>
        <v>open</v>
      </c>
      <c r="F542" t="s">
        <v>7119</v>
      </c>
      <c r="G542" t="s">
        <v>7380</v>
      </c>
      <c r="H542" t="s">
        <v>8176</v>
      </c>
      <c r="I542" t="s">
        <v>8177</v>
      </c>
    </row>
    <row r="543" spans="1:9" x14ac:dyDescent="0.2">
      <c r="A543" t="s">
        <v>486</v>
      </c>
      <c r="B543" t="s">
        <v>487</v>
      </c>
      <c r="C543" t="s">
        <v>25</v>
      </c>
      <c r="D543" t="s">
        <v>489</v>
      </c>
      <c r="E543" t="str">
        <f t="shared" si="43"/>
        <v>open</v>
      </c>
      <c r="F543" t="s">
        <v>7119</v>
      </c>
      <c r="G543" t="s">
        <v>8178</v>
      </c>
      <c r="H543" t="s">
        <v>8179</v>
      </c>
      <c r="I543" t="s">
        <v>8180</v>
      </c>
    </row>
    <row r="544" spans="1:9" x14ac:dyDescent="0.2">
      <c r="A544" t="s">
        <v>486</v>
      </c>
      <c r="B544" t="s">
        <v>487</v>
      </c>
      <c r="C544" t="s">
        <v>25</v>
      </c>
      <c r="D544" t="s">
        <v>489</v>
      </c>
      <c r="E544" t="str">
        <f t="shared" si="43"/>
        <v>open</v>
      </c>
      <c r="F544" t="s">
        <v>7119</v>
      </c>
      <c r="G544" t="s">
        <v>8181</v>
      </c>
      <c r="H544" t="s">
        <v>8182</v>
      </c>
      <c r="I544" t="s">
        <v>8183</v>
      </c>
    </row>
    <row r="545" spans="1:9" x14ac:dyDescent="0.2">
      <c r="A545" t="s">
        <v>486</v>
      </c>
      <c r="B545" t="s">
        <v>487</v>
      </c>
      <c r="C545" t="s">
        <v>25</v>
      </c>
      <c r="D545" t="s">
        <v>489</v>
      </c>
      <c r="E545" t="str">
        <f t="shared" si="43"/>
        <v>open</v>
      </c>
      <c r="F545" t="s">
        <v>7130</v>
      </c>
      <c r="G545" t="s">
        <v>1584</v>
      </c>
      <c r="I545" t="s">
        <v>8184</v>
      </c>
    </row>
    <row r="546" spans="1:9" x14ac:dyDescent="0.2">
      <c r="A546" t="s">
        <v>486</v>
      </c>
      <c r="B546" t="s">
        <v>487</v>
      </c>
      <c r="C546" t="s">
        <v>25</v>
      </c>
      <c r="D546" t="s">
        <v>489</v>
      </c>
      <c r="E546" t="str">
        <f t="shared" si="43"/>
        <v>open</v>
      </c>
      <c r="F546" t="s">
        <v>7130</v>
      </c>
      <c r="G546" t="s">
        <v>1597</v>
      </c>
      <c r="I546" t="s">
        <v>8185</v>
      </c>
    </row>
    <row r="547" spans="1:9" x14ac:dyDescent="0.2">
      <c r="A547" t="s">
        <v>491</v>
      </c>
      <c r="B547" t="s">
        <v>492</v>
      </c>
      <c r="C547" t="s">
        <v>19</v>
      </c>
      <c r="D547" t="s">
        <v>494</v>
      </c>
      <c r="E547" t="str">
        <f t="shared" ref="E547:E552" si="44">HYPERLINK("/pdf/2025_10_1038_s41598_025_88856_x_security_verification_framework_for_ndn_access_control.pdf","open")</f>
        <v>open</v>
      </c>
      <c r="F547" t="s">
        <v>7119</v>
      </c>
      <c r="G547" t="s">
        <v>8186</v>
      </c>
      <c r="H547" t="s">
        <v>8187</v>
      </c>
      <c r="I547" t="s">
        <v>8188</v>
      </c>
    </row>
    <row r="548" spans="1:9" x14ac:dyDescent="0.2">
      <c r="A548" t="s">
        <v>491</v>
      </c>
      <c r="B548" t="s">
        <v>492</v>
      </c>
      <c r="C548" t="s">
        <v>19</v>
      </c>
      <c r="D548" t="s">
        <v>494</v>
      </c>
      <c r="E548" t="str">
        <f t="shared" si="44"/>
        <v>open</v>
      </c>
      <c r="F548" t="s">
        <v>7119</v>
      </c>
      <c r="G548" t="s">
        <v>8189</v>
      </c>
      <c r="H548" t="s">
        <v>8190</v>
      </c>
      <c r="I548" t="s">
        <v>8191</v>
      </c>
    </row>
    <row r="549" spans="1:9" x14ac:dyDescent="0.2">
      <c r="A549" t="s">
        <v>491</v>
      </c>
      <c r="B549" t="s">
        <v>492</v>
      </c>
      <c r="C549" t="s">
        <v>19</v>
      </c>
      <c r="D549" t="s">
        <v>494</v>
      </c>
      <c r="E549" t="str">
        <f t="shared" si="44"/>
        <v>open</v>
      </c>
      <c r="F549" t="s">
        <v>7119</v>
      </c>
      <c r="G549" t="s">
        <v>8192</v>
      </c>
      <c r="H549" t="s">
        <v>8193</v>
      </c>
      <c r="I549" t="s">
        <v>8194</v>
      </c>
    </row>
    <row r="550" spans="1:9" x14ac:dyDescent="0.2">
      <c r="A550" t="s">
        <v>491</v>
      </c>
      <c r="B550" t="s">
        <v>492</v>
      </c>
      <c r="C550" t="s">
        <v>19</v>
      </c>
      <c r="D550" t="s">
        <v>494</v>
      </c>
      <c r="E550" t="str">
        <f t="shared" si="44"/>
        <v>open</v>
      </c>
      <c r="F550" t="s">
        <v>7119</v>
      </c>
      <c r="G550" t="s">
        <v>8195</v>
      </c>
      <c r="H550" t="s">
        <v>8196</v>
      </c>
      <c r="I550" t="s">
        <v>7151</v>
      </c>
    </row>
    <row r="551" spans="1:9" x14ac:dyDescent="0.2">
      <c r="A551" t="s">
        <v>491</v>
      </c>
      <c r="B551" t="s">
        <v>492</v>
      </c>
      <c r="C551" t="s">
        <v>19</v>
      </c>
      <c r="D551" t="s">
        <v>494</v>
      </c>
      <c r="E551" t="str">
        <f t="shared" si="44"/>
        <v>open</v>
      </c>
      <c r="F551" t="s">
        <v>7130</v>
      </c>
      <c r="G551" t="s">
        <v>1571</v>
      </c>
      <c r="I551" t="s">
        <v>7178</v>
      </c>
    </row>
    <row r="552" spans="1:9" x14ac:dyDescent="0.2">
      <c r="A552" t="s">
        <v>491</v>
      </c>
      <c r="B552" t="s">
        <v>492</v>
      </c>
      <c r="C552" t="s">
        <v>19</v>
      </c>
      <c r="D552" t="s">
        <v>494</v>
      </c>
      <c r="E552" t="str">
        <f t="shared" si="44"/>
        <v>open</v>
      </c>
      <c r="F552" t="s">
        <v>7130</v>
      </c>
      <c r="G552" t="s">
        <v>1592</v>
      </c>
      <c r="I552" t="s">
        <v>8191</v>
      </c>
    </row>
    <row r="553" spans="1:9" x14ac:dyDescent="0.2">
      <c r="A553" t="s">
        <v>496</v>
      </c>
      <c r="B553" t="s">
        <v>497</v>
      </c>
      <c r="C553" t="s">
        <v>12</v>
      </c>
      <c r="D553" t="s">
        <v>148</v>
      </c>
      <c r="E553" t="str">
        <f>HYPERLINK("/pdf/2018_10.1109_ntms.2018.8328709_On_the_detection_and_handling_of_security_incidents_and_perimeter_breaches_-_A_modular_and_flexible_honeytoken.pdf","open")</f>
        <v>open</v>
      </c>
      <c r="F553" t="s">
        <v>7119</v>
      </c>
      <c r="G553" t="s">
        <v>8197</v>
      </c>
      <c r="H553" t="s">
        <v>8198</v>
      </c>
      <c r="I553" t="s">
        <v>8199</v>
      </c>
    </row>
    <row r="554" spans="1:9" x14ac:dyDescent="0.2">
      <c r="A554" t="s">
        <v>496</v>
      </c>
      <c r="B554" t="s">
        <v>497</v>
      </c>
      <c r="C554" t="s">
        <v>12</v>
      </c>
      <c r="D554" t="s">
        <v>148</v>
      </c>
      <c r="E554" t="str">
        <f>HYPERLINK("/pdf/2018_10.1109_ntms.2018.8328709_On_the_detection_and_handling_of_security_incidents_and_perimeter_breaches_-_A_modular_and_flexible_honeytoken.pdf","open")</f>
        <v>open</v>
      </c>
      <c r="F554" t="s">
        <v>7119</v>
      </c>
      <c r="G554" t="s">
        <v>8200</v>
      </c>
      <c r="H554" t="s">
        <v>8201</v>
      </c>
      <c r="I554" t="s">
        <v>8202</v>
      </c>
    </row>
    <row r="555" spans="1:9" x14ac:dyDescent="0.2">
      <c r="A555" t="s">
        <v>496</v>
      </c>
      <c r="B555" t="s">
        <v>497</v>
      </c>
      <c r="C555" t="s">
        <v>12</v>
      </c>
      <c r="D555" t="s">
        <v>148</v>
      </c>
      <c r="E555" t="str">
        <f>HYPERLINK("/pdf/2018_10.1109_ntms.2018.8328709_On_the_detection_and_handling_of_security_incidents_and_perimeter_breaches_-_A_modular_and_flexible_honeytoken.pdf","open")</f>
        <v>open</v>
      </c>
      <c r="F555" t="s">
        <v>7119</v>
      </c>
      <c r="G555" t="s">
        <v>8203</v>
      </c>
      <c r="H555" t="s">
        <v>8204</v>
      </c>
      <c r="I555" t="s">
        <v>8205</v>
      </c>
    </row>
    <row r="556" spans="1:9" x14ac:dyDescent="0.2">
      <c r="A556" t="s">
        <v>496</v>
      </c>
      <c r="B556" t="s">
        <v>497</v>
      </c>
      <c r="C556" t="s">
        <v>12</v>
      </c>
      <c r="D556" t="s">
        <v>148</v>
      </c>
      <c r="E556" t="str">
        <f>HYPERLINK("/pdf/2018_10.1109_ntms.2018.8328709_On_the_detection_and_handling_of_security_incidents_and_perimeter_breaches_-_A_modular_and_flexible_honeytoken.pdf","open")</f>
        <v>open</v>
      </c>
      <c r="F556" t="s">
        <v>7130</v>
      </c>
      <c r="G556" t="s">
        <v>7203</v>
      </c>
      <c r="I556" t="s">
        <v>8206</v>
      </c>
    </row>
    <row r="557" spans="1:9" x14ac:dyDescent="0.2">
      <c r="A557" t="s">
        <v>496</v>
      </c>
      <c r="B557" t="s">
        <v>497</v>
      </c>
      <c r="C557" t="s">
        <v>12</v>
      </c>
      <c r="D557" t="s">
        <v>148</v>
      </c>
      <c r="E557" t="str">
        <f>HYPERLINK("/pdf/2018_10.1109_ntms.2018.8328709_On_the_detection_and_handling_of_security_incidents_and_perimeter_breaches_-_A_modular_and_flexible_honeytoken.pdf","open")</f>
        <v>open</v>
      </c>
      <c r="F557" t="s">
        <v>7130</v>
      </c>
      <c r="G557" t="s">
        <v>8207</v>
      </c>
      <c r="I557" t="s">
        <v>8208</v>
      </c>
    </row>
    <row r="558" spans="1:9" x14ac:dyDescent="0.2">
      <c r="A558" t="s">
        <v>500</v>
      </c>
      <c r="B558" t="s">
        <v>501</v>
      </c>
      <c r="C558" t="s">
        <v>48</v>
      </c>
      <c r="D558" t="s">
        <v>503</v>
      </c>
      <c r="E558" t="str">
        <f>HYPERLINK("/pdf/2026_10.1007_s10922-026-10034-9_Robust_CNN-Based_Threat_Detection_in_SDN-Enabled_IoT_Networks.pdf","open")</f>
        <v>open</v>
      </c>
      <c r="F558" t="s">
        <v>7119</v>
      </c>
      <c r="G558" t="s">
        <v>7319</v>
      </c>
      <c r="H558" t="s">
        <v>8209</v>
      </c>
      <c r="I558" t="s">
        <v>7178</v>
      </c>
    </row>
    <row r="559" spans="1:9" x14ac:dyDescent="0.2">
      <c r="A559" t="s">
        <v>500</v>
      </c>
      <c r="B559" t="s">
        <v>501</v>
      </c>
      <c r="C559" t="s">
        <v>48</v>
      </c>
      <c r="D559" t="s">
        <v>503</v>
      </c>
      <c r="E559" t="str">
        <f>HYPERLINK("/pdf/2026_10.1007_s10922-026-10034-9_Robust_CNN-Based_Threat_Detection_in_SDN-Enabled_IoT_Networks.pdf","open")</f>
        <v>open</v>
      </c>
      <c r="F559" t="s">
        <v>7119</v>
      </c>
      <c r="G559" t="s">
        <v>7173</v>
      </c>
      <c r="H559" t="s">
        <v>8210</v>
      </c>
      <c r="I559" t="s">
        <v>8025</v>
      </c>
    </row>
    <row r="560" spans="1:9" x14ac:dyDescent="0.2">
      <c r="A560" t="s">
        <v>500</v>
      </c>
      <c r="B560" t="s">
        <v>501</v>
      </c>
      <c r="C560" t="s">
        <v>48</v>
      </c>
      <c r="D560" t="s">
        <v>503</v>
      </c>
      <c r="E560" t="str">
        <f>HYPERLINK("/pdf/2026_10.1007_s10922-026-10034-9_Robust_CNN-Based_Threat_Detection_in_SDN-Enabled_IoT_Networks.pdf","open")</f>
        <v>open</v>
      </c>
      <c r="F560" t="s">
        <v>7119</v>
      </c>
      <c r="G560" t="s">
        <v>8211</v>
      </c>
      <c r="H560" t="s">
        <v>8212</v>
      </c>
      <c r="I560" t="s">
        <v>7178</v>
      </c>
    </row>
    <row r="561" spans="1:9" x14ac:dyDescent="0.2">
      <c r="A561" t="s">
        <v>500</v>
      </c>
      <c r="B561" t="s">
        <v>501</v>
      </c>
      <c r="C561" t="s">
        <v>48</v>
      </c>
      <c r="D561" t="s">
        <v>503</v>
      </c>
      <c r="E561" t="str">
        <f>HYPERLINK("/pdf/2026_10.1007_s10922-026-10034-9_Robust_CNN-Based_Threat_Detection_in_SDN-Enabled_IoT_Networks.pdf","open")</f>
        <v>open</v>
      </c>
      <c r="F561" t="s">
        <v>7119</v>
      </c>
      <c r="G561" t="s">
        <v>8213</v>
      </c>
      <c r="H561" t="s">
        <v>8214</v>
      </c>
      <c r="I561" t="s">
        <v>8215</v>
      </c>
    </row>
    <row r="562" spans="1:9" x14ac:dyDescent="0.2">
      <c r="A562" t="s">
        <v>500</v>
      </c>
      <c r="B562" t="s">
        <v>501</v>
      </c>
      <c r="C562" t="s">
        <v>48</v>
      </c>
      <c r="D562" t="s">
        <v>503</v>
      </c>
      <c r="E562" t="str">
        <f>HYPERLINK("/pdf/2026_10.1007_s10922-026-10034-9_Robust_CNN-Based_Threat_Detection_in_SDN-Enabled_IoT_Networks.pdf","open")</f>
        <v>open</v>
      </c>
      <c r="F562" t="s">
        <v>7130</v>
      </c>
      <c r="G562" t="s">
        <v>1584</v>
      </c>
      <c r="I562" t="s">
        <v>8216</v>
      </c>
    </row>
    <row r="563" spans="1:9" x14ac:dyDescent="0.2">
      <c r="A563" t="s">
        <v>505</v>
      </c>
      <c r="B563" t="s">
        <v>506</v>
      </c>
      <c r="C563" t="s">
        <v>100</v>
      </c>
      <c r="D563" t="s">
        <v>508</v>
      </c>
      <c r="E563" t="str">
        <f>HYPERLINK("/pdf/2022_10.1109_aie57029.2022.00096_AI_in_Blockchain_Towards_Realizing_Cyber_Security.pdf","open")</f>
        <v>open</v>
      </c>
      <c r="F563" t="s">
        <v>7119</v>
      </c>
      <c r="G563" t="s">
        <v>8217</v>
      </c>
      <c r="H563" t="s">
        <v>8218</v>
      </c>
      <c r="I563" t="s">
        <v>7151</v>
      </c>
    </row>
    <row r="564" spans="1:9" x14ac:dyDescent="0.2">
      <c r="A564" t="s">
        <v>505</v>
      </c>
      <c r="B564" t="s">
        <v>506</v>
      </c>
      <c r="C564" t="s">
        <v>100</v>
      </c>
      <c r="D564" t="s">
        <v>508</v>
      </c>
      <c r="E564" t="str">
        <f>HYPERLINK("/pdf/2022_10.1109_aie57029.2022.00096_AI_in_Blockchain_Towards_Realizing_Cyber_Security.pdf","open")</f>
        <v>open</v>
      </c>
      <c r="F564" t="s">
        <v>7119</v>
      </c>
      <c r="G564" t="s">
        <v>8219</v>
      </c>
      <c r="H564" t="s">
        <v>8220</v>
      </c>
      <c r="I564" t="s">
        <v>8221</v>
      </c>
    </row>
    <row r="565" spans="1:9" x14ac:dyDescent="0.2">
      <c r="A565" t="s">
        <v>505</v>
      </c>
      <c r="B565" t="s">
        <v>506</v>
      </c>
      <c r="C565" t="s">
        <v>100</v>
      </c>
      <c r="D565" t="s">
        <v>508</v>
      </c>
      <c r="E565" t="str">
        <f>HYPERLINK("/pdf/2022_10.1109_aie57029.2022.00096_AI_in_Blockchain_Towards_Realizing_Cyber_Security.pdf","open")</f>
        <v>open</v>
      </c>
      <c r="F565" t="s">
        <v>7130</v>
      </c>
      <c r="G565" t="s">
        <v>7215</v>
      </c>
      <c r="I565" t="s">
        <v>8222</v>
      </c>
    </row>
    <row r="566" spans="1:9" x14ac:dyDescent="0.2">
      <c r="A566" t="s">
        <v>510</v>
      </c>
      <c r="B566" t="s">
        <v>511</v>
      </c>
      <c r="C566" t="s">
        <v>210</v>
      </c>
      <c r="D566" t="s">
        <v>513</v>
      </c>
      <c r="E566" t="str">
        <f>HYPERLINK("/pdf/2015_10.1109_trustcom.2015.464_Detecting_data_semantic__A_data_leakage_prevention_approach.pdf","open")</f>
        <v>open</v>
      </c>
      <c r="F566" t="s">
        <v>7119</v>
      </c>
      <c r="G566" t="s">
        <v>8223</v>
      </c>
      <c r="H566" t="s">
        <v>8224</v>
      </c>
      <c r="I566" t="s">
        <v>8225</v>
      </c>
    </row>
    <row r="567" spans="1:9" x14ac:dyDescent="0.2">
      <c r="A567" t="s">
        <v>510</v>
      </c>
      <c r="B567" t="s">
        <v>511</v>
      </c>
      <c r="C567" t="s">
        <v>210</v>
      </c>
      <c r="D567" t="s">
        <v>513</v>
      </c>
      <c r="E567" t="str">
        <f>HYPERLINK("/pdf/2015_10.1109_trustcom.2015.464_Detecting_data_semantic__A_data_leakage_prevention_approach.pdf","open")</f>
        <v>open</v>
      </c>
      <c r="F567" t="s">
        <v>7119</v>
      </c>
      <c r="G567" t="s">
        <v>8226</v>
      </c>
      <c r="H567" t="s">
        <v>8227</v>
      </c>
      <c r="I567" t="s">
        <v>7332</v>
      </c>
    </row>
    <row r="568" spans="1:9" x14ac:dyDescent="0.2">
      <c r="A568" t="s">
        <v>510</v>
      </c>
      <c r="B568" t="s">
        <v>511</v>
      </c>
      <c r="C568" t="s">
        <v>210</v>
      </c>
      <c r="D568" t="s">
        <v>513</v>
      </c>
      <c r="E568" t="str">
        <f>HYPERLINK("/pdf/2015_10.1109_trustcom.2015.464_Detecting_data_semantic__A_data_leakage_prevention_approach.pdf","open")</f>
        <v>open</v>
      </c>
      <c r="F568" t="s">
        <v>7119</v>
      </c>
      <c r="G568" t="s">
        <v>8228</v>
      </c>
      <c r="H568" t="s">
        <v>8229</v>
      </c>
      <c r="I568" t="s">
        <v>8230</v>
      </c>
    </row>
    <row r="569" spans="1:9" x14ac:dyDescent="0.2">
      <c r="A569" t="s">
        <v>510</v>
      </c>
      <c r="B569" t="s">
        <v>511</v>
      </c>
      <c r="C569" t="s">
        <v>210</v>
      </c>
      <c r="D569" t="s">
        <v>513</v>
      </c>
      <c r="E569" t="str">
        <f>HYPERLINK("/pdf/2015_10.1109_trustcom.2015.464_Detecting_data_semantic__A_data_leakage_prevention_approach.pdf","open")</f>
        <v>open</v>
      </c>
      <c r="F569" t="s">
        <v>7130</v>
      </c>
      <c r="G569" t="s">
        <v>1597</v>
      </c>
      <c r="I569" t="s">
        <v>8231</v>
      </c>
    </row>
    <row r="570" spans="1:9" x14ac:dyDescent="0.2">
      <c r="A570" t="s">
        <v>510</v>
      </c>
      <c r="B570" t="s">
        <v>511</v>
      </c>
      <c r="C570" t="s">
        <v>210</v>
      </c>
      <c r="D570" t="s">
        <v>513</v>
      </c>
      <c r="E570" t="str">
        <f>HYPERLINK("/pdf/2015_10.1109_trustcom.2015.464_Detecting_data_semantic__A_data_leakage_prevention_approach.pdf","open")</f>
        <v>open</v>
      </c>
      <c r="F570" t="s">
        <v>7130</v>
      </c>
      <c r="G570" t="s">
        <v>7173</v>
      </c>
      <c r="I570" t="s">
        <v>8232</v>
      </c>
    </row>
    <row r="571" spans="1:9" x14ac:dyDescent="0.2">
      <c r="A571" t="s">
        <v>271</v>
      </c>
      <c r="B571" t="s">
        <v>272</v>
      </c>
      <c r="C571" t="s">
        <v>60</v>
      </c>
      <c r="D571" t="s">
        <v>274</v>
      </c>
      <c r="E571" t="str">
        <f>HYPERLINK("/pdf/2024_10_4108_eetsis_5028_determining_intrusion_attacks_against_online_applications_using_cloud_based_data.pdf","open")</f>
        <v>open</v>
      </c>
      <c r="F571" t="s">
        <v>7119</v>
      </c>
      <c r="G571" t="s">
        <v>8233</v>
      </c>
      <c r="H571" t="s">
        <v>7686</v>
      </c>
      <c r="I571" t="s">
        <v>7178</v>
      </c>
    </row>
    <row r="572" spans="1:9" x14ac:dyDescent="0.2">
      <c r="A572" t="s">
        <v>271</v>
      </c>
      <c r="B572" t="s">
        <v>272</v>
      </c>
      <c r="C572" t="s">
        <v>60</v>
      </c>
      <c r="D572" t="s">
        <v>274</v>
      </c>
      <c r="E572" t="str">
        <f>HYPERLINK("/pdf/2024_10_4108_eetsis_5028_determining_intrusion_attacks_against_online_applications_using_cloud_based_data.pdf","open")</f>
        <v>open</v>
      </c>
      <c r="F572" t="s">
        <v>7119</v>
      </c>
      <c r="G572" t="s">
        <v>8234</v>
      </c>
      <c r="H572" t="s">
        <v>7688</v>
      </c>
      <c r="I572" t="s">
        <v>7504</v>
      </c>
    </row>
    <row r="573" spans="1:9" x14ac:dyDescent="0.2">
      <c r="A573" t="s">
        <v>271</v>
      </c>
      <c r="B573" t="s">
        <v>272</v>
      </c>
      <c r="C573" t="s">
        <v>60</v>
      </c>
      <c r="D573" t="s">
        <v>274</v>
      </c>
      <c r="E573" t="str">
        <f>HYPERLINK("/pdf/2024_10_4108_eetsis_5028_determining_intrusion_attacks_against_online_applications_using_cloud_based_data.pdf","open")</f>
        <v>open</v>
      </c>
      <c r="F573" t="s">
        <v>7119</v>
      </c>
      <c r="G573" t="s">
        <v>8235</v>
      </c>
      <c r="H573" t="s">
        <v>8236</v>
      </c>
      <c r="I573" t="s">
        <v>8237</v>
      </c>
    </row>
    <row r="574" spans="1:9" x14ac:dyDescent="0.2">
      <c r="A574" t="s">
        <v>271</v>
      </c>
      <c r="B574" t="s">
        <v>272</v>
      </c>
      <c r="C574" t="s">
        <v>60</v>
      </c>
      <c r="D574" t="s">
        <v>274</v>
      </c>
      <c r="E574" t="str">
        <f>HYPERLINK("/pdf/2024_10_4108_eetsis_5028_determining_intrusion_attacks_against_online_applications_using_cloud_based_data.pdf","open")</f>
        <v>open</v>
      </c>
      <c r="F574" t="s">
        <v>7130</v>
      </c>
      <c r="G574" t="s">
        <v>7693</v>
      </c>
      <c r="I574" t="s">
        <v>7694</v>
      </c>
    </row>
    <row r="575" spans="1:9" x14ac:dyDescent="0.2">
      <c r="A575" t="s">
        <v>271</v>
      </c>
      <c r="B575" t="s">
        <v>272</v>
      </c>
      <c r="C575" t="s">
        <v>60</v>
      </c>
      <c r="D575" t="s">
        <v>274</v>
      </c>
      <c r="E575" t="str">
        <f>HYPERLINK("/pdf/2024_10_4108_eetsis_5028_determining_intrusion_attacks_against_online_applications_using_cloud_based_data.pdf","open")</f>
        <v>open</v>
      </c>
      <c r="F575" t="s">
        <v>7130</v>
      </c>
      <c r="G575" t="s">
        <v>7215</v>
      </c>
      <c r="I575" t="s">
        <v>7695</v>
      </c>
    </row>
    <row r="576" spans="1:9" x14ac:dyDescent="0.2">
      <c r="A576" t="s">
        <v>516</v>
      </c>
      <c r="B576" t="s">
        <v>517</v>
      </c>
      <c r="C576" t="s">
        <v>518</v>
      </c>
      <c r="D576" t="s">
        <v>148</v>
      </c>
      <c r="E576" t="str">
        <f>HYPERLINK("/pdf/2021_Exploring_the_information_security_practices_on_the_smartphone_by_the_postgraduate_students_of_University_of_C.pdf","open")</f>
        <v>open</v>
      </c>
      <c r="F576" t="s">
        <v>7119</v>
      </c>
      <c r="G576" t="s">
        <v>7450</v>
      </c>
      <c r="H576" t="s">
        <v>8238</v>
      </c>
      <c r="I576" t="s">
        <v>7178</v>
      </c>
    </row>
    <row r="577" spans="1:9" x14ac:dyDescent="0.2">
      <c r="A577" t="s">
        <v>516</v>
      </c>
      <c r="B577" t="s">
        <v>517</v>
      </c>
      <c r="C577" t="s">
        <v>518</v>
      </c>
      <c r="D577" t="s">
        <v>148</v>
      </c>
      <c r="E577" t="str">
        <f>HYPERLINK("/pdf/2021_Exploring_the_information_security_practices_on_the_smartphone_by_the_postgraduate_students_of_University_of_C.pdf","open")</f>
        <v>open</v>
      </c>
      <c r="F577" t="s">
        <v>7119</v>
      </c>
      <c r="G577" t="s">
        <v>8239</v>
      </c>
      <c r="H577" t="s">
        <v>8240</v>
      </c>
      <c r="I577" t="s">
        <v>7178</v>
      </c>
    </row>
    <row r="578" spans="1:9" x14ac:dyDescent="0.2">
      <c r="A578" t="s">
        <v>516</v>
      </c>
      <c r="B578" t="s">
        <v>517</v>
      </c>
      <c r="C578" t="s">
        <v>518</v>
      </c>
      <c r="D578" t="s">
        <v>148</v>
      </c>
      <c r="E578" t="str">
        <f>HYPERLINK("/pdf/2021_Exploring_the_information_security_practices_on_the_smartphone_by_the_postgraduate_students_of_University_of_C.pdf","open")</f>
        <v>open</v>
      </c>
      <c r="F578" t="s">
        <v>7130</v>
      </c>
      <c r="G578" t="s">
        <v>1571</v>
      </c>
      <c r="I578" t="s">
        <v>8241</v>
      </c>
    </row>
    <row r="579" spans="1:9" x14ac:dyDescent="0.2">
      <c r="A579" t="s">
        <v>521</v>
      </c>
      <c r="B579" t="s">
        <v>522</v>
      </c>
      <c r="C579" t="s">
        <v>25</v>
      </c>
      <c r="D579" t="s">
        <v>524</v>
      </c>
      <c r="E579" t="str">
        <f t="shared" ref="E579:E584" si="45">HYPERLINK("/pdf/2023_10.1109_pcems58491.2023.10136083_Automated_Detection_of_Hardware_Trojans_using_Power_Side-Channel_Analysis_and_VGG-Net.pdf","open")</f>
        <v>open</v>
      </c>
      <c r="F579" t="s">
        <v>7119</v>
      </c>
      <c r="G579" t="s">
        <v>8242</v>
      </c>
      <c r="H579" t="s">
        <v>8243</v>
      </c>
      <c r="I579" t="s">
        <v>8244</v>
      </c>
    </row>
    <row r="580" spans="1:9" x14ac:dyDescent="0.2">
      <c r="A580" t="s">
        <v>521</v>
      </c>
      <c r="B580" t="s">
        <v>522</v>
      </c>
      <c r="C580" t="s">
        <v>25</v>
      </c>
      <c r="D580" t="s">
        <v>524</v>
      </c>
      <c r="E580" t="str">
        <f t="shared" si="45"/>
        <v>open</v>
      </c>
      <c r="F580" t="s">
        <v>7119</v>
      </c>
      <c r="G580" t="s">
        <v>8245</v>
      </c>
      <c r="H580" t="s">
        <v>8246</v>
      </c>
      <c r="I580" t="s">
        <v>8247</v>
      </c>
    </row>
    <row r="581" spans="1:9" x14ac:dyDescent="0.2">
      <c r="A581" t="s">
        <v>521</v>
      </c>
      <c r="B581" t="s">
        <v>522</v>
      </c>
      <c r="C581" t="s">
        <v>25</v>
      </c>
      <c r="D581" t="s">
        <v>524</v>
      </c>
      <c r="E581" t="str">
        <f t="shared" si="45"/>
        <v>open</v>
      </c>
      <c r="F581" t="s">
        <v>7119</v>
      </c>
      <c r="G581" t="s">
        <v>8248</v>
      </c>
      <c r="H581" t="s">
        <v>8249</v>
      </c>
      <c r="I581" t="s">
        <v>8244</v>
      </c>
    </row>
    <row r="582" spans="1:9" x14ac:dyDescent="0.2">
      <c r="A582" t="s">
        <v>521</v>
      </c>
      <c r="B582" t="s">
        <v>522</v>
      </c>
      <c r="C582" t="s">
        <v>25</v>
      </c>
      <c r="D582" t="s">
        <v>524</v>
      </c>
      <c r="E582" t="str">
        <f t="shared" si="45"/>
        <v>open</v>
      </c>
      <c r="F582" t="s">
        <v>7119</v>
      </c>
      <c r="G582" t="s">
        <v>8250</v>
      </c>
      <c r="H582" t="s">
        <v>8251</v>
      </c>
      <c r="I582" t="s">
        <v>8244</v>
      </c>
    </row>
    <row r="583" spans="1:9" x14ac:dyDescent="0.2">
      <c r="A583" t="s">
        <v>521</v>
      </c>
      <c r="B583" t="s">
        <v>522</v>
      </c>
      <c r="C583" t="s">
        <v>25</v>
      </c>
      <c r="D583" t="s">
        <v>524</v>
      </c>
      <c r="E583" t="str">
        <f t="shared" si="45"/>
        <v>open</v>
      </c>
      <c r="F583" t="s">
        <v>7130</v>
      </c>
      <c r="G583" t="s">
        <v>1584</v>
      </c>
      <c r="I583" t="s">
        <v>8252</v>
      </c>
    </row>
    <row r="584" spans="1:9" x14ac:dyDescent="0.2">
      <c r="A584" t="s">
        <v>521</v>
      </c>
      <c r="B584" t="s">
        <v>522</v>
      </c>
      <c r="C584" t="s">
        <v>25</v>
      </c>
      <c r="D584" t="s">
        <v>524</v>
      </c>
      <c r="E584" t="str">
        <f t="shared" si="45"/>
        <v>open</v>
      </c>
      <c r="F584" t="s">
        <v>7130</v>
      </c>
      <c r="G584" t="s">
        <v>1592</v>
      </c>
      <c r="I584" t="s">
        <v>8253</v>
      </c>
    </row>
    <row r="585" spans="1:9" x14ac:dyDescent="0.2">
      <c r="A585" t="s">
        <v>526</v>
      </c>
      <c r="B585" t="s">
        <v>527</v>
      </c>
      <c r="C585" t="s">
        <v>25</v>
      </c>
      <c r="D585" t="s">
        <v>529</v>
      </c>
      <c r="E585" t="str">
        <f>HYPERLINK("/pdf/2023_10.1109_sin60469.2023.10474998_Exploring_the_Evolving_Landscape_of_API_Security_Challenges_in_the_Healthcare_Industry__A_Comprehensive_Review.pdf","open")</f>
        <v>open</v>
      </c>
      <c r="F585" t="s">
        <v>7119</v>
      </c>
      <c r="G585" t="s">
        <v>8254</v>
      </c>
      <c r="H585" t="s">
        <v>8255</v>
      </c>
      <c r="I585" t="s">
        <v>7178</v>
      </c>
    </row>
    <row r="586" spans="1:9" x14ac:dyDescent="0.2">
      <c r="A586" t="s">
        <v>526</v>
      </c>
      <c r="B586" t="s">
        <v>527</v>
      </c>
      <c r="C586" t="s">
        <v>25</v>
      </c>
      <c r="D586" t="s">
        <v>529</v>
      </c>
      <c r="E586" t="str">
        <f>HYPERLINK("/pdf/2023_10.1109_sin60469.2023.10474998_Exploring_the_Evolving_Landscape_of_API_Security_Challenges_in_the_Healthcare_Industry__A_Comprehensive_Review.pdf","open")</f>
        <v>open</v>
      </c>
      <c r="F586" t="s">
        <v>7119</v>
      </c>
      <c r="G586" t="s">
        <v>8256</v>
      </c>
      <c r="H586" t="s">
        <v>8257</v>
      </c>
      <c r="I586" t="s">
        <v>8258</v>
      </c>
    </row>
    <row r="587" spans="1:9" x14ac:dyDescent="0.2">
      <c r="A587" t="s">
        <v>526</v>
      </c>
      <c r="B587" t="s">
        <v>527</v>
      </c>
      <c r="C587" t="s">
        <v>25</v>
      </c>
      <c r="D587" t="s">
        <v>529</v>
      </c>
      <c r="E587" t="str">
        <f>HYPERLINK("/pdf/2023_10.1109_sin60469.2023.10474998_Exploring_the_Evolving_Landscape_of_API_Security_Challenges_in_the_Healthcare_Industry__A_Comprehensive_Review.pdf","open")</f>
        <v>open</v>
      </c>
      <c r="F587" t="s">
        <v>7119</v>
      </c>
      <c r="G587" t="s">
        <v>8259</v>
      </c>
      <c r="H587" t="s">
        <v>8260</v>
      </c>
      <c r="I587" t="s">
        <v>8261</v>
      </c>
    </row>
    <row r="588" spans="1:9" x14ac:dyDescent="0.2">
      <c r="A588" t="s">
        <v>526</v>
      </c>
      <c r="B588" t="s">
        <v>527</v>
      </c>
      <c r="C588" t="s">
        <v>25</v>
      </c>
      <c r="D588" t="s">
        <v>529</v>
      </c>
      <c r="E588" t="str">
        <f>HYPERLINK("/pdf/2023_10.1109_sin60469.2023.10474998_Exploring_the_Evolving_Landscape_of_API_Security_Challenges_in_the_Healthcare_Industry__A_Comprehensive_Review.pdf","open")</f>
        <v>open</v>
      </c>
      <c r="F588" t="s">
        <v>7130</v>
      </c>
      <c r="G588" t="s">
        <v>1571</v>
      </c>
      <c r="I588" t="s">
        <v>7178</v>
      </c>
    </row>
    <row r="589" spans="1:9" x14ac:dyDescent="0.2">
      <c r="A589" t="s">
        <v>526</v>
      </c>
      <c r="B589" t="s">
        <v>527</v>
      </c>
      <c r="C589" t="s">
        <v>25</v>
      </c>
      <c r="D589" t="s">
        <v>529</v>
      </c>
      <c r="E589" t="str">
        <f>HYPERLINK("/pdf/2023_10.1109_sin60469.2023.10474998_Exploring_the_Evolving_Landscape_of_API_Security_Challenges_in_the_Healthcare_Industry__A_Comprehensive_Review.pdf","open")</f>
        <v>open</v>
      </c>
      <c r="F589" t="s">
        <v>7130</v>
      </c>
      <c r="G589" t="s">
        <v>5650</v>
      </c>
      <c r="I589" t="s">
        <v>8262</v>
      </c>
    </row>
    <row r="590" spans="1:9" x14ac:dyDescent="0.2">
      <c r="A590" t="s">
        <v>531</v>
      </c>
      <c r="B590" t="s">
        <v>532</v>
      </c>
      <c r="C590" t="s">
        <v>156</v>
      </c>
      <c r="D590" t="s">
        <v>148</v>
      </c>
      <c r="E590" t="str">
        <f t="shared" ref="E590:E595" si="46">HYPERLINK("/pdf/2013_10_1109_icmla_2013_104_streaming_malware_classification_in_the_presence_of_concept_drift_and_class_imbalance.pdf","open")</f>
        <v>open</v>
      </c>
      <c r="F590" t="s">
        <v>7119</v>
      </c>
      <c r="G590" t="s">
        <v>8263</v>
      </c>
      <c r="H590" t="s">
        <v>8264</v>
      </c>
      <c r="I590" t="s">
        <v>8265</v>
      </c>
    </row>
    <row r="591" spans="1:9" x14ac:dyDescent="0.2">
      <c r="A591" t="s">
        <v>531</v>
      </c>
      <c r="B591" t="s">
        <v>532</v>
      </c>
      <c r="C591" t="s">
        <v>156</v>
      </c>
      <c r="D591" t="s">
        <v>148</v>
      </c>
      <c r="E591" t="str">
        <f t="shared" si="46"/>
        <v>open</v>
      </c>
      <c r="F591" t="s">
        <v>7119</v>
      </c>
      <c r="G591" t="s">
        <v>8266</v>
      </c>
      <c r="H591" t="s">
        <v>8267</v>
      </c>
      <c r="I591" t="s">
        <v>8265</v>
      </c>
    </row>
    <row r="592" spans="1:9" x14ac:dyDescent="0.2">
      <c r="A592" t="s">
        <v>531</v>
      </c>
      <c r="B592" t="s">
        <v>532</v>
      </c>
      <c r="C592" t="s">
        <v>156</v>
      </c>
      <c r="D592" t="s">
        <v>148</v>
      </c>
      <c r="E592" t="str">
        <f t="shared" si="46"/>
        <v>open</v>
      </c>
      <c r="F592" t="s">
        <v>7119</v>
      </c>
      <c r="G592" t="s">
        <v>8268</v>
      </c>
      <c r="H592" t="s">
        <v>8269</v>
      </c>
      <c r="I592" t="s">
        <v>8270</v>
      </c>
    </row>
    <row r="593" spans="1:9" x14ac:dyDescent="0.2">
      <c r="A593" t="s">
        <v>531</v>
      </c>
      <c r="B593" t="s">
        <v>532</v>
      </c>
      <c r="C593" t="s">
        <v>156</v>
      </c>
      <c r="D593" t="s">
        <v>148</v>
      </c>
      <c r="E593" t="str">
        <f t="shared" si="46"/>
        <v>open</v>
      </c>
      <c r="F593" t="s">
        <v>7119</v>
      </c>
      <c r="G593" t="s">
        <v>8181</v>
      </c>
      <c r="H593" t="s">
        <v>8271</v>
      </c>
      <c r="I593" t="s">
        <v>8270</v>
      </c>
    </row>
    <row r="594" spans="1:9" x14ac:dyDescent="0.2">
      <c r="A594" t="s">
        <v>531</v>
      </c>
      <c r="B594" t="s">
        <v>532</v>
      </c>
      <c r="C594" t="s">
        <v>156</v>
      </c>
      <c r="D594" t="s">
        <v>148</v>
      </c>
      <c r="E594" t="str">
        <f t="shared" si="46"/>
        <v>open</v>
      </c>
      <c r="F594" t="s">
        <v>7130</v>
      </c>
      <c r="G594" t="s">
        <v>1584</v>
      </c>
      <c r="I594" t="s">
        <v>8272</v>
      </c>
    </row>
    <row r="595" spans="1:9" x14ac:dyDescent="0.2">
      <c r="A595" t="s">
        <v>531</v>
      </c>
      <c r="B595" t="s">
        <v>532</v>
      </c>
      <c r="C595" t="s">
        <v>156</v>
      </c>
      <c r="D595" t="s">
        <v>148</v>
      </c>
      <c r="E595" t="str">
        <f t="shared" si="46"/>
        <v>open</v>
      </c>
      <c r="F595" t="s">
        <v>7130</v>
      </c>
      <c r="G595" t="s">
        <v>1592</v>
      </c>
      <c r="I595" t="s">
        <v>8273</v>
      </c>
    </row>
    <row r="596" spans="1:9" x14ac:dyDescent="0.2">
      <c r="A596" t="s">
        <v>535</v>
      </c>
      <c r="B596" t="s">
        <v>536</v>
      </c>
      <c r="C596" t="s">
        <v>60</v>
      </c>
      <c r="D596" t="s">
        <v>538</v>
      </c>
      <c r="E596" t="str">
        <f t="shared" ref="E596:E602" si="47">HYPERLINK("/pdf/2023_10_32604_cmes_2023_044169_enhancing_healthcare_data_security_and_disease_detection_using_crossover_based_m.pdf","open")</f>
        <v>open</v>
      </c>
      <c r="F596" t="s">
        <v>7119</v>
      </c>
      <c r="G596" t="s">
        <v>8274</v>
      </c>
      <c r="H596" t="s">
        <v>8275</v>
      </c>
      <c r="I596" t="s">
        <v>7178</v>
      </c>
    </row>
    <row r="597" spans="1:9" x14ac:dyDescent="0.2">
      <c r="A597" t="s">
        <v>535</v>
      </c>
      <c r="B597" t="s">
        <v>536</v>
      </c>
      <c r="C597" t="s">
        <v>60</v>
      </c>
      <c r="D597" t="s">
        <v>538</v>
      </c>
      <c r="E597" t="str">
        <f t="shared" si="47"/>
        <v>open</v>
      </c>
      <c r="F597" t="s">
        <v>7119</v>
      </c>
      <c r="G597" t="s">
        <v>7215</v>
      </c>
      <c r="H597" t="s">
        <v>8276</v>
      </c>
      <c r="I597" t="s">
        <v>7178</v>
      </c>
    </row>
    <row r="598" spans="1:9" x14ac:dyDescent="0.2">
      <c r="A598" t="s">
        <v>535</v>
      </c>
      <c r="B598" t="s">
        <v>536</v>
      </c>
      <c r="C598" t="s">
        <v>60</v>
      </c>
      <c r="D598" t="s">
        <v>538</v>
      </c>
      <c r="E598" t="str">
        <f t="shared" si="47"/>
        <v>open</v>
      </c>
      <c r="F598" t="s">
        <v>7119</v>
      </c>
      <c r="G598" t="s">
        <v>7173</v>
      </c>
      <c r="H598" t="s">
        <v>8277</v>
      </c>
      <c r="I598" t="s">
        <v>8278</v>
      </c>
    </row>
    <row r="599" spans="1:9" x14ac:dyDescent="0.2">
      <c r="A599" t="s">
        <v>535</v>
      </c>
      <c r="B599" t="s">
        <v>536</v>
      </c>
      <c r="C599" t="s">
        <v>60</v>
      </c>
      <c r="D599" t="s">
        <v>538</v>
      </c>
      <c r="E599" t="str">
        <f t="shared" si="47"/>
        <v>open</v>
      </c>
      <c r="F599" t="s">
        <v>7119</v>
      </c>
      <c r="G599" t="s">
        <v>7144</v>
      </c>
      <c r="H599" t="s">
        <v>8279</v>
      </c>
      <c r="I599" t="s">
        <v>7178</v>
      </c>
    </row>
    <row r="600" spans="1:9" x14ac:dyDescent="0.2">
      <c r="A600" t="s">
        <v>535</v>
      </c>
      <c r="B600" t="s">
        <v>536</v>
      </c>
      <c r="C600" t="s">
        <v>60</v>
      </c>
      <c r="D600" t="s">
        <v>538</v>
      </c>
      <c r="E600" t="str">
        <f t="shared" si="47"/>
        <v>open</v>
      </c>
      <c r="F600" t="s">
        <v>7119</v>
      </c>
      <c r="G600" t="s">
        <v>7205</v>
      </c>
      <c r="H600" t="s">
        <v>8280</v>
      </c>
      <c r="I600" t="s">
        <v>8281</v>
      </c>
    </row>
    <row r="601" spans="1:9" x14ac:dyDescent="0.2">
      <c r="A601" t="s">
        <v>535</v>
      </c>
      <c r="B601" t="s">
        <v>536</v>
      </c>
      <c r="C601" t="s">
        <v>60</v>
      </c>
      <c r="D601" t="s">
        <v>538</v>
      </c>
      <c r="E601" t="str">
        <f t="shared" si="47"/>
        <v>open</v>
      </c>
      <c r="F601" t="s">
        <v>7130</v>
      </c>
      <c r="G601" t="s">
        <v>7173</v>
      </c>
      <c r="I601" t="s">
        <v>8282</v>
      </c>
    </row>
    <row r="602" spans="1:9" x14ac:dyDescent="0.2">
      <c r="A602" t="s">
        <v>535</v>
      </c>
      <c r="B602" t="s">
        <v>536</v>
      </c>
      <c r="C602" t="s">
        <v>60</v>
      </c>
      <c r="D602" t="s">
        <v>538</v>
      </c>
      <c r="E602" t="str">
        <f t="shared" si="47"/>
        <v>open</v>
      </c>
      <c r="F602" t="s">
        <v>7130</v>
      </c>
      <c r="G602" t="s">
        <v>7651</v>
      </c>
      <c r="I602" t="s">
        <v>8283</v>
      </c>
    </row>
    <row r="603" spans="1:9" x14ac:dyDescent="0.2">
      <c r="A603" t="s">
        <v>540</v>
      </c>
      <c r="B603" t="s">
        <v>541</v>
      </c>
      <c r="C603" t="s">
        <v>25</v>
      </c>
      <c r="D603" t="s">
        <v>540</v>
      </c>
      <c r="E603" t="str">
        <f>HYPERLINK("/pdf/2024_10_1109_tdsc_2023_3323713_leakage_of_authorization_data_in_iot_device_sharing_new_attacks_and_countermeas.pdf","open")</f>
        <v>open</v>
      </c>
      <c r="F603" t="s">
        <v>7119</v>
      </c>
      <c r="G603" t="s">
        <v>8284</v>
      </c>
      <c r="H603" t="s">
        <v>8285</v>
      </c>
      <c r="I603" t="s">
        <v>7178</v>
      </c>
    </row>
    <row r="604" spans="1:9" x14ac:dyDescent="0.2">
      <c r="A604" t="s">
        <v>540</v>
      </c>
      <c r="B604" t="s">
        <v>541</v>
      </c>
      <c r="C604" t="s">
        <v>25</v>
      </c>
      <c r="D604" t="s">
        <v>540</v>
      </c>
      <c r="E604" t="str">
        <f>HYPERLINK("/pdf/2024_10_1109_tdsc_2023_3323713_leakage_of_authorization_data_in_iot_device_sharing_new_attacks_and_countermeas.pdf","open")</f>
        <v>open</v>
      </c>
      <c r="F604" t="s">
        <v>7119</v>
      </c>
      <c r="G604" t="s">
        <v>8286</v>
      </c>
      <c r="H604" t="s">
        <v>8287</v>
      </c>
      <c r="I604" t="s">
        <v>8288</v>
      </c>
    </row>
    <row r="605" spans="1:9" x14ac:dyDescent="0.2">
      <c r="A605" t="s">
        <v>540</v>
      </c>
      <c r="B605" t="s">
        <v>541</v>
      </c>
      <c r="C605" t="s">
        <v>25</v>
      </c>
      <c r="D605" t="s">
        <v>540</v>
      </c>
      <c r="E605" t="str">
        <f>HYPERLINK("/pdf/2024_10_1109_tdsc_2023_3323713_leakage_of_authorization_data_in_iot_device_sharing_new_attacks_and_countermeas.pdf","open")</f>
        <v>open</v>
      </c>
      <c r="F605" t="s">
        <v>7119</v>
      </c>
      <c r="G605" t="s">
        <v>8289</v>
      </c>
      <c r="H605" t="s">
        <v>8290</v>
      </c>
      <c r="I605" t="s">
        <v>8291</v>
      </c>
    </row>
    <row r="606" spans="1:9" x14ac:dyDescent="0.2">
      <c r="A606" t="s">
        <v>540</v>
      </c>
      <c r="B606" t="s">
        <v>541</v>
      </c>
      <c r="C606" t="s">
        <v>25</v>
      </c>
      <c r="D606" t="s">
        <v>540</v>
      </c>
      <c r="E606" t="str">
        <f>HYPERLINK("/pdf/2024_10_1109_tdsc_2023_3323713_leakage_of_authorization_data_in_iot_device_sharing_new_attacks_and_countermeas.pdf","open")</f>
        <v>open</v>
      </c>
      <c r="F606" t="s">
        <v>7130</v>
      </c>
      <c r="G606" t="s">
        <v>1571</v>
      </c>
      <c r="I606" t="s">
        <v>7713</v>
      </c>
    </row>
    <row r="607" spans="1:9" x14ac:dyDescent="0.2">
      <c r="A607" t="s">
        <v>540</v>
      </c>
      <c r="B607" t="s">
        <v>541</v>
      </c>
      <c r="C607" t="s">
        <v>25</v>
      </c>
      <c r="D607" t="s">
        <v>540</v>
      </c>
      <c r="E607" t="str">
        <f>HYPERLINK("/pdf/2024_10_1109_tdsc_2023_3323713_leakage_of_authorization_data_in_iot_device_sharing_new_attacks_and_countermeas.pdf","open")</f>
        <v>open</v>
      </c>
      <c r="F607" t="s">
        <v>7130</v>
      </c>
      <c r="G607" t="s">
        <v>7183</v>
      </c>
      <c r="I607" t="s">
        <v>8292</v>
      </c>
    </row>
    <row r="608" spans="1:9" x14ac:dyDescent="0.2">
      <c r="A608" t="s">
        <v>544</v>
      </c>
      <c r="B608" t="s">
        <v>545</v>
      </c>
      <c r="C608" t="s">
        <v>156</v>
      </c>
      <c r="D608" t="s">
        <v>547</v>
      </c>
      <c r="E608" t="str">
        <f t="shared" ref="E608:E613" si="48">HYPERLINK("/pdf/2013_10.1109_icspcs.2013.6723919_Adaptable_N-gram_classification_model_for_data_leakage_prevention.pdf","open")</f>
        <v>open</v>
      </c>
      <c r="F608" t="s">
        <v>7119</v>
      </c>
      <c r="G608" t="s">
        <v>8293</v>
      </c>
      <c r="H608" t="s">
        <v>8294</v>
      </c>
      <c r="I608" t="s">
        <v>7178</v>
      </c>
    </row>
    <row r="609" spans="1:9" x14ac:dyDescent="0.2">
      <c r="A609" t="s">
        <v>544</v>
      </c>
      <c r="B609" t="s">
        <v>545</v>
      </c>
      <c r="C609" t="s">
        <v>156</v>
      </c>
      <c r="D609" t="s">
        <v>547</v>
      </c>
      <c r="E609" t="str">
        <f t="shared" si="48"/>
        <v>open</v>
      </c>
      <c r="F609" t="s">
        <v>7119</v>
      </c>
      <c r="G609" t="s">
        <v>8295</v>
      </c>
      <c r="H609" t="s">
        <v>8296</v>
      </c>
      <c r="I609" t="s">
        <v>8297</v>
      </c>
    </row>
    <row r="610" spans="1:9" x14ac:dyDescent="0.2">
      <c r="A610" t="s">
        <v>544</v>
      </c>
      <c r="B610" t="s">
        <v>545</v>
      </c>
      <c r="C610" t="s">
        <v>156</v>
      </c>
      <c r="D610" t="s">
        <v>547</v>
      </c>
      <c r="E610" t="str">
        <f t="shared" si="48"/>
        <v>open</v>
      </c>
      <c r="F610" t="s">
        <v>7119</v>
      </c>
      <c r="G610" t="s">
        <v>8298</v>
      </c>
      <c r="H610" t="s">
        <v>8299</v>
      </c>
      <c r="I610" t="s">
        <v>8297</v>
      </c>
    </row>
    <row r="611" spans="1:9" x14ac:dyDescent="0.2">
      <c r="A611" t="s">
        <v>544</v>
      </c>
      <c r="B611" t="s">
        <v>545</v>
      </c>
      <c r="C611" t="s">
        <v>156</v>
      </c>
      <c r="D611" t="s">
        <v>547</v>
      </c>
      <c r="E611" t="str">
        <f t="shared" si="48"/>
        <v>open</v>
      </c>
      <c r="F611" t="s">
        <v>7119</v>
      </c>
      <c r="G611" t="s">
        <v>8300</v>
      </c>
      <c r="H611" t="s">
        <v>8301</v>
      </c>
      <c r="I611" t="s">
        <v>7712</v>
      </c>
    </row>
    <row r="612" spans="1:9" x14ac:dyDescent="0.2">
      <c r="A612" t="s">
        <v>544</v>
      </c>
      <c r="B612" t="s">
        <v>545</v>
      </c>
      <c r="C612" t="s">
        <v>156</v>
      </c>
      <c r="D612" t="s">
        <v>547</v>
      </c>
      <c r="E612" t="str">
        <f t="shared" si="48"/>
        <v>open</v>
      </c>
      <c r="F612" t="s">
        <v>7119</v>
      </c>
      <c r="G612" t="s">
        <v>8302</v>
      </c>
      <c r="H612" t="s">
        <v>8303</v>
      </c>
      <c r="I612" t="s">
        <v>7712</v>
      </c>
    </row>
    <row r="613" spans="1:9" x14ac:dyDescent="0.2">
      <c r="A613" t="s">
        <v>544</v>
      </c>
      <c r="B613" t="s">
        <v>545</v>
      </c>
      <c r="C613" t="s">
        <v>156</v>
      </c>
      <c r="D613" t="s">
        <v>547</v>
      </c>
      <c r="E613" t="str">
        <f t="shared" si="48"/>
        <v>open</v>
      </c>
      <c r="F613" t="s">
        <v>7130</v>
      </c>
      <c r="G613" t="s">
        <v>8304</v>
      </c>
      <c r="I613" t="s">
        <v>8305</v>
      </c>
    </row>
    <row r="614" spans="1:9" x14ac:dyDescent="0.2">
      <c r="A614" t="s">
        <v>549</v>
      </c>
      <c r="B614" t="s">
        <v>550</v>
      </c>
      <c r="C614" t="s">
        <v>25</v>
      </c>
      <c r="D614" t="s">
        <v>552</v>
      </c>
      <c r="E614" t="str">
        <f>HYPERLINK("/pdf/2023_10.58496_mjcs_2023_016_A_Comprehensive_Review_of_Security_Measures_in_Database_Systems__Assessing_Authentication,_Access_Control,_and.pdf","open")</f>
        <v>open</v>
      </c>
      <c r="F614" t="s">
        <v>7119</v>
      </c>
      <c r="G614" t="s">
        <v>7317</v>
      </c>
      <c r="H614" t="s">
        <v>8306</v>
      </c>
      <c r="I614" t="s">
        <v>7178</v>
      </c>
    </row>
    <row r="615" spans="1:9" x14ac:dyDescent="0.2">
      <c r="A615" t="s">
        <v>549</v>
      </c>
      <c r="B615" t="s">
        <v>550</v>
      </c>
      <c r="C615" t="s">
        <v>25</v>
      </c>
      <c r="D615" t="s">
        <v>552</v>
      </c>
      <c r="E615" t="str">
        <f>HYPERLINK("/pdf/2023_10.58496_mjcs_2023_016_A_Comprehensive_Review_of_Security_Measures_in_Database_Systems__Assessing_Authentication,_Access_Control,_and.pdf","open")</f>
        <v>open</v>
      </c>
      <c r="F615" t="s">
        <v>7119</v>
      </c>
      <c r="G615" t="s">
        <v>8307</v>
      </c>
      <c r="H615" t="s">
        <v>8308</v>
      </c>
      <c r="I615" t="s">
        <v>7237</v>
      </c>
    </row>
    <row r="616" spans="1:9" x14ac:dyDescent="0.2">
      <c r="A616" t="s">
        <v>549</v>
      </c>
      <c r="B616" t="s">
        <v>550</v>
      </c>
      <c r="C616" t="s">
        <v>25</v>
      </c>
      <c r="D616" t="s">
        <v>552</v>
      </c>
      <c r="E616" t="str">
        <f>HYPERLINK("/pdf/2023_10.58496_mjcs_2023_016_A_Comprehensive_Review_of_Security_Measures_in_Database_Systems__Assessing_Authentication,_Access_Control,_and.pdf","open")</f>
        <v>open</v>
      </c>
      <c r="F616" t="s">
        <v>7119</v>
      </c>
      <c r="G616" t="s">
        <v>8309</v>
      </c>
      <c r="H616" t="s">
        <v>8310</v>
      </c>
      <c r="I616" t="s">
        <v>8167</v>
      </c>
    </row>
    <row r="617" spans="1:9" x14ac:dyDescent="0.2">
      <c r="A617" t="s">
        <v>549</v>
      </c>
      <c r="B617" t="s">
        <v>550</v>
      </c>
      <c r="C617" t="s">
        <v>25</v>
      </c>
      <c r="D617" t="s">
        <v>552</v>
      </c>
      <c r="E617" t="str">
        <f>HYPERLINK("/pdf/2023_10.58496_mjcs_2023_016_A_Comprehensive_Review_of_Security_Measures_in_Database_Systems__Assessing_Authentication,_Access_Control,_and.pdf","open")</f>
        <v>open</v>
      </c>
      <c r="F617" t="s">
        <v>7130</v>
      </c>
      <c r="G617" t="s">
        <v>7317</v>
      </c>
      <c r="I617" t="s">
        <v>7158</v>
      </c>
    </row>
    <row r="618" spans="1:9" x14ac:dyDescent="0.2">
      <c r="A618" t="s">
        <v>549</v>
      </c>
      <c r="B618" t="s">
        <v>550</v>
      </c>
      <c r="C618" t="s">
        <v>25</v>
      </c>
      <c r="D618" t="s">
        <v>552</v>
      </c>
      <c r="E618" t="str">
        <f>HYPERLINK("/pdf/2023_10.58496_mjcs_2023_016_A_Comprehensive_Review_of_Security_Measures_in_Database_Systems__Assessing_Authentication,_Access_Control,_and.pdf","open")</f>
        <v>open</v>
      </c>
      <c r="F618" t="s">
        <v>7130</v>
      </c>
      <c r="G618" t="s">
        <v>7215</v>
      </c>
      <c r="I618" t="s">
        <v>8311</v>
      </c>
    </row>
    <row r="619" spans="1:9" x14ac:dyDescent="0.2">
      <c r="A619" t="s">
        <v>554</v>
      </c>
      <c r="B619" t="s">
        <v>555</v>
      </c>
      <c r="C619" t="s">
        <v>19</v>
      </c>
      <c r="D619" t="s">
        <v>557</v>
      </c>
      <c r="E619" t="str">
        <f>HYPERLINK("/pdf/2025_10_36128_priw_vi54_1201_artificial_intelligence_in_e_administration.pdf","open")</f>
        <v>open</v>
      </c>
      <c r="F619" t="s">
        <v>7119</v>
      </c>
      <c r="G619" t="s">
        <v>8312</v>
      </c>
      <c r="H619" t="s">
        <v>8313</v>
      </c>
      <c r="I619" t="s">
        <v>8314</v>
      </c>
    </row>
    <row r="620" spans="1:9" x14ac:dyDescent="0.2">
      <c r="A620" t="s">
        <v>554</v>
      </c>
      <c r="B620" t="s">
        <v>555</v>
      </c>
      <c r="C620" t="s">
        <v>19</v>
      </c>
      <c r="D620" t="s">
        <v>557</v>
      </c>
      <c r="E620" t="str">
        <f>HYPERLINK("/pdf/2025_10_36128_priw_vi54_1201_artificial_intelligence_in_e_administration.pdf","open")</f>
        <v>open</v>
      </c>
      <c r="F620" t="s">
        <v>7119</v>
      </c>
      <c r="G620" t="s">
        <v>8315</v>
      </c>
      <c r="H620" t="s">
        <v>8316</v>
      </c>
      <c r="I620" t="s">
        <v>8317</v>
      </c>
    </row>
    <row r="621" spans="1:9" x14ac:dyDescent="0.2">
      <c r="A621" t="s">
        <v>554</v>
      </c>
      <c r="B621" t="s">
        <v>555</v>
      </c>
      <c r="C621" t="s">
        <v>19</v>
      </c>
      <c r="D621" t="s">
        <v>557</v>
      </c>
      <c r="E621" t="str">
        <f>HYPERLINK("/pdf/2025_10_36128_priw_vi54_1201_artificial_intelligence_in_e_administration.pdf","open")</f>
        <v>open</v>
      </c>
      <c r="F621" t="s">
        <v>7119</v>
      </c>
      <c r="G621" t="s">
        <v>8318</v>
      </c>
      <c r="H621" t="s">
        <v>8319</v>
      </c>
      <c r="I621" t="s">
        <v>8320</v>
      </c>
    </row>
    <row r="622" spans="1:9" x14ac:dyDescent="0.2">
      <c r="A622" t="s">
        <v>554</v>
      </c>
      <c r="B622" t="s">
        <v>555</v>
      </c>
      <c r="C622" t="s">
        <v>19</v>
      </c>
      <c r="D622" t="s">
        <v>557</v>
      </c>
      <c r="E622" t="str">
        <f>HYPERLINK("/pdf/2025_10_36128_priw_vi54_1201_artificial_intelligence_in_e_administration.pdf","open")</f>
        <v>open</v>
      </c>
      <c r="F622" t="s">
        <v>7130</v>
      </c>
      <c r="G622" t="s">
        <v>1571</v>
      </c>
      <c r="I622" t="s">
        <v>7158</v>
      </c>
    </row>
    <row r="623" spans="1:9" x14ac:dyDescent="0.2">
      <c r="A623" t="s">
        <v>554</v>
      </c>
      <c r="B623" t="s">
        <v>555</v>
      </c>
      <c r="C623" t="s">
        <v>19</v>
      </c>
      <c r="D623" t="s">
        <v>557</v>
      </c>
      <c r="E623" t="str">
        <f>HYPERLINK("/pdf/2025_10_36128_priw_vi54_1201_artificial_intelligence_in_e_administration.pdf","open")</f>
        <v>open</v>
      </c>
      <c r="F623" t="s">
        <v>7130</v>
      </c>
      <c r="G623" t="s">
        <v>7215</v>
      </c>
      <c r="I623" t="s">
        <v>8321</v>
      </c>
    </row>
    <row r="624" spans="1:9" x14ac:dyDescent="0.2">
      <c r="A624" t="s">
        <v>559</v>
      </c>
      <c r="B624" t="s">
        <v>560</v>
      </c>
      <c r="C624" t="s">
        <v>19</v>
      </c>
      <c r="D624" t="s">
        <v>562</v>
      </c>
      <c r="E624" t="str">
        <f t="shared" ref="E624:E629" si="49">HYPERLINK("/pdf/2025_10.1109_eurospw67616.2025.00026_PPT-GNN__A_Practical_Pretrained_Spatio-Temporal_Graph_Neural_Network_for_Network_Security.pdf","open")</f>
        <v>open</v>
      </c>
      <c r="F624" t="s">
        <v>7119</v>
      </c>
      <c r="G624" t="s">
        <v>8322</v>
      </c>
      <c r="H624" t="s">
        <v>8323</v>
      </c>
      <c r="I624" t="s">
        <v>8324</v>
      </c>
    </row>
    <row r="625" spans="1:9" x14ac:dyDescent="0.2">
      <c r="A625" t="s">
        <v>559</v>
      </c>
      <c r="B625" t="s">
        <v>560</v>
      </c>
      <c r="C625" t="s">
        <v>19</v>
      </c>
      <c r="D625" t="s">
        <v>562</v>
      </c>
      <c r="E625" t="str">
        <f t="shared" si="49"/>
        <v>open</v>
      </c>
      <c r="F625" t="s">
        <v>7119</v>
      </c>
      <c r="G625" t="s">
        <v>8325</v>
      </c>
      <c r="H625" t="s">
        <v>8326</v>
      </c>
      <c r="I625" t="s">
        <v>8327</v>
      </c>
    </row>
    <row r="626" spans="1:9" x14ac:dyDescent="0.2">
      <c r="A626" t="s">
        <v>559</v>
      </c>
      <c r="B626" t="s">
        <v>560</v>
      </c>
      <c r="C626" t="s">
        <v>19</v>
      </c>
      <c r="D626" t="s">
        <v>562</v>
      </c>
      <c r="E626" t="str">
        <f t="shared" si="49"/>
        <v>open</v>
      </c>
      <c r="F626" t="s">
        <v>7119</v>
      </c>
      <c r="G626" t="s">
        <v>8328</v>
      </c>
      <c r="H626" t="s">
        <v>8329</v>
      </c>
      <c r="I626" t="s">
        <v>8330</v>
      </c>
    </row>
    <row r="627" spans="1:9" x14ac:dyDescent="0.2">
      <c r="A627" t="s">
        <v>559</v>
      </c>
      <c r="B627" t="s">
        <v>560</v>
      </c>
      <c r="C627" t="s">
        <v>19</v>
      </c>
      <c r="D627" t="s">
        <v>562</v>
      </c>
      <c r="E627" t="str">
        <f t="shared" si="49"/>
        <v>open</v>
      </c>
      <c r="F627" t="s">
        <v>7119</v>
      </c>
      <c r="G627" t="s">
        <v>8331</v>
      </c>
      <c r="H627" t="s">
        <v>8332</v>
      </c>
      <c r="I627" t="s">
        <v>8333</v>
      </c>
    </row>
    <row r="628" spans="1:9" x14ac:dyDescent="0.2">
      <c r="A628" t="s">
        <v>559</v>
      </c>
      <c r="B628" t="s">
        <v>560</v>
      </c>
      <c r="C628" t="s">
        <v>19</v>
      </c>
      <c r="D628" t="s">
        <v>562</v>
      </c>
      <c r="E628" t="str">
        <f t="shared" si="49"/>
        <v>open</v>
      </c>
      <c r="F628" t="s">
        <v>7130</v>
      </c>
      <c r="G628" t="s">
        <v>7173</v>
      </c>
      <c r="I628" t="s">
        <v>8334</v>
      </c>
    </row>
    <row r="629" spans="1:9" x14ac:dyDescent="0.2">
      <c r="A629" t="s">
        <v>559</v>
      </c>
      <c r="B629" t="s">
        <v>560</v>
      </c>
      <c r="C629" t="s">
        <v>19</v>
      </c>
      <c r="D629" t="s">
        <v>562</v>
      </c>
      <c r="E629" t="str">
        <f t="shared" si="49"/>
        <v>open</v>
      </c>
      <c r="F629" t="s">
        <v>7130</v>
      </c>
      <c r="G629" t="s">
        <v>7183</v>
      </c>
      <c r="I629" t="s">
        <v>8335</v>
      </c>
    </row>
    <row r="630" spans="1:9" x14ac:dyDescent="0.2">
      <c r="A630" t="s">
        <v>564</v>
      </c>
      <c r="B630" t="s">
        <v>565</v>
      </c>
      <c r="C630" t="s">
        <v>19</v>
      </c>
      <c r="D630" t="s">
        <v>567</v>
      </c>
      <c r="E630" t="str">
        <f>HYPERLINK("/pdf/2025_10.1109_discover66922.2025.11259004_Adaptive_Graph_Attention_Network-Approach_for_Detecting_Hardware_Trojans.pdf","open")</f>
        <v>open</v>
      </c>
      <c r="F630" t="s">
        <v>7119</v>
      </c>
      <c r="G630" t="s">
        <v>8336</v>
      </c>
      <c r="H630" t="s">
        <v>8337</v>
      </c>
      <c r="I630" t="s">
        <v>7307</v>
      </c>
    </row>
    <row r="631" spans="1:9" x14ac:dyDescent="0.2">
      <c r="A631" t="s">
        <v>564</v>
      </c>
      <c r="B631" t="s">
        <v>565</v>
      </c>
      <c r="C631" t="s">
        <v>19</v>
      </c>
      <c r="D631" t="s">
        <v>567</v>
      </c>
      <c r="E631" t="str">
        <f>HYPERLINK("/pdf/2025_10.1109_discover66922.2025.11259004_Adaptive_Graph_Attention_Network-Approach_for_Detecting_Hardware_Trojans.pdf","open")</f>
        <v>open</v>
      </c>
      <c r="F631" t="s">
        <v>7119</v>
      </c>
      <c r="G631" t="s">
        <v>8338</v>
      </c>
      <c r="H631" t="s">
        <v>8339</v>
      </c>
      <c r="I631" t="s">
        <v>7313</v>
      </c>
    </row>
    <row r="632" spans="1:9" x14ac:dyDescent="0.2">
      <c r="A632" t="s">
        <v>564</v>
      </c>
      <c r="B632" t="s">
        <v>565</v>
      </c>
      <c r="C632" t="s">
        <v>19</v>
      </c>
      <c r="D632" t="s">
        <v>567</v>
      </c>
      <c r="E632" t="str">
        <f>HYPERLINK("/pdf/2025_10.1109_discover66922.2025.11259004_Adaptive_Graph_Attention_Network-Approach_for_Detecting_Hardware_Trojans.pdf","open")</f>
        <v>open</v>
      </c>
      <c r="F632" t="s">
        <v>7119</v>
      </c>
      <c r="G632" t="s">
        <v>8340</v>
      </c>
      <c r="H632" t="s">
        <v>8341</v>
      </c>
      <c r="I632" t="s">
        <v>7151</v>
      </c>
    </row>
    <row r="633" spans="1:9" x14ac:dyDescent="0.2">
      <c r="A633" t="s">
        <v>564</v>
      </c>
      <c r="B633" t="s">
        <v>565</v>
      </c>
      <c r="C633" t="s">
        <v>19</v>
      </c>
      <c r="D633" t="s">
        <v>567</v>
      </c>
      <c r="E633" t="str">
        <f>HYPERLINK("/pdf/2025_10.1109_discover66922.2025.11259004_Adaptive_Graph_Attention_Network-Approach_for_Detecting_Hardware_Trojans.pdf","open")</f>
        <v>open</v>
      </c>
      <c r="F633" t="s">
        <v>7130</v>
      </c>
      <c r="G633" t="s">
        <v>1584</v>
      </c>
      <c r="I633" t="s">
        <v>8342</v>
      </c>
    </row>
    <row r="634" spans="1:9" x14ac:dyDescent="0.2">
      <c r="A634" t="s">
        <v>564</v>
      </c>
      <c r="B634" t="s">
        <v>565</v>
      </c>
      <c r="C634" t="s">
        <v>19</v>
      </c>
      <c r="D634" t="s">
        <v>567</v>
      </c>
      <c r="E634" t="str">
        <f>HYPERLINK("/pdf/2025_10.1109_discover66922.2025.11259004_Adaptive_Graph_Attention_Network-Approach_for_Detecting_Hardware_Trojans.pdf","open")</f>
        <v>open</v>
      </c>
      <c r="F634" t="s">
        <v>7130</v>
      </c>
      <c r="G634" t="s">
        <v>1597</v>
      </c>
      <c r="I634" t="s">
        <v>8343</v>
      </c>
    </row>
    <row r="635" spans="1:9" x14ac:dyDescent="0.2">
      <c r="A635" t="s">
        <v>569</v>
      </c>
      <c r="B635" t="s">
        <v>570</v>
      </c>
      <c r="C635" t="s">
        <v>60</v>
      </c>
      <c r="D635" t="s">
        <v>572</v>
      </c>
      <c r="E635" t="str">
        <f t="shared" ref="E635:E640" si="50">HYPERLINK("/pdf/2024_10.1109_sces61914.2024.10652305_IoT_Network_Anomaly_Detection_Using_Machine_Learning_and_Deep_Learning_Techniques_-_Research_Study.pdf","open")</f>
        <v>open</v>
      </c>
      <c r="F635" t="s">
        <v>7119</v>
      </c>
      <c r="G635" t="s">
        <v>7349</v>
      </c>
      <c r="H635" t="s">
        <v>8344</v>
      </c>
      <c r="I635" t="s">
        <v>8345</v>
      </c>
    </row>
    <row r="636" spans="1:9" x14ac:dyDescent="0.2">
      <c r="A636" t="s">
        <v>569</v>
      </c>
      <c r="B636" t="s">
        <v>570</v>
      </c>
      <c r="C636" t="s">
        <v>60</v>
      </c>
      <c r="D636" t="s">
        <v>572</v>
      </c>
      <c r="E636" t="str">
        <f t="shared" si="50"/>
        <v>open</v>
      </c>
      <c r="F636" t="s">
        <v>7119</v>
      </c>
      <c r="G636" t="s">
        <v>8346</v>
      </c>
      <c r="H636" t="s">
        <v>8347</v>
      </c>
      <c r="I636" t="s">
        <v>8348</v>
      </c>
    </row>
    <row r="637" spans="1:9" x14ac:dyDescent="0.2">
      <c r="A637" t="s">
        <v>569</v>
      </c>
      <c r="B637" t="s">
        <v>570</v>
      </c>
      <c r="C637" t="s">
        <v>60</v>
      </c>
      <c r="D637" t="s">
        <v>572</v>
      </c>
      <c r="E637" t="str">
        <f t="shared" si="50"/>
        <v>open</v>
      </c>
      <c r="F637" t="s">
        <v>7119</v>
      </c>
      <c r="G637" t="s">
        <v>8349</v>
      </c>
      <c r="H637" t="s">
        <v>8350</v>
      </c>
      <c r="I637" t="s">
        <v>8351</v>
      </c>
    </row>
    <row r="638" spans="1:9" x14ac:dyDescent="0.2">
      <c r="A638" t="s">
        <v>569</v>
      </c>
      <c r="B638" t="s">
        <v>570</v>
      </c>
      <c r="C638" t="s">
        <v>60</v>
      </c>
      <c r="D638" t="s">
        <v>572</v>
      </c>
      <c r="E638" t="str">
        <f t="shared" si="50"/>
        <v>open</v>
      </c>
      <c r="F638" t="s">
        <v>7119</v>
      </c>
      <c r="G638" t="s">
        <v>8352</v>
      </c>
      <c r="H638" t="s">
        <v>8353</v>
      </c>
      <c r="I638" t="s">
        <v>8354</v>
      </c>
    </row>
    <row r="639" spans="1:9" x14ac:dyDescent="0.2">
      <c r="A639" t="s">
        <v>569</v>
      </c>
      <c r="B639" t="s">
        <v>570</v>
      </c>
      <c r="C639" t="s">
        <v>60</v>
      </c>
      <c r="D639" t="s">
        <v>572</v>
      </c>
      <c r="E639" t="str">
        <f t="shared" si="50"/>
        <v>open</v>
      </c>
      <c r="F639" t="s">
        <v>7130</v>
      </c>
      <c r="G639" t="s">
        <v>7215</v>
      </c>
      <c r="I639" t="s">
        <v>8355</v>
      </c>
    </row>
    <row r="640" spans="1:9" x14ac:dyDescent="0.2">
      <c r="A640" t="s">
        <v>569</v>
      </c>
      <c r="B640" t="s">
        <v>570</v>
      </c>
      <c r="C640" t="s">
        <v>60</v>
      </c>
      <c r="D640" t="s">
        <v>572</v>
      </c>
      <c r="E640" t="str">
        <f t="shared" si="50"/>
        <v>open</v>
      </c>
      <c r="F640" t="s">
        <v>7130</v>
      </c>
      <c r="G640" t="s">
        <v>7406</v>
      </c>
      <c r="I640" t="s">
        <v>8356</v>
      </c>
    </row>
    <row r="641" spans="1:9" x14ac:dyDescent="0.2">
      <c r="A641" t="s">
        <v>574</v>
      </c>
      <c r="B641" t="s">
        <v>575</v>
      </c>
      <c r="C641" t="s">
        <v>60</v>
      </c>
      <c r="D641" t="s">
        <v>577</v>
      </c>
      <c r="E641" t="str">
        <f t="shared" ref="E641:E646" si="51">HYPERLINK("/pdf/2024_10.12263_dzxb.20220611_A_Whitelist_Network_Control_Based_on_Android_Kernel_Driver;_基于_Android_内核驱动的白名单网络控制.pdf","open")</f>
        <v>open</v>
      </c>
      <c r="F641" t="s">
        <v>7119</v>
      </c>
      <c r="G641" t="s">
        <v>8357</v>
      </c>
      <c r="H641" t="s">
        <v>8358</v>
      </c>
      <c r="I641" t="s">
        <v>8082</v>
      </c>
    </row>
    <row r="642" spans="1:9" x14ac:dyDescent="0.2">
      <c r="A642" t="s">
        <v>574</v>
      </c>
      <c r="B642" t="s">
        <v>575</v>
      </c>
      <c r="C642" t="s">
        <v>60</v>
      </c>
      <c r="D642" t="s">
        <v>577</v>
      </c>
      <c r="E642" t="str">
        <f t="shared" si="51"/>
        <v>open</v>
      </c>
      <c r="F642" t="s">
        <v>7119</v>
      </c>
      <c r="G642" t="s">
        <v>8359</v>
      </c>
      <c r="H642" t="s">
        <v>8360</v>
      </c>
      <c r="I642" t="s">
        <v>8082</v>
      </c>
    </row>
    <row r="643" spans="1:9" x14ac:dyDescent="0.2">
      <c r="A643" t="s">
        <v>574</v>
      </c>
      <c r="B643" t="s">
        <v>575</v>
      </c>
      <c r="C643" t="s">
        <v>60</v>
      </c>
      <c r="D643" t="s">
        <v>577</v>
      </c>
      <c r="E643" t="str">
        <f t="shared" si="51"/>
        <v>open</v>
      </c>
      <c r="F643" t="s">
        <v>7119</v>
      </c>
      <c r="G643" t="s">
        <v>8361</v>
      </c>
      <c r="H643" t="s">
        <v>8362</v>
      </c>
      <c r="I643" t="s">
        <v>8363</v>
      </c>
    </row>
    <row r="644" spans="1:9" x14ac:dyDescent="0.2">
      <c r="A644" t="s">
        <v>574</v>
      </c>
      <c r="B644" t="s">
        <v>575</v>
      </c>
      <c r="C644" t="s">
        <v>60</v>
      </c>
      <c r="D644" t="s">
        <v>577</v>
      </c>
      <c r="E644" t="str">
        <f t="shared" si="51"/>
        <v>open</v>
      </c>
      <c r="F644" t="s">
        <v>7119</v>
      </c>
      <c r="G644" t="s">
        <v>2774</v>
      </c>
      <c r="H644" t="s">
        <v>8364</v>
      </c>
      <c r="I644" t="s">
        <v>8082</v>
      </c>
    </row>
    <row r="645" spans="1:9" x14ac:dyDescent="0.2">
      <c r="A645" t="s">
        <v>574</v>
      </c>
      <c r="B645" t="s">
        <v>575</v>
      </c>
      <c r="C645" t="s">
        <v>60</v>
      </c>
      <c r="D645" t="s">
        <v>577</v>
      </c>
      <c r="E645" t="str">
        <f t="shared" si="51"/>
        <v>open</v>
      </c>
      <c r="F645" t="s">
        <v>7130</v>
      </c>
      <c r="G645" t="s">
        <v>7215</v>
      </c>
      <c r="I645" t="s">
        <v>8365</v>
      </c>
    </row>
    <row r="646" spans="1:9" x14ac:dyDescent="0.2">
      <c r="A646" t="s">
        <v>574</v>
      </c>
      <c r="B646" t="s">
        <v>575</v>
      </c>
      <c r="C646" t="s">
        <v>60</v>
      </c>
      <c r="D646" t="s">
        <v>577</v>
      </c>
      <c r="E646" t="str">
        <f t="shared" si="51"/>
        <v>open</v>
      </c>
      <c r="F646" t="s">
        <v>7130</v>
      </c>
      <c r="G646" t="s">
        <v>7159</v>
      </c>
      <c r="I646" t="s">
        <v>8366</v>
      </c>
    </row>
    <row r="647" spans="1:9" x14ac:dyDescent="0.2">
      <c r="A647" t="s">
        <v>579</v>
      </c>
      <c r="B647" t="s">
        <v>580</v>
      </c>
      <c r="C647" t="s">
        <v>100</v>
      </c>
      <c r="D647" t="s">
        <v>582</v>
      </c>
      <c r="E647" t="str">
        <f t="shared" ref="E647:E653" si="52">HYPERLINK("/pdf/2022_10.1109_icc45855.2022.9839001_Intelligent_Fingerprinting_to_Detect_Data_Leakage_Attacks_on_Spectrum_Sensors.pdf","open")</f>
        <v>open</v>
      </c>
      <c r="F647" t="s">
        <v>7119</v>
      </c>
      <c r="G647" t="s">
        <v>8367</v>
      </c>
      <c r="H647" t="s">
        <v>8368</v>
      </c>
      <c r="I647" t="s">
        <v>7151</v>
      </c>
    </row>
    <row r="648" spans="1:9" x14ac:dyDescent="0.2">
      <c r="A648" t="s">
        <v>579</v>
      </c>
      <c r="B648" t="s">
        <v>580</v>
      </c>
      <c r="C648" t="s">
        <v>100</v>
      </c>
      <c r="D648" t="s">
        <v>582</v>
      </c>
      <c r="E648" t="str">
        <f t="shared" si="52"/>
        <v>open</v>
      </c>
      <c r="F648" t="s">
        <v>7119</v>
      </c>
      <c r="G648" t="s">
        <v>8369</v>
      </c>
      <c r="H648" t="s">
        <v>8370</v>
      </c>
      <c r="I648" t="s">
        <v>7154</v>
      </c>
    </row>
    <row r="649" spans="1:9" x14ac:dyDescent="0.2">
      <c r="A649" t="s">
        <v>579</v>
      </c>
      <c r="B649" t="s">
        <v>580</v>
      </c>
      <c r="C649" t="s">
        <v>100</v>
      </c>
      <c r="D649" t="s">
        <v>582</v>
      </c>
      <c r="E649" t="str">
        <f t="shared" si="52"/>
        <v>open</v>
      </c>
      <c r="F649" t="s">
        <v>7119</v>
      </c>
      <c r="G649" t="s">
        <v>7173</v>
      </c>
      <c r="H649" t="s">
        <v>8371</v>
      </c>
      <c r="I649" t="s">
        <v>8372</v>
      </c>
    </row>
    <row r="650" spans="1:9" x14ac:dyDescent="0.2">
      <c r="A650" t="s">
        <v>579</v>
      </c>
      <c r="B650" t="s">
        <v>580</v>
      </c>
      <c r="C650" t="s">
        <v>100</v>
      </c>
      <c r="D650" t="s">
        <v>582</v>
      </c>
      <c r="E650" t="str">
        <f t="shared" si="52"/>
        <v>open</v>
      </c>
      <c r="F650" t="s">
        <v>7119</v>
      </c>
      <c r="G650" t="s">
        <v>8373</v>
      </c>
      <c r="H650" t="s">
        <v>8374</v>
      </c>
      <c r="I650" t="s">
        <v>8375</v>
      </c>
    </row>
    <row r="651" spans="1:9" x14ac:dyDescent="0.2">
      <c r="A651" t="s">
        <v>579</v>
      </c>
      <c r="B651" t="s">
        <v>580</v>
      </c>
      <c r="C651" t="s">
        <v>100</v>
      </c>
      <c r="D651" t="s">
        <v>582</v>
      </c>
      <c r="E651" t="str">
        <f t="shared" si="52"/>
        <v>open</v>
      </c>
      <c r="F651" t="s">
        <v>7119</v>
      </c>
      <c r="G651" t="s">
        <v>8376</v>
      </c>
      <c r="H651" t="s">
        <v>8377</v>
      </c>
      <c r="I651" t="s">
        <v>7574</v>
      </c>
    </row>
    <row r="652" spans="1:9" x14ac:dyDescent="0.2">
      <c r="A652" t="s">
        <v>579</v>
      </c>
      <c r="B652" t="s">
        <v>580</v>
      </c>
      <c r="C652" t="s">
        <v>100</v>
      </c>
      <c r="D652" t="s">
        <v>582</v>
      </c>
      <c r="E652" t="str">
        <f t="shared" si="52"/>
        <v>open</v>
      </c>
      <c r="F652" t="s">
        <v>7130</v>
      </c>
      <c r="G652" t="s">
        <v>7173</v>
      </c>
      <c r="I652" t="s">
        <v>8378</v>
      </c>
    </row>
    <row r="653" spans="1:9" x14ac:dyDescent="0.2">
      <c r="A653" t="s">
        <v>579</v>
      </c>
      <c r="B653" t="s">
        <v>580</v>
      </c>
      <c r="C653" t="s">
        <v>100</v>
      </c>
      <c r="D653" t="s">
        <v>582</v>
      </c>
      <c r="E653" t="str">
        <f t="shared" si="52"/>
        <v>open</v>
      </c>
      <c r="F653" t="s">
        <v>7130</v>
      </c>
      <c r="G653" t="s">
        <v>8379</v>
      </c>
      <c r="I653" t="s">
        <v>8380</v>
      </c>
    </row>
    <row r="654" spans="1:9" x14ac:dyDescent="0.2">
      <c r="A654" t="s">
        <v>584</v>
      </c>
      <c r="B654" t="s">
        <v>585</v>
      </c>
      <c r="C654" t="s">
        <v>60</v>
      </c>
      <c r="D654" t="s">
        <v>587</v>
      </c>
      <c r="E654" t="str">
        <f t="shared" ref="E654:E659" si="53">HYPERLINK("/pdf/2024_10.1145_3689236.3689867_Intelligent_Talent_Information_System_Guarantee_Based_on_Cyberspace_Security_Technology.pdf","open")</f>
        <v>open</v>
      </c>
      <c r="F654" t="s">
        <v>7119</v>
      </c>
      <c r="G654" t="s">
        <v>8381</v>
      </c>
      <c r="H654" t="s">
        <v>8382</v>
      </c>
      <c r="I654" t="s">
        <v>8383</v>
      </c>
    </row>
    <row r="655" spans="1:9" x14ac:dyDescent="0.2">
      <c r="A655" t="s">
        <v>584</v>
      </c>
      <c r="B655" t="s">
        <v>585</v>
      </c>
      <c r="C655" t="s">
        <v>60</v>
      </c>
      <c r="D655" t="s">
        <v>587</v>
      </c>
      <c r="E655" t="str">
        <f t="shared" si="53"/>
        <v>open</v>
      </c>
      <c r="F655" t="s">
        <v>7119</v>
      </c>
      <c r="G655" t="s">
        <v>8384</v>
      </c>
      <c r="H655" t="s">
        <v>8385</v>
      </c>
      <c r="I655" t="s">
        <v>7172</v>
      </c>
    </row>
    <row r="656" spans="1:9" x14ac:dyDescent="0.2">
      <c r="A656" t="s">
        <v>584</v>
      </c>
      <c r="B656" t="s">
        <v>585</v>
      </c>
      <c r="C656" t="s">
        <v>60</v>
      </c>
      <c r="D656" t="s">
        <v>587</v>
      </c>
      <c r="E656" t="str">
        <f t="shared" si="53"/>
        <v>open</v>
      </c>
      <c r="F656" t="s">
        <v>7119</v>
      </c>
      <c r="G656" t="s">
        <v>7627</v>
      </c>
      <c r="H656" t="s">
        <v>8386</v>
      </c>
      <c r="I656" t="s">
        <v>7172</v>
      </c>
    </row>
    <row r="657" spans="1:9" x14ac:dyDescent="0.2">
      <c r="A657" t="s">
        <v>584</v>
      </c>
      <c r="B657" t="s">
        <v>585</v>
      </c>
      <c r="C657" t="s">
        <v>60</v>
      </c>
      <c r="D657" t="s">
        <v>587</v>
      </c>
      <c r="E657" t="str">
        <f t="shared" si="53"/>
        <v>open</v>
      </c>
      <c r="F657" t="s">
        <v>7119</v>
      </c>
      <c r="G657" t="s">
        <v>8387</v>
      </c>
      <c r="H657" t="s">
        <v>8388</v>
      </c>
      <c r="I657" t="s">
        <v>8389</v>
      </c>
    </row>
    <row r="658" spans="1:9" x14ac:dyDescent="0.2">
      <c r="A658" t="s">
        <v>584</v>
      </c>
      <c r="B658" t="s">
        <v>585</v>
      </c>
      <c r="C658" t="s">
        <v>60</v>
      </c>
      <c r="D658" t="s">
        <v>587</v>
      </c>
      <c r="E658" t="str">
        <f t="shared" si="53"/>
        <v>open</v>
      </c>
      <c r="F658" t="s">
        <v>7130</v>
      </c>
      <c r="G658" t="s">
        <v>7371</v>
      </c>
      <c r="I658" t="s">
        <v>8390</v>
      </c>
    </row>
    <row r="659" spans="1:9" x14ac:dyDescent="0.2">
      <c r="A659" t="s">
        <v>584</v>
      </c>
      <c r="B659" t="s">
        <v>585</v>
      </c>
      <c r="C659" t="s">
        <v>60</v>
      </c>
      <c r="D659" t="s">
        <v>587</v>
      </c>
      <c r="E659" t="str">
        <f t="shared" si="53"/>
        <v>open</v>
      </c>
      <c r="F659" t="s">
        <v>7130</v>
      </c>
      <c r="G659" t="s">
        <v>7585</v>
      </c>
      <c r="I659" t="s">
        <v>8391</v>
      </c>
    </row>
    <row r="660" spans="1:9" x14ac:dyDescent="0.2">
      <c r="A660" t="s">
        <v>589</v>
      </c>
      <c r="B660" t="s">
        <v>110</v>
      </c>
      <c r="C660" t="s">
        <v>36</v>
      </c>
      <c r="D660" t="s">
        <v>112</v>
      </c>
      <c r="E660" t="str">
        <f t="shared" ref="E660:E665" si="54">HYPERLINK("/pdf/2021_10_1109_iccd53106_2021_00097_qflow_quantitative_information_flow_for_security_aware_hardware_design_in_veril.pdf","open")</f>
        <v>open</v>
      </c>
      <c r="F660" t="s">
        <v>7119</v>
      </c>
      <c r="G660" t="s">
        <v>7349</v>
      </c>
      <c r="H660" t="s">
        <v>8392</v>
      </c>
      <c r="I660" t="s">
        <v>7151</v>
      </c>
    </row>
    <row r="661" spans="1:9" x14ac:dyDescent="0.2">
      <c r="A661" t="s">
        <v>589</v>
      </c>
      <c r="B661" t="s">
        <v>110</v>
      </c>
      <c r="C661" t="s">
        <v>36</v>
      </c>
      <c r="D661" t="s">
        <v>112</v>
      </c>
      <c r="E661" t="str">
        <f t="shared" si="54"/>
        <v>open</v>
      </c>
      <c r="F661" t="s">
        <v>7119</v>
      </c>
      <c r="G661" t="s">
        <v>8393</v>
      </c>
      <c r="H661" t="s">
        <v>8394</v>
      </c>
      <c r="I661" t="s">
        <v>7329</v>
      </c>
    </row>
    <row r="662" spans="1:9" x14ac:dyDescent="0.2">
      <c r="A662" t="s">
        <v>589</v>
      </c>
      <c r="B662" t="s">
        <v>110</v>
      </c>
      <c r="C662" t="s">
        <v>36</v>
      </c>
      <c r="D662" t="s">
        <v>112</v>
      </c>
      <c r="E662" t="str">
        <f t="shared" si="54"/>
        <v>open</v>
      </c>
      <c r="F662" t="s">
        <v>7119</v>
      </c>
      <c r="G662" t="s">
        <v>8395</v>
      </c>
      <c r="H662" t="s">
        <v>8396</v>
      </c>
      <c r="I662" t="s">
        <v>7335</v>
      </c>
    </row>
    <row r="663" spans="1:9" x14ac:dyDescent="0.2">
      <c r="A663" t="s">
        <v>589</v>
      </c>
      <c r="B663" t="s">
        <v>110</v>
      </c>
      <c r="C663" t="s">
        <v>36</v>
      </c>
      <c r="D663" t="s">
        <v>112</v>
      </c>
      <c r="E663" t="str">
        <f t="shared" si="54"/>
        <v>open</v>
      </c>
      <c r="F663" t="s">
        <v>7119</v>
      </c>
      <c r="G663" t="s">
        <v>7624</v>
      </c>
      <c r="H663" t="s">
        <v>8397</v>
      </c>
      <c r="I663" t="s">
        <v>7332</v>
      </c>
    </row>
    <row r="664" spans="1:9" x14ac:dyDescent="0.2">
      <c r="A664" t="s">
        <v>589</v>
      </c>
      <c r="B664" t="s">
        <v>110</v>
      </c>
      <c r="C664" t="s">
        <v>36</v>
      </c>
      <c r="D664" t="s">
        <v>112</v>
      </c>
      <c r="E664" t="str">
        <f t="shared" si="54"/>
        <v>open</v>
      </c>
      <c r="F664" t="s">
        <v>7130</v>
      </c>
      <c r="G664" t="s">
        <v>1597</v>
      </c>
      <c r="I664" t="s">
        <v>8398</v>
      </c>
    </row>
    <row r="665" spans="1:9" x14ac:dyDescent="0.2">
      <c r="A665" t="s">
        <v>589</v>
      </c>
      <c r="B665" t="s">
        <v>110</v>
      </c>
      <c r="C665" t="s">
        <v>36</v>
      </c>
      <c r="D665" t="s">
        <v>112</v>
      </c>
      <c r="E665" t="str">
        <f t="shared" si="54"/>
        <v>open</v>
      </c>
      <c r="F665" t="s">
        <v>7130</v>
      </c>
      <c r="G665" t="s">
        <v>8399</v>
      </c>
      <c r="I665" t="s">
        <v>8400</v>
      </c>
    </row>
    <row r="666" spans="1:9" x14ac:dyDescent="0.2">
      <c r="A666" t="s">
        <v>592</v>
      </c>
      <c r="B666" t="s">
        <v>593</v>
      </c>
      <c r="C666" t="s">
        <v>136</v>
      </c>
      <c r="D666" t="s">
        <v>594</v>
      </c>
      <c r="E666" t="str">
        <f t="shared" ref="E666:E671" si="55">HYPERLINK("/pdf/2019_10.1109_jiot.2018.2871719_An_ensemble_intrusion_detection_technique_based_on_proposed_statistical_flow_features_for_protecting_network_t.pdf","open")</f>
        <v>open</v>
      </c>
      <c r="F666" t="s">
        <v>7119</v>
      </c>
      <c r="G666" t="s">
        <v>8242</v>
      </c>
      <c r="H666" t="s">
        <v>8401</v>
      </c>
      <c r="I666" t="s">
        <v>8402</v>
      </c>
    </row>
    <row r="667" spans="1:9" x14ac:dyDescent="0.2">
      <c r="A667" t="s">
        <v>592</v>
      </c>
      <c r="B667" t="s">
        <v>593</v>
      </c>
      <c r="C667" t="s">
        <v>136</v>
      </c>
      <c r="D667" t="s">
        <v>594</v>
      </c>
      <c r="E667" t="str">
        <f t="shared" si="55"/>
        <v>open</v>
      </c>
      <c r="F667" t="s">
        <v>7119</v>
      </c>
      <c r="G667" t="s">
        <v>7624</v>
      </c>
      <c r="H667" t="s">
        <v>8403</v>
      </c>
      <c r="I667" t="s">
        <v>8404</v>
      </c>
    </row>
    <row r="668" spans="1:9" x14ac:dyDescent="0.2">
      <c r="A668" t="s">
        <v>592</v>
      </c>
      <c r="B668" t="s">
        <v>593</v>
      </c>
      <c r="C668" t="s">
        <v>136</v>
      </c>
      <c r="D668" t="s">
        <v>594</v>
      </c>
      <c r="E668" t="str">
        <f t="shared" si="55"/>
        <v>open</v>
      </c>
      <c r="F668" t="s">
        <v>7119</v>
      </c>
      <c r="G668" t="s">
        <v>8405</v>
      </c>
      <c r="H668" t="s">
        <v>8406</v>
      </c>
      <c r="I668" t="s">
        <v>8404</v>
      </c>
    </row>
    <row r="669" spans="1:9" x14ac:dyDescent="0.2">
      <c r="A669" t="s">
        <v>592</v>
      </c>
      <c r="B669" t="s">
        <v>593</v>
      </c>
      <c r="C669" t="s">
        <v>136</v>
      </c>
      <c r="D669" t="s">
        <v>594</v>
      </c>
      <c r="E669" t="str">
        <f t="shared" si="55"/>
        <v>open</v>
      </c>
      <c r="F669" t="s">
        <v>7119</v>
      </c>
      <c r="G669" t="s">
        <v>8407</v>
      </c>
      <c r="H669" t="s">
        <v>8408</v>
      </c>
      <c r="I669" t="s">
        <v>8404</v>
      </c>
    </row>
    <row r="670" spans="1:9" x14ac:dyDescent="0.2">
      <c r="A670" t="s">
        <v>592</v>
      </c>
      <c r="B670" t="s">
        <v>593</v>
      </c>
      <c r="C670" t="s">
        <v>136</v>
      </c>
      <c r="D670" t="s">
        <v>594</v>
      </c>
      <c r="E670" t="str">
        <f t="shared" si="55"/>
        <v>open</v>
      </c>
      <c r="F670" t="s">
        <v>7130</v>
      </c>
      <c r="G670" t="s">
        <v>7173</v>
      </c>
      <c r="I670" t="s">
        <v>8409</v>
      </c>
    </row>
    <row r="671" spans="1:9" x14ac:dyDescent="0.2">
      <c r="A671" t="s">
        <v>592</v>
      </c>
      <c r="B671" t="s">
        <v>593</v>
      </c>
      <c r="C671" t="s">
        <v>136</v>
      </c>
      <c r="D671" t="s">
        <v>594</v>
      </c>
      <c r="E671" t="str">
        <f t="shared" si="55"/>
        <v>open</v>
      </c>
      <c r="F671" t="s">
        <v>7130</v>
      </c>
      <c r="G671" t="s">
        <v>8410</v>
      </c>
      <c r="I671" t="s">
        <v>8411</v>
      </c>
    </row>
    <row r="672" spans="1:9" x14ac:dyDescent="0.2">
      <c r="A672" t="s">
        <v>596</v>
      </c>
      <c r="B672" t="s">
        <v>597</v>
      </c>
      <c r="C672" t="s">
        <v>598</v>
      </c>
      <c r="D672" t="s">
        <v>600</v>
      </c>
      <c r="E672" t="str">
        <f t="shared" ref="E672:E677" si="56">HYPERLINK("/pdf/2012_10.1109_hicss.2012.491_Pseudonymization_with_metadata_encryption_for_privacy-preserving_searchable_documents.pdf","open")</f>
        <v>open</v>
      </c>
      <c r="F672" t="s">
        <v>7119</v>
      </c>
      <c r="G672" t="s">
        <v>8412</v>
      </c>
      <c r="H672" t="s">
        <v>8413</v>
      </c>
      <c r="I672" t="s">
        <v>7178</v>
      </c>
    </row>
    <row r="673" spans="1:9" x14ac:dyDescent="0.2">
      <c r="A673" t="s">
        <v>596</v>
      </c>
      <c r="B673" t="s">
        <v>597</v>
      </c>
      <c r="C673" t="s">
        <v>598</v>
      </c>
      <c r="D673" t="s">
        <v>600</v>
      </c>
      <c r="E673" t="str">
        <f t="shared" si="56"/>
        <v>open</v>
      </c>
      <c r="F673" t="s">
        <v>7119</v>
      </c>
      <c r="G673" t="s">
        <v>8414</v>
      </c>
      <c r="H673" t="s">
        <v>8415</v>
      </c>
      <c r="I673" t="s">
        <v>8416</v>
      </c>
    </row>
    <row r="674" spans="1:9" x14ac:dyDescent="0.2">
      <c r="A674" t="s">
        <v>596</v>
      </c>
      <c r="B674" t="s">
        <v>597</v>
      </c>
      <c r="C674" t="s">
        <v>598</v>
      </c>
      <c r="D674" t="s">
        <v>600</v>
      </c>
      <c r="E674" t="str">
        <f t="shared" si="56"/>
        <v>open</v>
      </c>
      <c r="F674" t="s">
        <v>7119</v>
      </c>
      <c r="G674" t="s">
        <v>8417</v>
      </c>
      <c r="H674" t="s">
        <v>8418</v>
      </c>
      <c r="I674" t="s">
        <v>8419</v>
      </c>
    </row>
    <row r="675" spans="1:9" x14ac:dyDescent="0.2">
      <c r="A675" t="s">
        <v>596</v>
      </c>
      <c r="B675" t="s">
        <v>597</v>
      </c>
      <c r="C675" t="s">
        <v>598</v>
      </c>
      <c r="D675" t="s">
        <v>600</v>
      </c>
      <c r="E675" t="str">
        <f t="shared" si="56"/>
        <v>open</v>
      </c>
      <c r="F675" t="s">
        <v>7119</v>
      </c>
      <c r="G675" t="s">
        <v>8420</v>
      </c>
      <c r="H675" t="s">
        <v>8421</v>
      </c>
      <c r="I675" t="s">
        <v>8422</v>
      </c>
    </row>
    <row r="676" spans="1:9" x14ac:dyDescent="0.2">
      <c r="A676" t="s">
        <v>596</v>
      </c>
      <c r="B676" t="s">
        <v>597</v>
      </c>
      <c r="C676" t="s">
        <v>598</v>
      </c>
      <c r="D676" t="s">
        <v>600</v>
      </c>
      <c r="E676" t="str">
        <f t="shared" si="56"/>
        <v>open</v>
      </c>
      <c r="F676" t="s">
        <v>7130</v>
      </c>
      <c r="G676" t="s">
        <v>7183</v>
      </c>
      <c r="I676" t="s">
        <v>8422</v>
      </c>
    </row>
    <row r="677" spans="1:9" x14ac:dyDescent="0.2">
      <c r="A677" t="s">
        <v>596</v>
      </c>
      <c r="B677" t="s">
        <v>597</v>
      </c>
      <c r="C677" t="s">
        <v>598</v>
      </c>
      <c r="D677" t="s">
        <v>600</v>
      </c>
      <c r="E677" t="str">
        <f t="shared" si="56"/>
        <v>open</v>
      </c>
      <c r="F677" t="s">
        <v>7130</v>
      </c>
      <c r="G677" t="s">
        <v>7295</v>
      </c>
      <c r="I677" t="s">
        <v>8423</v>
      </c>
    </row>
    <row r="678" spans="1:9" x14ac:dyDescent="0.2">
      <c r="A678" t="s">
        <v>602</v>
      </c>
      <c r="B678" t="s">
        <v>603</v>
      </c>
      <c r="C678" t="s">
        <v>19</v>
      </c>
      <c r="D678" t="s">
        <v>605</v>
      </c>
      <c r="E678" t="str">
        <f>HYPERLINK("/pdf/2025_10_1007_s43926_025_00185_7_a_feature_level_ensemble_machine_learning_approach_for_attack_detection_in_iot_networks.pdf","open")</f>
        <v>open</v>
      </c>
      <c r="F678" t="s">
        <v>7119</v>
      </c>
      <c r="G678" t="s">
        <v>8424</v>
      </c>
      <c r="H678" t="s">
        <v>8425</v>
      </c>
      <c r="I678" t="s">
        <v>8426</v>
      </c>
    </row>
    <row r="679" spans="1:9" x14ac:dyDescent="0.2">
      <c r="A679" t="s">
        <v>602</v>
      </c>
      <c r="B679" t="s">
        <v>603</v>
      </c>
      <c r="C679" t="s">
        <v>19</v>
      </c>
      <c r="D679" t="s">
        <v>605</v>
      </c>
      <c r="E679" t="str">
        <f>HYPERLINK("/pdf/2025_10_1007_s43926_025_00185_7_a_feature_level_ensemble_machine_learning_approach_for_attack_detection_in_iot_networks.pdf","open")</f>
        <v>open</v>
      </c>
      <c r="F679" t="s">
        <v>7119</v>
      </c>
      <c r="G679" t="s">
        <v>8427</v>
      </c>
      <c r="H679" t="s">
        <v>8428</v>
      </c>
      <c r="I679" t="s">
        <v>8429</v>
      </c>
    </row>
    <row r="680" spans="1:9" x14ac:dyDescent="0.2">
      <c r="A680" t="s">
        <v>602</v>
      </c>
      <c r="B680" t="s">
        <v>603</v>
      </c>
      <c r="C680" t="s">
        <v>19</v>
      </c>
      <c r="D680" t="s">
        <v>605</v>
      </c>
      <c r="E680" t="str">
        <f>HYPERLINK("/pdf/2025_10_1007_s43926_025_00185_7_a_feature_level_ensemble_machine_learning_approach_for_attack_detection_in_iot_networks.pdf","open")</f>
        <v>open</v>
      </c>
      <c r="F680" t="s">
        <v>7119</v>
      </c>
      <c r="G680" t="s">
        <v>8430</v>
      </c>
      <c r="H680" t="s">
        <v>8431</v>
      </c>
      <c r="I680" t="s">
        <v>8432</v>
      </c>
    </row>
    <row r="681" spans="1:9" x14ac:dyDescent="0.2">
      <c r="A681" t="s">
        <v>602</v>
      </c>
      <c r="B681" t="s">
        <v>603</v>
      </c>
      <c r="C681" t="s">
        <v>19</v>
      </c>
      <c r="D681" t="s">
        <v>605</v>
      </c>
      <c r="E681" t="str">
        <f>HYPERLINK("/pdf/2025_10_1007_s43926_025_00185_7_a_feature_level_ensemble_machine_learning_approach_for_attack_detection_in_iot_networks.pdf","open")</f>
        <v>open</v>
      </c>
      <c r="F681" t="s">
        <v>7130</v>
      </c>
      <c r="G681" t="s">
        <v>1584</v>
      </c>
      <c r="I681" t="s">
        <v>8433</v>
      </c>
    </row>
    <row r="682" spans="1:9" x14ac:dyDescent="0.2">
      <c r="A682" t="s">
        <v>607</v>
      </c>
      <c r="B682" t="s">
        <v>608</v>
      </c>
      <c r="C682" t="s">
        <v>60</v>
      </c>
      <c r="D682" t="s">
        <v>610</v>
      </c>
      <c r="E682" t="str">
        <f>HYPERLINK("/pdf/2024_10.1007_s42979-024-03152-1_P3IDF-EC__PCA-Based_Privacy-Preserving_Intrusion_Detection_Framework_for_Edge_Computing.pdf","open")</f>
        <v>open</v>
      </c>
      <c r="F682" t="s">
        <v>7119</v>
      </c>
      <c r="G682" t="s">
        <v>7173</v>
      </c>
      <c r="H682" t="s">
        <v>8434</v>
      </c>
      <c r="I682" t="s">
        <v>8435</v>
      </c>
    </row>
    <row r="683" spans="1:9" x14ac:dyDescent="0.2">
      <c r="A683" t="s">
        <v>607</v>
      </c>
      <c r="B683" t="s">
        <v>608</v>
      </c>
      <c r="C683" t="s">
        <v>60</v>
      </c>
      <c r="D683" t="s">
        <v>610</v>
      </c>
      <c r="E683" t="str">
        <f>HYPERLINK("/pdf/2024_10.1007_s42979-024-03152-1_P3IDF-EC__PCA-Based_Privacy-Preserving_Intrusion_Detection_Framework_for_Edge_Computing.pdf","open")</f>
        <v>open</v>
      </c>
      <c r="F683" t="s">
        <v>7119</v>
      </c>
      <c r="G683" t="s">
        <v>8436</v>
      </c>
      <c r="H683" t="s">
        <v>8437</v>
      </c>
      <c r="I683" t="s">
        <v>8438</v>
      </c>
    </row>
    <row r="684" spans="1:9" x14ac:dyDescent="0.2">
      <c r="A684" t="s">
        <v>607</v>
      </c>
      <c r="B684" t="s">
        <v>608</v>
      </c>
      <c r="C684" t="s">
        <v>60</v>
      </c>
      <c r="D684" t="s">
        <v>610</v>
      </c>
      <c r="E684" t="str">
        <f>HYPERLINK("/pdf/2024_10.1007_s42979-024-03152-1_P3IDF-EC__PCA-Based_Privacy-Preserving_Intrusion_Detection_Framework_for_Edge_Computing.pdf","open")</f>
        <v>open</v>
      </c>
      <c r="F684" t="s">
        <v>7119</v>
      </c>
      <c r="G684" t="s">
        <v>8101</v>
      </c>
      <c r="H684" t="s">
        <v>8439</v>
      </c>
      <c r="I684" t="s">
        <v>8440</v>
      </c>
    </row>
    <row r="685" spans="1:9" x14ac:dyDescent="0.2">
      <c r="A685" t="s">
        <v>607</v>
      </c>
      <c r="B685" t="s">
        <v>608</v>
      </c>
      <c r="C685" t="s">
        <v>60</v>
      </c>
      <c r="D685" t="s">
        <v>610</v>
      </c>
      <c r="E685" t="str">
        <f>HYPERLINK("/pdf/2024_10.1007_s42979-024-03152-1_P3IDF-EC__PCA-Based_Privacy-Preserving_Intrusion_Detection_Framework_for_Edge_Computing.pdf","open")</f>
        <v>open</v>
      </c>
      <c r="F685" t="s">
        <v>7130</v>
      </c>
      <c r="G685" t="s">
        <v>7173</v>
      </c>
      <c r="I685" t="s">
        <v>8441</v>
      </c>
    </row>
    <row r="686" spans="1:9" x14ac:dyDescent="0.2">
      <c r="A686" t="s">
        <v>607</v>
      </c>
      <c r="B686" t="s">
        <v>608</v>
      </c>
      <c r="C686" t="s">
        <v>60</v>
      </c>
      <c r="D686" t="s">
        <v>610</v>
      </c>
      <c r="E686" t="str">
        <f>HYPERLINK("/pdf/2024_10.1007_s42979-024-03152-1_P3IDF-EC__PCA-Based_Privacy-Preserving_Intrusion_Detection_Framework_for_Edge_Computing.pdf","open")</f>
        <v>open</v>
      </c>
      <c r="F686" t="s">
        <v>7130</v>
      </c>
      <c r="G686" t="s">
        <v>7295</v>
      </c>
      <c r="I686" t="s">
        <v>8442</v>
      </c>
    </row>
    <row r="687" spans="1:9" x14ac:dyDescent="0.2">
      <c r="A687" t="s">
        <v>612</v>
      </c>
      <c r="B687" t="s">
        <v>613</v>
      </c>
      <c r="C687" t="s">
        <v>19</v>
      </c>
      <c r="D687" t="s">
        <v>615</v>
      </c>
      <c r="E687" t="str">
        <f t="shared" ref="E687:E692" si="57">HYPERLINK("/pdf/2025_10.1109_isdfs65363.2025.11012123_Insider_Threat_Pattern_Detection_Using_Deep_Learning_to_Evaluate_Cyber_Value_at_Risk_(CVaR).pdf","open")</f>
        <v>open</v>
      </c>
      <c r="F687" t="s">
        <v>7119</v>
      </c>
      <c r="G687" t="s">
        <v>8443</v>
      </c>
      <c r="H687" t="s">
        <v>8444</v>
      </c>
      <c r="I687" t="s">
        <v>7416</v>
      </c>
    </row>
    <row r="688" spans="1:9" x14ac:dyDescent="0.2">
      <c r="A688" t="s">
        <v>612</v>
      </c>
      <c r="B688" t="s">
        <v>613</v>
      </c>
      <c r="C688" t="s">
        <v>19</v>
      </c>
      <c r="D688" t="s">
        <v>615</v>
      </c>
      <c r="E688" t="str">
        <f t="shared" si="57"/>
        <v>open</v>
      </c>
      <c r="F688" t="s">
        <v>7119</v>
      </c>
      <c r="G688" t="s">
        <v>7615</v>
      </c>
      <c r="H688" t="s">
        <v>8445</v>
      </c>
      <c r="I688" t="s">
        <v>7416</v>
      </c>
    </row>
    <row r="689" spans="1:9" x14ac:dyDescent="0.2">
      <c r="A689" t="s">
        <v>612</v>
      </c>
      <c r="B689" t="s">
        <v>613</v>
      </c>
      <c r="C689" t="s">
        <v>19</v>
      </c>
      <c r="D689" t="s">
        <v>615</v>
      </c>
      <c r="E689" t="str">
        <f t="shared" si="57"/>
        <v>open</v>
      </c>
      <c r="F689" t="s">
        <v>7119</v>
      </c>
      <c r="G689" t="s">
        <v>7288</v>
      </c>
      <c r="H689" t="s">
        <v>8446</v>
      </c>
      <c r="I689" t="s">
        <v>7332</v>
      </c>
    </row>
    <row r="690" spans="1:9" x14ac:dyDescent="0.2">
      <c r="A690" t="s">
        <v>612</v>
      </c>
      <c r="B690" t="s">
        <v>613</v>
      </c>
      <c r="C690" t="s">
        <v>19</v>
      </c>
      <c r="D690" t="s">
        <v>615</v>
      </c>
      <c r="E690" t="str">
        <f t="shared" si="57"/>
        <v>open</v>
      </c>
      <c r="F690" t="s">
        <v>7119</v>
      </c>
      <c r="G690" t="s">
        <v>8447</v>
      </c>
      <c r="H690" t="s">
        <v>8448</v>
      </c>
      <c r="I690" t="s">
        <v>7416</v>
      </c>
    </row>
    <row r="691" spans="1:9" x14ac:dyDescent="0.2">
      <c r="A691" t="s">
        <v>612</v>
      </c>
      <c r="B691" t="s">
        <v>613</v>
      </c>
      <c r="C691" t="s">
        <v>19</v>
      </c>
      <c r="D691" t="s">
        <v>615</v>
      </c>
      <c r="E691" t="str">
        <f t="shared" si="57"/>
        <v>open</v>
      </c>
      <c r="F691" t="s">
        <v>7130</v>
      </c>
      <c r="G691" t="s">
        <v>1592</v>
      </c>
      <c r="I691" t="s">
        <v>8449</v>
      </c>
    </row>
    <row r="692" spans="1:9" x14ac:dyDescent="0.2">
      <c r="A692" t="s">
        <v>612</v>
      </c>
      <c r="B692" t="s">
        <v>613</v>
      </c>
      <c r="C692" t="s">
        <v>19</v>
      </c>
      <c r="D692" t="s">
        <v>615</v>
      </c>
      <c r="E692" t="str">
        <f t="shared" si="57"/>
        <v>open</v>
      </c>
      <c r="F692" t="s">
        <v>7130</v>
      </c>
      <c r="G692" t="s">
        <v>1597</v>
      </c>
      <c r="I692" t="s">
        <v>8450</v>
      </c>
    </row>
    <row r="693" spans="1:9" x14ac:dyDescent="0.2">
      <c r="A693" t="s">
        <v>617</v>
      </c>
      <c r="B693" t="s">
        <v>618</v>
      </c>
      <c r="C693" t="s">
        <v>25</v>
      </c>
      <c r="D693" t="s">
        <v>619</v>
      </c>
      <c r="E693" t="str">
        <f t="shared" ref="E693:E698" si="58">HYPERLINK("/pdf/2023_10_3390_app13095568_security_ontology_ontosecrpa_for_robotic_process_automation_domain.pdf","open")</f>
        <v>open</v>
      </c>
      <c r="F693" t="s">
        <v>7119</v>
      </c>
      <c r="G693" t="s">
        <v>8451</v>
      </c>
      <c r="H693" t="s">
        <v>8452</v>
      </c>
      <c r="I693" t="s">
        <v>7178</v>
      </c>
    </row>
    <row r="694" spans="1:9" x14ac:dyDescent="0.2">
      <c r="A694" t="s">
        <v>617</v>
      </c>
      <c r="B694" t="s">
        <v>618</v>
      </c>
      <c r="C694" t="s">
        <v>25</v>
      </c>
      <c r="D694" t="s">
        <v>619</v>
      </c>
      <c r="E694" t="str">
        <f t="shared" si="58"/>
        <v>open</v>
      </c>
      <c r="F694" t="s">
        <v>7119</v>
      </c>
      <c r="G694" t="s">
        <v>8453</v>
      </c>
      <c r="H694" t="s">
        <v>8454</v>
      </c>
      <c r="I694" t="s">
        <v>8455</v>
      </c>
    </row>
    <row r="695" spans="1:9" x14ac:dyDescent="0.2">
      <c r="A695" t="s">
        <v>617</v>
      </c>
      <c r="B695" t="s">
        <v>618</v>
      </c>
      <c r="C695" t="s">
        <v>25</v>
      </c>
      <c r="D695" t="s">
        <v>619</v>
      </c>
      <c r="E695" t="str">
        <f t="shared" si="58"/>
        <v>open</v>
      </c>
      <c r="F695" t="s">
        <v>7119</v>
      </c>
      <c r="G695" t="s">
        <v>8456</v>
      </c>
      <c r="H695" t="s">
        <v>8457</v>
      </c>
      <c r="I695" t="s">
        <v>8317</v>
      </c>
    </row>
    <row r="696" spans="1:9" x14ac:dyDescent="0.2">
      <c r="A696" t="s">
        <v>617</v>
      </c>
      <c r="B696" t="s">
        <v>618</v>
      </c>
      <c r="C696" t="s">
        <v>25</v>
      </c>
      <c r="D696" t="s">
        <v>619</v>
      </c>
      <c r="E696" t="str">
        <f t="shared" si="58"/>
        <v>open</v>
      </c>
      <c r="F696" t="s">
        <v>7119</v>
      </c>
      <c r="G696" t="s">
        <v>8458</v>
      </c>
      <c r="H696" t="s">
        <v>8459</v>
      </c>
      <c r="I696" t="s">
        <v>8460</v>
      </c>
    </row>
    <row r="697" spans="1:9" x14ac:dyDescent="0.2">
      <c r="A697" t="s">
        <v>617</v>
      </c>
      <c r="B697" t="s">
        <v>618</v>
      </c>
      <c r="C697" t="s">
        <v>25</v>
      </c>
      <c r="D697" t="s">
        <v>619</v>
      </c>
      <c r="E697" t="str">
        <f t="shared" si="58"/>
        <v>open</v>
      </c>
      <c r="F697" t="s">
        <v>7130</v>
      </c>
      <c r="G697" t="s">
        <v>7203</v>
      </c>
      <c r="I697" t="s">
        <v>8461</v>
      </c>
    </row>
    <row r="698" spans="1:9" x14ac:dyDescent="0.2">
      <c r="A698" t="s">
        <v>617</v>
      </c>
      <c r="B698" t="s">
        <v>618</v>
      </c>
      <c r="C698" t="s">
        <v>25</v>
      </c>
      <c r="D698" t="s">
        <v>619</v>
      </c>
      <c r="E698" t="str">
        <f t="shared" si="58"/>
        <v>open</v>
      </c>
      <c r="F698" t="s">
        <v>7130</v>
      </c>
      <c r="G698" t="s">
        <v>1597</v>
      </c>
      <c r="I698" t="s">
        <v>8462</v>
      </c>
    </row>
    <row r="699" spans="1:9" x14ac:dyDescent="0.2">
      <c r="A699" t="s">
        <v>621</v>
      </c>
      <c r="B699" t="s">
        <v>622</v>
      </c>
      <c r="C699" t="s">
        <v>60</v>
      </c>
      <c r="D699" t="s">
        <v>624</v>
      </c>
      <c r="E699" t="str">
        <f>HYPERLINK("/pdf/2024_10.1109_icces63552.2024.10860119_Secure_Cloud-WSNs_with_Advanced_Intrusion_Detection_System_using_Kepler_Optimization_and_Bi-ConGRU_Network_App.pdf","open")</f>
        <v>open</v>
      </c>
      <c r="F699" t="s">
        <v>7119</v>
      </c>
      <c r="G699" t="s">
        <v>8463</v>
      </c>
      <c r="H699" t="s">
        <v>8464</v>
      </c>
      <c r="I699" t="s">
        <v>7154</v>
      </c>
    </row>
    <row r="700" spans="1:9" x14ac:dyDescent="0.2">
      <c r="A700" t="s">
        <v>621</v>
      </c>
      <c r="B700" t="s">
        <v>622</v>
      </c>
      <c r="C700" t="s">
        <v>60</v>
      </c>
      <c r="D700" t="s">
        <v>624</v>
      </c>
      <c r="E700" t="str">
        <f>HYPERLINK("/pdf/2024_10.1109_icces63552.2024.10860119_Secure_Cloud-WSNs_with_Advanced_Intrusion_Detection_System_using_Kepler_Optimization_and_Bi-ConGRU_Network_App.pdf","open")</f>
        <v>open</v>
      </c>
      <c r="F700" t="s">
        <v>7119</v>
      </c>
      <c r="G700" t="s">
        <v>8465</v>
      </c>
      <c r="H700" t="s">
        <v>8466</v>
      </c>
      <c r="I700" t="s">
        <v>7571</v>
      </c>
    </row>
    <row r="701" spans="1:9" x14ac:dyDescent="0.2">
      <c r="A701" t="s">
        <v>621</v>
      </c>
      <c r="B701" t="s">
        <v>622</v>
      </c>
      <c r="C701" t="s">
        <v>60</v>
      </c>
      <c r="D701" t="s">
        <v>624</v>
      </c>
      <c r="E701" t="str">
        <f>HYPERLINK("/pdf/2024_10.1109_icces63552.2024.10860119_Secure_Cloud-WSNs_with_Advanced_Intrusion_Detection_System_using_Kepler_Optimization_and_Bi-ConGRU_Network_App.pdf","open")</f>
        <v>open</v>
      </c>
      <c r="F701" t="s">
        <v>7119</v>
      </c>
      <c r="G701" t="s">
        <v>8467</v>
      </c>
      <c r="H701" t="s">
        <v>8468</v>
      </c>
      <c r="I701" t="s">
        <v>7151</v>
      </c>
    </row>
    <row r="702" spans="1:9" x14ac:dyDescent="0.2">
      <c r="A702" t="s">
        <v>621</v>
      </c>
      <c r="B702" t="s">
        <v>622</v>
      </c>
      <c r="C702" t="s">
        <v>60</v>
      </c>
      <c r="D702" t="s">
        <v>624</v>
      </c>
      <c r="E702" t="str">
        <f>HYPERLINK("/pdf/2024_10.1109_icces63552.2024.10860119_Secure_Cloud-WSNs_with_Advanced_Intrusion_Detection_System_using_Kepler_Optimization_and_Bi-ConGRU_Network_App.pdf","open")</f>
        <v>open</v>
      </c>
      <c r="F702" t="s">
        <v>7130</v>
      </c>
      <c r="G702" t="s">
        <v>7215</v>
      </c>
      <c r="I702" t="s">
        <v>8469</v>
      </c>
    </row>
    <row r="703" spans="1:9" x14ac:dyDescent="0.2">
      <c r="A703" t="s">
        <v>621</v>
      </c>
      <c r="B703" t="s">
        <v>622</v>
      </c>
      <c r="C703" t="s">
        <v>60</v>
      </c>
      <c r="D703" t="s">
        <v>624</v>
      </c>
      <c r="E703" t="str">
        <f>HYPERLINK("/pdf/2024_10.1109_icces63552.2024.10860119_Secure_Cloud-WSNs_with_Advanced_Intrusion_Detection_System_using_Kepler_Optimization_and_Bi-ConGRU_Network_App.pdf","open")</f>
        <v>open</v>
      </c>
      <c r="F703" t="s">
        <v>7130</v>
      </c>
      <c r="G703" t="s">
        <v>8470</v>
      </c>
      <c r="I703" t="s">
        <v>8471</v>
      </c>
    </row>
    <row r="704" spans="1:9" x14ac:dyDescent="0.2">
      <c r="A704" t="s">
        <v>626</v>
      </c>
      <c r="B704" t="s">
        <v>627</v>
      </c>
      <c r="C704" t="s">
        <v>19</v>
      </c>
      <c r="D704" t="s">
        <v>628</v>
      </c>
      <c r="E704" t="str">
        <f t="shared" ref="E704:E709" si="59">HYPERLINK("/pdf/2025_10_3390_app15116258_anomaly_detection_in_network_traffic_via_cross_domain_federated_graph_representation_learn.pdf","open")</f>
        <v>open</v>
      </c>
      <c r="F704" t="s">
        <v>7119</v>
      </c>
      <c r="G704" t="s">
        <v>8472</v>
      </c>
      <c r="H704" t="s">
        <v>8473</v>
      </c>
      <c r="I704" t="s">
        <v>8474</v>
      </c>
    </row>
    <row r="705" spans="1:9" x14ac:dyDescent="0.2">
      <c r="A705" t="s">
        <v>626</v>
      </c>
      <c r="B705" t="s">
        <v>627</v>
      </c>
      <c r="C705" t="s">
        <v>19</v>
      </c>
      <c r="D705" t="s">
        <v>628</v>
      </c>
      <c r="E705" t="str">
        <f t="shared" si="59"/>
        <v>open</v>
      </c>
      <c r="F705" t="s">
        <v>7119</v>
      </c>
      <c r="G705" t="s">
        <v>8475</v>
      </c>
      <c r="H705" t="s">
        <v>8476</v>
      </c>
      <c r="I705" t="s">
        <v>8477</v>
      </c>
    </row>
    <row r="706" spans="1:9" x14ac:dyDescent="0.2">
      <c r="A706" t="s">
        <v>626</v>
      </c>
      <c r="B706" t="s">
        <v>627</v>
      </c>
      <c r="C706" t="s">
        <v>19</v>
      </c>
      <c r="D706" t="s">
        <v>628</v>
      </c>
      <c r="E706" t="str">
        <f t="shared" si="59"/>
        <v>open</v>
      </c>
      <c r="F706" t="s">
        <v>7119</v>
      </c>
      <c r="G706" t="s">
        <v>8478</v>
      </c>
      <c r="H706" t="s">
        <v>8479</v>
      </c>
      <c r="I706" t="s">
        <v>8480</v>
      </c>
    </row>
    <row r="707" spans="1:9" x14ac:dyDescent="0.2">
      <c r="A707" t="s">
        <v>626</v>
      </c>
      <c r="B707" t="s">
        <v>627</v>
      </c>
      <c r="C707" t="s">
        <v>19</v>
      </c>
      <c r="D707" t="s">
        <v>628</v>
      </c>
      <c r="E707" t="str">
        <f t="shared" si="59"/>
        <v>open</v>
      </c>
      <c r="F707" t="s">
        <v>7119</v>
      </c>
      <c r="G707" t="s">
        <v>8481</v>
      </c>
      <c r="H707" t="s">
        <v>8482</v>
      </c>
      <c r="I707" t="s">
        <v>8483</v>
      </c>
    </row>
    <row r="708" spans="1:9" x14ac:dyDescent="0.2">
      <c r="A708" t="s">
        <v>626</v>
      </c>
      <c r="B708" t="s">
        <v>627</v>
      </c>
      <c r="C708" t="s">
        <v>19</v>
      </c>
      <c r="D708" t="s">
        <v>628</v>
      </c>
      <c r="E708" t="str">
        <f t="shared" si="59"/>
        <v>open</v>
      </c>
      <c r="F708" t="s">
        <v>7130</v>
      </c>
      <c r="G708" t="s">
        <v>1584</v>
      </c>
      <c r="I708" t="s">
        <v>8484</v>
      </c>
    </row>
    <row r="709" spans="1:9" x14ac:dyDescent="0.2">
      <c r="A709" t="s">
        <v>626</v>
      </c>
      <c r="B709" t="s">
        <v>627</v>
      </c>
      <c r="C709" t="s">
        <v>19</v>
      </c>
      <c r="D709" t="s">
        <v>628</v>
      </c>
      <c r="E709" t="str">
        <f t="shared" si="59"/>
        <v>open</v>
      </c>
      <c r="F709" t="s">
        <v>7130</v>
      </c>
      <c r="G709" t="s">
        <v>1575</v>
      </c>
      <c r="I709" t="s">
        <v>8485</v>
      </c>
    </row>
    <row r="710" spans="1:9" x14ac:dyDescent="0.2">
      <c r="A710" t="s">
        <v>630</v>
      </c>
      <c r="B710" t="s">
        <v>631</v>
      </c>
      <c r="C710" t="s">
        <v>19</v>
      </c>
      <c r="D710" t="s">
        <v>633</v>
      </c>
      <c r="E710" t="str">
        <f>HYPERLINK("/pdf/2025_10_58346_jisis_2025_i3_021_secure_wireless_connectivity_frameworks_for_financial_internet_services.pdf","open")</f>
        <v>open</v>
      </c>
      <c r="F710" t="s">
        <v>7119</v>
      </c>
      <c r="G710" t="s">
        <v>8486</v>
      </c>
      <c r="H710" t="s">
        <v>8487</v>
      </c>
      <c r="I710" t="s">
        <v>8488</v>
      </c>
    </row>
    <row r="711" spans="1:9" x14ac:dyDescent="0.2">
      <c r="A711" t="s">
        <v>630</v>
      </c>
      <c r="B711" t="s">
        <v>631</v>
      </c>
      <c r="C711" t="s">
        <v>19</v>
      </c>
      <c r="D711" t="s">
        <v>633</v>
      </c>
      <c r="E711" t="str">
        <f>HYPERLINK("/pdf/2025_10_58346_jisis_2025_i3_021_secure_wireless_connectivity_frameworks_for_financial_internet_services.pdf","open")</f>
        <v>open</v>
      </c>
      <c r="F711" t="s">
        <v>7119</v>
      </c>
      <c r="G711" t="s">
        <v>8489</v>
      </c>
      <c r="H711" t="s">
        <v>8490</v>
      </c>
      <c r="I711" t="s">
        <v>8491</v>
      </c>
    </row>
    <row r="712" spans="1:9" x14ac:dyDescent="0.2">
      <c r="A712" t="s">
        <v>630</v>
      </c>
      <c r="B712" t="s">
        <v>631</v>
      </c>
      <c r="C712" t="s">
        <v>19</v>
      </c>
      <c r="D712" t="s">
        <v>633</v>
      </c>
      <c r="E712" t="str">
        <f>HYPERLINK("/pdf/2025_10_58346_jisis_2025_i3_021_secure_wireless_connectivity_frameworks_for_financial_internet_services.pdf","open")</f>
        <v>open</v>
      </c>
      <c r="F712" t="s">
        <v>7119</v>
      </c>
      <c r="G712" t="s">
        <v>8492</v>
      </c>
      <c r="H712" t="s">
        <v>8493</v>
      </c>
      <c r="I712" t="s">
        <v>8494</v>
      </c>
    </row>
    <row r="713" spans="1:9" x14ac:dyDescent="0.2">
      <c r="A713" t="s">
        <v>630</v>
      </c>
      <c r="B713" t="s">
        <v>631</v>
      </c>
      <c r="C713" t="s">
        <v>19</v>
      </c>
      <c r="D713" t="s">
        <v>633</v>
      </c>
      <c r="E713" t="str">
        <f>HYPERLINK("/pdf/2025_10_58346_jisis_2025_i3_021_secure_wireless_connectivity_frameworks_for_financial_internet_services.pdf","open")</f>
        <v>open</v>
      </c>
      <c r="F713" t="s">
        <v>7130</v>
      </c>
      <c r="G713" t="s">
        <v>1571</v>
      </c>
      <c r="I713" t="s">
        <v>7158</v>
      </c>
    </row>
    <row r="714" spans="1:9" x14ac:dyDescent="0.2">
      <c r="A714" t="s">
        <v>630</v>
      </c>
      <c r="B714" t="s">
        <v>631</v>
      </c>
      <c r="C714" t="s">
        <v>19</v>
      </c>
      <c r="D714" t="s">
        <v>633</v>
      </c>
      <c r="E714" t="str">
        <f>HYPERLINK("/pdf/2025_10_58346_jisis_2025_i3_021_secure_wireless_connectivity_frameworks_for_financial_internet_services.pdf","open")</f>
        <v>open</v>
      </c>
      <c r="F714" t="s">
        <v>7130</v>
      </c>
      <c r="G714" t="s">
        <v>7203</v>
      </c>
      <c r="I714" t="s">
        <v>8495</v>
      </c>
    </row>
    <row r="715" spans="1:9" x14ac:dyDescent="0.2">
      <c r="A715" t="s">
        <v>635</v>
      </c>
      <c r="B715" t="s">
        <v>636</v>
      </c>
      <c r="C715" t="s">
        <v>36</v>
      </c>
      <c r="D715" t="s">
        <v>638</v>
      </c>
      <c r="E715" t="str">
        <f>HYPERLINK("/pdf/2021_10.1145_3474124.3474195_Examining_security_for_different_data_models.pdf","open")</f>
        <v>open</v>
      </c>
      <c r="F715" t="s">
        <v>7119</v>
      </c>
      <c r="G715" t="s">
        <v>8496</v>
      </c>
      <c r="H715" t="s">
        <v>8497</v>
      </c>
      <c r="I715" t="s">
        <v>8498</v>
      </c>
    </row>
    <row r="716" spans="1:9" x14ac:dyDescent="0.2">
      <c r="A716" t="s">
        <v>635</v>
      </c>
      <c r="B716" t="s">
        <v>636</v>
      </c>
      <c r="C716" t="s">
        <v>36</v>
      </c>
      <c r="D716" t="s">
        <v>638</v>
      </c>
      <c r="E716" t="str">
        <f>HYPERLINK("/pdf/2021_10.1145_3474124.3474195_Examining_security_for_different_data_models.pdf","open")</f>
        <v>open</v>
      </c>
      <c r="F716" t="s">
        <v>7119</v>
      </c>
      <c r="G716" t="s">
        <v>8499</v>
      </c>
      <c r="H716" t="s">
        <v>8500</v>
      </c>
      <c r="I716" t="s">
        <v>8501</v>
      </c>
    </row>
    <row r="717" spans="1:9" x14ac:dyDescent="0.2">
      <c r="A717" t="s">
        <v>635</v>
      </c>
      <c r="B717" t="s">
        <v>636</v>
      </c>
      <c r="C717" t="s">
        <v>36</v>
      </c>
      <c r="D717" t="s">
        <v>638</v>
      </c>
      <c r="E717" t="str">
        <f>HYPERLINK("/pdf/2021_10.1145_3474124.3474195_Examining_security_for_different_data_models.pdf","open")</f>
        <v>open</v>
      </c>
      <c r="F717" t="s">
        <v>7119</v>
      </c>
      <c r="G717" t="s">
        <v>8502</v>
      </c>
      <c r="H717" t="s">
        <v>8503</v>
      </c>
      <c r="I717" t="s">
        <v>8504</v>
      </c>
    </row>
    <row r="718" spans="1:9" x14ac:dyDescent="0.2">
      <c r="A718" t="s">
        <v>635</v>
      </c>
      <c r="B718" t="s">
        <v>636</v>
      </c>
      <c r="C718" t="s">
        <v>36</v>
      </c>
      <c r="D718" t="s">
        <v>638</v>
      </c>
      <c r="E718" t="str">
        <f>HYPERLINK("/pdf/2021_10.1145_3474124.3474195_Examining_security_for_different_data_models.pdf","open")</f>
        <v>open</v>
      </c>
      <c r="F718" t="s">
        <v>7130</v>
      </c>
      <c r="G718" t="s">
        <v>1571</v>
      </c>
      <c r="I718" t="s">
        <v>8505</v>
      </c>
    </row>
    <row r="719" spans="1:9" x14ac:dyDescent="0.2">
      <c r="A719" t="s">
        <v>635</v>
      </c>
      <c r="B719" t="s">
        <v>636</v>
      </c>
      <c r="C719" t="s">
        <v>36</v>
      </c>
      <c r="D719" t="s">
        <v>638</v>
      </c>
      <c r="E719" t="str">
        <f>HYPERLINK("/pdf/2021_10.1145_3474124.3474195_Examining_security_for_different_data_models.pdf","open")</f>
        <v>open</v>
      </c>
      <c r="F719" t="s">
        <v>7130</v>
      </c>
      <c r="G719" t="s">
        <v>1592</v>
      </c>
      <c r="I719" t="s">
        <v>8506</v>
      </c>
    </row>
    <row r="720" spans="1:9" x14ac:dyDescent="0.2">
      <c r="A720" t="s">
        <v>640</v>
      </c>
      <c r="B720" t="s">
        <v>641</v>
      </c>
      <c r="C720" t="s">
        <v>598</v>
      </c>
      <c r="D720" t="s">
        <v>643</v>
      </c>
      <c r="E720" t="str">
        <f>HYPERLINK("/pdf/2012_10.1109_cybersec.2012.6246117_Hierarchical_secure_virtualization_model_for_cloud.pdf","open")</f>
        <v>open</v>
      </c>
      <c r="F720" t="s">
        <v>7119</v>
      </c>
      <c r="G720" t="s">
        <v>8507</v>
      </c>
      <c r="H720" t="s">
        <v>8508</v>
      </c>
      <c r="I720" t="s">
        <v>8055</v>
      </c>
    </row>
    <row r="721" spans="1:9" x14ac:dyDescent="0.2">
      <c r="A721" t="s">
        <v>640</v>
      </c>
      <c r="B721" t="s">
        <v>641</v>
      </c>
      <c r="C721" t="s">
        <v>598</v>
      </c>
      <c r="D721" t="s">
        <v>643</v>
      </c>
      <c r="E721" t="str">
        <f>HYPERLINK("/pdf/2012_10.1109_cybersec.2012.6246117_Hierarchical_secure_virtualization_model_for_cloud.pdf","open")</f>
        <v>open</v>
      </c>
      <c r="F721" t="s">
        <v>7119</v>
      </c>
      <c r="G721" t="s">
        <v>8509</v>
      </c>
      <c r="H721" t="s">
        <v>8510</v>
      </c>
      <c r="I721" t="s">
        <v>7151</v>
      </c>
    </row>
    <row r="722" spans="1:9" x14ac:dyDescent="0.2">
      <c r="A722" t="s">
        <v>640</v>
      </c>
      <c r="B722" t="s">
        <v>641</v>
      </c>
      <c r="C722" t="s">
        <v>598</v>
      </c>
      <c r="D722" t="s">
        <v>643</v>
      </c>
      <c r="E722" t="str">
        <f>HYPERLINK("/pdf/2012_10.1109_cybersec.2012.6246117_Hierarchical_secure_virtualization_model_for_cloud.pdf","open")</f>
        <v>open</v>
      </c>
      <c r="F722" t="s">
        <v>7130</v>
      </c>
      <c r="G722" t="s">
        <v>7159</v>
      </c>
      <c r="I722" t="s">
        <v>8511</v>
      </c>
    </row>
    <row r="723" spans="1:9" x14ac:dyDescent="0.2">
      <c r="A723" t="s">
        <v>645</v>
      </c>
      <c r="B723" t="s">
        <v>646</v>
      </c>
      <c r="C723" t="s">
        <v>19</v>
      </c>
      <c r="D723" t="s">
        <v>648</v>
      </c>
      <c r="E723" t="str">
        <f t="shared" ref="E723:E728" si="60">HYPERLINK("/pdf/2025_10.1007_s11042-023-16777-w_Blockchain-based_color_medical_image_cryptosystem_for_industrial_Internet_of_Healthcare_Things_(IoHT).pdf","open")</f>
        <v>open</v>
      </c>
      <c r="F723" t="s">
        <v>7119</v>
      </c>
      <c r="G723" t="s">
        <v>8512</v>
      </c>
      <c r="H723" t="s">
        <v>8513</v>
      </c>
      <c r="I723" t="s">
        <v>8082</v>
      </c>
    </row>
    <row r="724" spans="1:9" x14ac:dyDescent="0.2">
      <c r="A724" t="s">
        <v>645</v>
      </c>
      <c r="B724" t="s">
        <v>646</v>
      </c>
      <c r="C724" t="s">
        <v>19</v>
      </c>
      <c r="D724" t="s">
        <v>648</v>
      </c>
      <c r="E724" t="str">
        <f t="shared" si="60"/>
        <v>open</v>
      </c>
      <c r="F724" t="s">
        <v>7119</v>
      </c>
      <c r="G724" t="s">
        <v>7330</v>
      </c>
      <c r="H724" t="s">
        <v>8514</v>
      </c>
      <c r="I724" t="s">
        <v>8515</v>
      </c>
    </row>
    <row r="725" spans="1:9" x14ac:dyDescent="0.2">
      <c r="A725" t="s">
        <v>645</v>
      </c>
      <c r="B725" t="s">
        <v>646</v>
      </c>
      <c r="C725" t="s">
        <v>19</v>
      </c>
      <c r="D725" t="s">
        <v>648</v>
      </c>
      <c r="E725" t="str">
        <f t="shared" si="60"/>
        <v>open</v>
      </c>
      <c r="F725" t="s">
        <v>7119</v>
      </c>
      <c r="G725" t="s">
        <v>8101</v>
      </c>
      <c r="H725" t="s">
        <v>8516</v>
      </c>
      <c r="I725" t="s">
        <v>8082</v>
      </c>
    </row>
    <row r="726" spans="1:9" x14ac:dyDescent="0.2">
      <c r="A726" t="s">
        <v>645</v>
      </c>
      <c r="B726" t="s">
        <v>646</v>
      </c>
      <c r="C726" t="s">
        <v>19</v>
      </c>
      <c r="D726" t="s">
        <v>648</v>
      </c>
      <c r="E726" t="str">
        <f t="shared" si="60"/>
        <v>open</v>
      </c>
      <c r="F726" t="s">
        <v>7119</v>
      </c>
      <c r="G726" t="s">
        <v>7322</v>
      </c>
      <c r="H726" t="s">
        <v>8517</v>
      </c>
      <c r="I726" t="s">
        <v>8518</v>
      </c>
    </row>
    <row r="727" spans="1:9" x14ac:dyDescent="0.2">
      <c r="A727" t="s">
        <v>645</v>
      </c>
      <c r="B727" t="s">
        <v>646</v>
      </c>
      <c r="C727" t="s">
        <v>19</v>
      </c>
      <c r="D727" t="s">
        <v>648</v>
      </c>
      <c r="E727" t="str">
        <f t="shared" si="60"/>
        <v>open</v>
      </c>
      <c r="F727" t="s">
        <v>7130</v>
      </c>
      <c r="G727" t="s">
        <v>1597</v>
      </c>
      <c r="I727" t="s">
        <v>8519</v>
      </c>
    </row>
    <row r="728" spans="1:9" x14ac:dyDescent="0.2">
      <c r="A728" t="s">
        <v>645</v>
      </c>
      <c r="B728" t="s">
        <v>646</v>
      </c>
      <c r="C728" t="s">
        <v>19</v>
      </c>
      <c r="D728" t="s">
        <v>648</v>
      </c>
      <c r="E728" t="str">
        <f t="shared" si="60"/>
        <v>open</v>
      </c>
      <c r="F728" t="s">
        <v>7130</v>
      </c>
      <c r="G728" t="s">
        <v>7295</v>
      </c>
      <c r="I728" t="s">
        <v>8520</v>
      </c>
    </row>
    <row r="729" spans="1:9" x14ac:dyDescent="0.2">
      <c r="A729" t="s">
        <v>650</v>
      </c>
      <c r="B729" t="s">
        <v>651</v>
      </c>
      <c r="C729" t="s">
        <v>156</v>
      </c>
      <c r="D729" t="s">
        <v>652</v>
      </c>
      <c r="E729" t="str">
        <f t="shared" ref="E729:E735" si="61">HYPERLINK("/pdf/2013_10.1007_s10796-010-9266-9_Application_of_density-based_outlier_detection_to_database_activity_monitoring.pdf","open")</f>
        <v>open</v>
      </c>
      <c r="F729" t="s">
        <v>7119</v>
      </c>
      <c r="G729" t="s">
        <v>8521</v>
      </c>
      <c r="H729" t="s">
        <v>8522</v>
      </c>
      <c r="I729" t="s">
        <v>7178</v>
      </c>
    </row>
    <row r="730" spans="1:9" x14ac:dyDescent="0.2">
      <c r="A730" t="s">
        <v>650</v>
      </c>
      <c r="B730" t="s">
        <v>651</v>
      </c>
      <c r="C730" t="s">
        <v>156</v>
      </c>
      <c r="D730" t="s">
        <v>652</v>
      </c>
      <c r="E730" t="str">
        <f t="shared" si="61"/>
        <v>open</v>
      </c>
      <c r="F730" t="s">
        <v>7119</v>
      </c>
      <c r="G730" t="s">
        <v>8523</v>
      </c>
      <c r="H730" t="s">
        <v>8524</v>
      </c>
      <c r="I730" t="s">
        <v>8525</v>
      </c>
    </row>
    <row r="731" spans="1:9" x14ac:dyDescent="0.2">
      <c r="A731" t="s">
        <v>650</v>
      </c>
      <c r="B731" t="s">
        <v>651</v>
      </c>
      <c r="C731" t="s">
        <v>156</v>
      </c>
      <c r="D731" t="s">
        <v>652</v>
      </c>
      <c r="E731" t="str">
        <f t="shared" si="61"/>
        <v>open</v>
      </c>
      <c r="F731" t="s">
        <v>7119</v>
      </c>
      <c r="G731" t="s">
        <v>8526</v>
      </c>
      <c r="H731" t="s">
        <v>8527</v>
      </c>
      <c r="I731" t="s">
        <v>7268</v>
      </c>
    </row>
    <row r="732" spans="1:9" x14ac:dyDescent="0.2">
      <c r="A732" t="s">
        <v>650</v>
      </c>
      <c r="B732" t="s">
        <v>651</v>
      </c>
      <c r="C732" t="s">
        <v>156</v>
      </c>
      <c r="D732" t="s">
        <v>652</v>
      </c>
      <c r="E732" t="str">
        <f t="shared" si="61"/>
        <v>open</v>
      </c>
      <c r="F732" t="s">
        <v>7119</v>
      </c>
      <c r="G732" t="s">
        <v>8528</v>
      </c>
      <c r="H732" t="s">
        <v>8529</v>
      </c>
      <c r="I732" t="s">
        <v>8530</v>
      </c>
    </row>
    <row r="733" spans="1:9" x14ac:dyDescent="0.2">
      <c r="A733" t="s">
        <v>650</v>
      </c>
      <c r="B733" t="s">
        <v>651</v>
      </c>
      <c r="C733" t="s">
        <v>156</v>
      </c>
      <c r="D733" t="s">
        <v>652</v>
      </c>
      <c r="E733" t="str">
        <f t="shared" si="61"/>
        <v>open</v>
      </c>
      <c r="F733" t="s">
        <v>7119</v>
      </c>
      <c r="G733" t="s">
        <v>8531</v>
      </c>
      <c r="H733" t="s">
        <v>8532</v>
      </c>
      <c r="I733" t="s">
        <v>8533</v>
      </c>
    </row>
    <row r="734" spans="1:9" x14ac:dyDescent="0.2">
      <c r="A734" t="s">
        <v>650</v>
      </c>
      <c r="B734" t="s">
        <v>651</v>
      </c>
      <c r="C734" t="s">
        <v>156</v>
      </c>
      <c r="D734" t="s">
        <v>652</v>
      </c>
      <c r="E734" t="str">
        <f t="shared" si="61"/>
        <v>open</v>
      </c>
      <c r="F734" t="s">
        <v>7130</v>
      </c>
      <c r="G734" t="s">
        <v>8534</v>
      </c>
      <c r="I734" t="s">
        <v>8535</v>
      </c>
    </row>
    <row r="735" spans="1:9" x14ac:dyDescent="0.2">
      <c r="A735" t="s">
        <v>650</v>
      </c>
      <c r="B735" t="s">
        <v>651</v>
      </c>
      <c r="C735" t="s">
        <v>156</v>
      </c>
      <c r="D735" t="s">
        <v>652</v>
      </c>
      <c r="E735" t="str">
        <f t="shared" si="61"/>
        <v>open</v>
      </c>
      <c r="F735" t="s">
        <v>7130</v>
      </c>
      <c r="G735" t="s">
        <v>8536</v>
      </c>
      <c r="I735" t="s">
        <v>8537</v>
      </c>
    </row>
    <row r="736" spans="1:9" x14ac:dyDescent="0.2">
      <c r="A736" t="s">
        <v>654</v>
      </c>
      <c r="B736" t="s">
        <v>655</v>
      </c>
      <c r="C736" t="s">
        <v>363</v>
      </c>
      <c r="D736" t="s">
        <v>148</v>
      </c>
      <c r="E736" t="str">
        <f t="shared" ref="E736:E742" si="62">HYPERLINK("/pdf/2016_Dynamic_intrusion_detection_in_database_systems__A_machine-learning_approach.pdf","open")</f>
        <v>open</v>
      </c>
      <c r="F736" t="s">
        <v>7119</v>
      </c>
      <c r="G736" t="s">
        <v>8538</v>
      </c>
      <c r="H736" t="s">
        <v>8539</v>
      </c>
      <c r="I736" t="s">
        <v>8540</v>
      </c>
    </row>
    <row r="737" spans="1:9" x14ac:dyDescent="0.2">
      <c r="A737" t="s">
        <v>654</v>
      </c>
      <c r="B737" t="s">
        <v>655</v>
      </c>
      <c r="C737" t="s">
        <v>363</v>
      </c>
      <c r="D737" t="s">
        <v>148</v>
      </c>
      <c r="E737" t="str">
        <f t="shared" si="62"/>
        <v>open</v>
      </c>
      <c r="F737" t="s">
        <v>7119</v>
      </c>
      <c r="G737" t="s">
        <v>8541</v>
      </c>
      <c r="H737" t="s">
        <v>8542</v>
      </c>
      <c r="I737" t="s">
        <v>7151</v>
      </c>
    </row>
    <row r="738" spans="1:9" x14ac:dyDescent="0.2">
      <c r="A738" t="s">
        <v>654</v>
      </c>
      <c r="B738" t="s">
        <v>655</v>
      </c>
      <c r="C738" t="s">
        <v>363</v>
      </c>
      <c r="D738" t="s">
        <v>148</v>
      </c>
      <c r="E738" t="str">
        <f t="shared" si="62"/>
        <v>open</v>
      </c>
      <c r="F738" t="s">
        <v>7119</v>
      </c>
      <c r="G738" t="s">
        <v>8543</v>
      </c>
      <c r="H738" t="s">
        <v>8544</v>
      </c>
      <c r="I738" t="s">
        <v>8545</v>
      </c>
    </row>
    <row r="739" spans="1:9" x14ac:dyDescent="0.2">
      <c r="A739" t="s">
        <v>654</v>
      </c>
      <c r="B739" t="s">
        <v>655</v>
      </c>
      <c r="C739" t="s">
        <v>363</v>
      </c>
      <c r="D739" t="s">
        <v>148</v>
      </c>
      <c r="E739" t="str">
        <f t="shared" si="62"/>
        <v>open</v>
      </c>
      <c r="F739" t="s">
        <v>7119</v>
      </c>
      <c r="G739" t="s">
        <v>7330</v>
      </c>
      <c r="H739" t="s">
        <v>8546</v>
      </c>
      <c r="I739" t="s">
        <v>8545</v>
      </c>
    </row>
    <row r="740" spans="1:9" x14ac:dyDescent="0.2">
      <c r="A740" t="s">
        <v>654</v>
      </c>
      <c r="B740" t="s">
        <v>655</v>
      </c>
      <c r="C740" t="s">
        <v>363</v>
      </c>
      <c r="D740" t="s">
        <v>148</v>
      </c>
      <c r="E740" t="str">
        <f t="shared" si="62"/>
        <v>open</v>
      </c>
      <c r="F740" t="s">
        <v>7119</v>
      </c>
      <c r="G740" t="s">
        <v>8547</v>
      </c>
      <c r="H740" t="s">
        <v>8548</v>
      </c>
      <c r="I740" t="s">
        <v>8545</v>
      </c>
    </row>
    <row r="741" spans="1:9" x14ac:dyDescent="0.2">
      <c r="A741" t="s">
        <v>654</v>
      </c>
      <c r="B741" t="s">
        <v>655</v>
      </c>
      <c r="C741" t="s">
        <v>363</v>
      </c>
      <c r="D741" t="s">
        <v>148</v>
      </c>
      <c r="E741" t="str">
        <f t="shared" si="62"/>
        <v>open</v>
      </c>
      <c r="F741" t="s">
        <v>7130</v>
      </c>
      <c r="G741" t="s">
        <v>7215</v>
      </c>
      <c r="I741" t="s">
        <v>8549</v>
      </c>
    </row>
    <row r="742" spans="1:9" x14ac:dyDescent="0.2">
      <c r="A742" t="s">
        <v>654</v>
      </c>
      <c r="B742" t="s">
        <v>655</v>
      </c>
      <c r="C742" t="s">
        <v>363</v>
      </c>
      <c r="D742" t="s">
        <v>148</v>
      </c>
      <c r="E742" t="str">
        <f t="shared" si="62"/>
        <v>open</v>
      </c>
      <c r="F742" t="s">
        <v>7130</v>
      </c>
      <c r="G742" t="s">
        <v>8470</v>
      </c>
      <c r="I742" t="s">
        <v>8550</v>
      </c>
    </row>
    <row r="743" spans="1:9" x14ac:dyDescent="0.2">
      <c r="A743" t="s">
        <v>658</v>
      </c>
      <c r="B743" t="s">
        <v>659</v>
      </c>
      <c r="C743" t="s">
        <v>19</v>
      </c>
      <c r="D743" t="s">
        <v>661</v>
      </c>
      <c r="E743" t="str">
        <f t="shared" ref="E743:E748" si="63">HYPERLINK("/pdf/2025_10_3390_electronics14234590_prifed_ids_a_privacy_preserving_federated_reinforcement_learning_framework_for_secure_and.pdf","open")</f>
        <v>open</v>
      </c>
      <c r="F743" t="s">
        <v>7119</v>
      </c>
      <c r="G743" t="s">
        <v>7173</v>
      </c>
      <c r="H743" t="s">
        <v>8551</v>
      </c>
      <c r="I743" t="s">
        <v>8552</v>
      </c>
    </row>
    <row r="744" spans="1:9" x14ac:dyDescent="0.2">
      <c r="A744" t="s">
        <v>658</v>
      </c>
      <c r="B744" t="s">
        <v>659</v>
      </c>
      <c r="C744" t="s">
        <v>19</v>
      </c>
      <c r="D744" t="s">
        <v>661</v>
      </c>
      <c r="E744" t="str">
        <f t="shared" si="63"/>
        <v>open</v>
      </c>
      <c r="F744" t="s">
        <v>7119</v>
      </c>
      <c r="G744" t="s">
        <v>7380</v>
      </c>
      <c r="H744" t="s">
        <v>8553</v>
      </c>
      <c r="I744" t="s">
        <v>8552</v>
      </c>
    </row>
    <row r="745" spans="1:9" x14ac:dyDescent="0.2">
      <c r="A745" t="s">
        <v>658</v>
      </c>
      <c r="B745" t="s">
        <v>659</v>
      </c>
      <c r="C745" t="s">
        <v>19</v>
      </c>
      <c r="D745" t="s">
        <v>661</v>
      </c>
      <c r="E745" t="str">
        <f t="shared" si="63"/>
        <v>open</v>
      </c>
      <c r="F745" t="s">
        <v>7119</v>
      </c>
      <c r="G745" t="s">
        <v>8554</v>
      </c>
      <c r="H745" t="s">
        <v>8555</v>
      </c>
      <c r="I745" t="s">
        <v>8556</v>
      </c>
    </row>
    <row r="746" spans="1:9" x14ac:dyDescent="0.2">
      <c r="A746" t="s">
        <v>658</v>
      </c>
      <c r="B746" t="s">
        <v>659</v>
      </c>
      <c r="C746" t="s">
        <v>19</v>
      </c>
      <c r="D746" t="s">
        <v>661</v>
      </c>
      <c r="E746" t="str">
        <f t="shared" si="63"/>
        <v>open</v>
      </c>
      <c r="F746" t="s">
        <v>7119</v>
      </c>
      <c r="G746" t="s">
        <v>7295</v>
      </c>
      <c r="H746" t="s">
        <v>8557</v>
      </c>
      <c r="I746" t="s">
        <v>8552</v>
      </c>
    </row>
    <row r="747" spans="1:9" x14ac:dyDescent="0.2">
      <c r="A747" t="s">
        <v>658</v>
      </c>
      <c r="B747" t="s">
        <v>659</v>
      </c>
      <c r="C747" t="s">
        <v>19</v>
      </c>
      <c r="D747" t="s">
        <v>661</v>
      </c>
      <c r="E747" t="str">
        <f t="shared" si="63"/>
        <v>open</v>
      </c>
      <c r="F747" t="s">
        <v>7130</v>
      </c>
      <c r="G747" t="s">
        <v>1584</v>
      </c>
      <c r="I747" t="s">
        <v>8558</v>
      </c>
    </row>
    <row r="748" spans="1:9" x14ac:dyDescent="0.2">
      <c r="A748" t="s">
        <v>658</v>
      </c>
      <c r="B748" t="s">
        <v>659</v>
      </c>
      <c r="C748" t="s">
        <v>19</v>
      </c>
      <c r="D748" t="s">
        <v>661</v>
      </c>
      <c r="E748" t="str">
        <f t="shared" si="63"/>
        <v>open</v>
      </c>
      <c r="F748" t="s">
        <v>7130</v>
      </c>
      <c r="G748" t="s">
        <v>7288</v>
      </c>
      <c r="I748" t="s">
        <v>8559</v>
      </c>
    </row>
    <row r="749" spans="1:9" x14ac:dyDescent="0.2">
      <c r="A749" t="s">
        <v>663</v>
      </c>
      <c r="B749" t="s">
        <v>664</v>
      </c>
      <c r="C749" t="s">
        <v>54</v>
      </c>
      <c r="D749" t="s">
        <v>666</v>
      </c>
      <c r="E749" t="str">
        <f>HYPERLINK("/pdf/2020_10_3390_electronics9111937_fast_packet_inspection_for_end_to_end_encryption.pdf","open")</f>
        <v>open</v>
      </c>
      <c r="F749" t="s">
        <v>7119</v>
      </c>
      <c r="G749" t="s">
        <v>7877</v>
      </c>
      <c r="H749" t="s">
        <v>8560</v>
      </c>
      <c r="I749" t="s">
        <v>8561</v>
      </c>
    </row>
    <row r="750" spans="1:9" x14ac:dyDescent="0.2">
      <c r="A750" t="s">
        <v>663</v>
      </c>
      <c r="B750" t="s">
        <v>664</v>
      </c>
      <c r="C750" t="s">
        <v>54</v>
      </c>
      <c r="D750" t="s">
        <v>666</v>
      </c>
      <c r="E750" t="str">
        <f>HYPERLINK("/pdf/2020_10_3390_electronics9111937_fast_packet_inspection_for_end_to_end_encryption.pdf","open")</f>
        <v>open</v>
      </c>
      <c r="F750" t="s">
        <v>7119</v>
      </c>
      <c r="G750" t="s">
        <v>7203</v>
      </c>
      <c r="H750" t="s">
        <v>8562</v>
      </c>
      <c r="I750" t="s">
        <v>8563</v>
      </c>
    </row>
    <row r="751" spans="1:9" x14ac:dyDescent="0.2">
      <c r="A751" t="s">
        <v>663</v>
      </c>
      <c r="B751" t="s">
        <v>664</v>
      </c>
      <c r="C751" t="s">
        <v>54</v>
      </c>
      <c r="D751" t="s">
        <v>666</v>
      </c>
      <c r="E751" t="str">
        <f>HYPERLINK("/pdf/2020_10_3390_electronics9111937_fast_packet_inspection_for_end_to_end_encryption.pdf","open")</f>
        <v>open</v>
      </c>
      <c r="F751" t="s">
        <v>7119</v>
      </c>
      <c r="G751" t="s">
        <v>7585</v>
      </c>
      <c r="H751" t="s">
        <v>148</v>
      </c>
      <c r="I751" t="s">
        <v>8564</v>
      </c>
    </row>
    <row r="752" spans="1:9" x14ac:dyDescent="0.2">
      <c r="A752" t="s">
        <v>663</v>
      </c>
      <c r="B752" t="s">
        <v>664</v>
      </c>
      <c r="C752" t="s">
        <v>54</v>
      </c>
      <c r="D752" t="s">
        <v>666</v>
      </c>
      <c r="E752" t="str">
        <f>HYPERLINK("/pdf/2020_10_3390_electronics9111937_fast_packet_inspection_for_end_to_end_encryption.pdf","open")</f>
        <v>open</v>
      </c>
      <c r="F752" t="s">
        <v>7130</v>
      </c>
      <c r="G752" t="s">
        <v>7215</v>
      </c>
      <c r="I752" t="s">
        <v>8565</v>
      </c>
    </row>
    <row r="753" spans="1:9" x14ac:dyDescent="0.2">
      <c r="A753" t="s">
        <v>663</v>
      </c>
      <c r="B753" t="s">
        <v>664</v>
      </c>
      <c r="C753" t="s">
        <v>54</v>
      </c>
      <c r="D753" t="s">
        <v>666</v>
      </c>
      <c r="E753" t="str">
        <f>HYPERLINK("/pdf/2020_10_3390_electronics9111937_fast_packet_inspection_for_end_to_end_encryption.pdf","open")</f>
        <v>open</v>
      </c>
      <c r="F753" t="s">
        <v>7130</v>
      </c>
      <c r="G753" t="s">
        <v>7159</v>
      </c>
      <c r="I753" t="s">
        <v>8566</v>
      </c>
    </row>
    <row r="754" spans="1:9" x14ac:dyDescent="0.2">
      <c r="A754" t="s">
        <v>668</v>
      </c>
      <c r="B754" t="s">
        <v>669</v>
      </c>
      <c r="C754" t="s">
        <v>25</v>
      </c>
      <c r="D754" t="s">
        <v>670</v>
      </c>
      <c r="E754" t="str">
        <f t="shared" ref="E754:E760" si="64">HYPERLINK("/pdf/2023_10.1007_s10207-023-00727-6_Federated_learning-based_intrusion_detection_system_for_Internet_of_Things.pdf","open")</f>
        <v>open</v>
      </c>
      <c r="F754" t="s">
        <v>7119</v>
      </c>
      <c r="G754" t="s">
        <v>8567</v>
      </c>
      <c r="H754" t="s">
        <v>8568</v>
      </c>
      <c r="I754" t="s">
        <v>8525</v>
      </c>
    </row>
    <row r="755" spans="1:9" x14ac:dyDescent="0.2">
      <c r="A755" t="s">
        <v>668</v>
      </c>
      <c r="B755" t="s">
        <v>669</v>
      </c>
      <c r="C755" t="s">
        <v>25</v>
      </c>
      <c r="D755" t="s">
        <v>670</v>
      </c>
      <c r="E755" t="str">
        <f t="shared" si="64"/>
        <v>open</v>
      </c>
      <c r="F755" t="s">
        <v>7119</v>
      </c>
      <c r="G755" t="s">
        <v>8569</v>
      </c>
      <c r="H755" t="s">
        <v>8570</v>
      </c>
      <c r="I755" t="s">
        <v>8571</v>
      </c>
    </row>
    <row r="756" spans="1:9" x14ac:dyDescent="0.2">
      <c r="A756" t="s">
        <v>668</v>
      </c>
      <c r="B756" t="s">
        <v>669</v>
      </c>
      <c r="C756" t="s">
        <v>25</v>
      </c>
      <c r="D756" t="s">
        <v>670</v>
      </c>
      <c r="E756" t="str">
        <f t="shared" si="64"/>
        <v>open</v>
      </c>
      <c r="F756" t="s">
        <v>7119</v>
      </c>
      <c r="G756" t="s">
        <v>8572</v>
      </c>
      <c r="H756" t="s">
        <v>8573</v>
      </c>
      <c r="I756" t="s">
        <v>7185</v>
      </c>
    </row>
    <row r="757" spans="1:9" x14ac:dyDescent="0.2">
      <c r="A757" t="s">
        <v>668</v>
      </c>
      <c r="B757" t="s">
        <v>669</v>
      </c>
      <c r="C757" t="s">
        <v>25</v>
      </c>
      <c r="D757" t="s">
        <v>670</v>
      </c>
      <c r="E757" t="str">
        <f t="shared" si="64"/>
        <v>open</v>
      </c>
      <c r="F757" t="s">
        <v>7119</v>
      </c>
      <c r="G757" t="s">
        <v>7173</v>
      </c>
      <c r="H757" t="s">
        <v>8574</v>
      </c>
      <c r="I757" t="s">
        <v>7356</v>
      </c>
    </row>
    <row r="758" spans="1:9" x14ac:dyDescent="0.2">
      <c r="A758" t="s">
        <v>668</v>
      </c>
      <c r="B758" t="s">
        <v>669</v>
      </c>
      <c r="C758" t="s">
        <v>25</v>
      </c>
      <c r="D758" t="s">
        <v>670</v>
      </c>
      <c r="E758" t="str">
        <f t="shared" si="64"/>
        <v>open</v>
      </c>
      <c r="F758" t="s">
        <v>7119</v>
      </c>
      <c r="G758" t="s">
        <v>8575</v>
      </c>
      <c r="H758" t="s">
        <v>8576</v>
      </c>
      <c r="I758" t="s">
        <v>7504</v>
      </c>
    </row>
    <row r="759" spans="1:9" x14ac:dyDescent="0.2">
      <c r="A759" t="s">
        <v>668</v>
      </c>
      <c r="B759" t="s">
        <v>669</v>
      </c>
      <c r="C759" t="s">
        <v>25</v>
      </c>
      <c r="D759" t="s">
        <v>670</v>
      </c>
      <c r="E759" t="str">
        <f t="shared" si="64"/>
        <v>open</v>
      </c>
      <c r="F759" t="s">
        <v>7130</v>
      </c>
      <c r="G759" t="s">
        <v>1574</v>
      </c>
      <c r="I759" t="s">
        <v>8577</v>
      </c>
    </row>
    <row r="760" spans="1:9" x14ac:dyDescent="0.2">
      <c r="A760" t="s">
        <v>668</v>
      </c>
      <c r="B760" t="s">
        <v>669</v>
      </c>
      <c r="C760" t="s">
        <v>25</v>
      </c>
      <c r="D760" t="s">
        <v>670</v>
      </c>
      <c r="E760" t="str">
        <f t="shared" si="64"/>
        <v>open</v>
      </c>
      <c r="F760" t="s">
        <v>7130</v>
      </c>
      <c r="G760" t="s">
        <v>1592</v>
      </c>
      <c r="I760" t="s">
        <v>8578</v>
      </c>
    </row>
    <row r="761" spans="1:9" x14ac:dyDescent="0.2">
      <c r="A761" t="s">
        <v>672</v>
      </c>
      <c r="B761" t="s">
        <v>673</v>
      </c>
      <c r="C761" t="s">
        <v>210</v>
      </c>
      <c r="D761" t="s">
        <v>148</v>
      </c>
      <c r="E761" t="str">
        <f>HYPERLINK("/pdf/2015_Fujitsu's_security_technology_based_on_practical_knowledge.pdf","open")</f>
        <v>open</v>
      </c>
      <c r="F761" t="s">
        <v>7119</v>
      </c>
      <c r="G761" t="s">
        <v>8579</v>
      </c>
      <c r="H761" t="s">
        <v>8580</v>
      </c>
      <c r="I761" t="s">
        <v>7151</v>
      </c>
    </row>
    <row r="762" spans="1:9" x14ac:dyDescent="0.2">
      <c r="A762" t="s">
        <v>672</v>
      </c>
      <c r="B762" t="s">
        <v>673</v>
      </c>
      <c r="C762" t="s">
        <v>210</v>
      </c>
      <c r="D762" t="s">
        <v>148</v>
      </c>
      <c r="E762" t="str">
        <f>HYPERLINK("/pdf/2015_Fujitsu's_security_technology_based_on_practical_knowledge.pdf","open")</f>
        <v>open</v>
      </c>
      <c r="F762" t="s">
        <v>7119</v>
      </c>
      <c r="G762" t="s">
        <v>8581</v>
      </c>
      <c r="H762" t="s">
        <v>8582</v>
      </c>
      <c r="I762" t="s">
        <v>8583</v>
      </c>
    </row>
    <row r="763" spans="1:9" x14ac:dyDescent="0.2">
      <c r="A763" t="s">
        <v>672</v>
      </c>
      <c r="B763" t="s">
        <v>673</v>
      </c>
      <c r="C763" t="s">
        <v>210</v>
      </c>
      <c r="D763" t="s">
        <v>148</v>
      </c>
      <c r="E763" t="str">
        <f>HYPERLINK("/pdf/2015_Fujitsu's_security_technology_based_on_practical_knowledge.pdf","open")</f>
        <v>open</v>
      </c>
      <c r="F763" t="s">
        <v>7130</v>
      </c>
      <c r="G763" t="s">
        <v>1597</v>
      </c>
      <c r="I763" t="s">
        <v>8584</v>
      </c>
    </row>
    <row r="764" spans="1:9" x14ac:dyDescent="0.2">
      <c r="A764" t="s">
        <v>675</v>
      </c>
      <c r="B764" t="s">
        <v>676</v>
      </c>
      <c r="C764" t="s">
        <v>60</v>
      </c>
      <c r="D764" t="s">
        <v>677</v>
      </c>
      <c r="E764" t="str">
        <f t="shared" ref="E764:E769" si="65">HYPERLINK("/pdf/2024_10.1007_s10207-023-00805-9_Federated_transfer_learning_for_attack_detection_for_Internet_of_Medical_Things.pdf","open")</f>
        <v>open</v>
      </c>
      <c r="F764" t="s">
        <v>7119</v>
      </c>
      <c r="G764" t="s">
        <v>7173</v>
      </c>
      <c r="H764" t="s">
        <v>8585</v>
      </c>
      <c r="I764" t="s">
        <v>8586</v>
      </c>
    </row>
    <row r="765" spans="1:9" x14ac:dyDescent="0.2">
      <c r="A765" t="s">
        <v>675</v>
      </c>
      <c r="B765" t="s">
        <v>676</v>
      </c>
      <c r="C765" t="s">
        <v>60</v>
      </c>
      <c r="D765" t="s">
        <v>677</v>
      </c>
      <c r="E765" t="str">
        <f t="shared" si="65"/>
        <v>open</v>
      </c>
      <c r="F765" t="s">
        <v>7119</v>
      </c>
      <c r="G765" t="s">
        <v>8587</v>
      </c>
      <c r="H765" t="s">
        <v>8588</v>
      </c>
      <c r="I765" t="s">
        <v>8589</v>
      </c>
    </row>
    <row r="766" spans="1:9" x14ac:dyDescent="0.2">
      <c r="A766" t="s">
        <v>675</v>
      </c>
      <c r="B766" t="s">
        <v>676</v>
      </c>
      <c r="C766" t="s">
        <v>60</v>
      </c>
      <c r="D766" t="s">
        <v>677</v>
      </c>
      <c r="E766" t="str">
        <f t="shared" si="65"/>
        <v>open</v>
      </c>
      <c r="F766" t="s">
        <v>7119</v>
      </c>
      <c r="G766" t="s">
        <v>8590</v>
      </c>
      <c r="H766" t="s">
        <v>8591</v>
      </c>
      <c r="I766" t="s">
        <v>8592</v>
      </c>
    </row>
    <row r="767" spans="1:9" x14ac:dyDescent="0.2">
      <c r="A767" t="s">
        <v>675</v>
      </c>
      <c r="B767" t="s">
        <v>676</v>
      </c>
      <c r="C767" t="s">
        <v>60</v>
      </c>
      <c r="D767" t="s">
        <v>677</v>
      </c>
      <c r="E767" t="str">
        <f t="shared" si="65"/>
        <v>open</v>
      </c>
      <c r="F767" t="s">
        <v>7119</v>
      </c>
      <c r="G767" t="s">
        <v>7215</v>
      </c>
      <c r="H767" t="s">
        <v>8593</v>
      </c>
      <c r="I767" t="s">
        <v>7151</v>
      </c>
    </row>
    <row r="768" spans="1:9" x14ac:dyDescent="0.2">
      <c r="A768" t="s">
        <v>675</v>
      </c>
      <c r="B768" t="s">
        <v>676</v>
      </c>
      <c r="C768" t="s">
        <v>60</v>
      </c>
      <c r="D768" t="s">
        <v>677</v>
      </c>
      <c r="E768" t="str">
        <f t="shared" si="65"/>
        <v>open</v>
      </c>
      <c r="F768" t="s">
        <v>7130</v>
      </c>
      <c r="G768" t="s">
        <v>1584</v>
      </c>
      <c r="I768" t="s">
        <v>8594</v>
      </c>
    </row>
    <row r="769" spans="1:9" x14ac:dyDescent="0.2">
      <c r="A769" t="s">
        <v>675</v>
      </c>
      <c r="B769" t="s">
        <v>676</v>
      </c>
      <c r="C769" t="s">
        <v>60</v>
      </c>
      <c r="D769" t="s">
        <v>677</v>
      </c>
      <c r="E769" t="str">
        <f t="shared" si="65"/>
        <v>open</v>
      </c>
      <c r="F769" t="s">
        <v>7130</v>
      </c>
      <c r="G769" t="s">
        <v>1597</v>
      </c>
      <c r="I769" t="s">
        <v>8595</v>
      </c>
    </row>
    <row r="770" spans="1:9" x14ac:dyDescent="0.2">
      <c r="A770" t="s">
        <v>679</v>
      </c>
      <c r="B770" t="s">
        <v>680</v>
      </c>
      <c r="C770" t="s">
        <v>19</v>
      </c>
      <c r="D770" t="s">
        <v>682</v>
      </c>
      <c r="E770" t="str">
        <f t="shared" ref="E770:E775" si="66">HYPERLINK("/pdf/2025_10_37934_araset_51_2_153176_detecting_wormhole_attack_in_environmental_monitoring_system_for_agriculture_usi.pdf","open")</f>
        <v>open</v>
      </c>
      <c r="F770" t="s">
        <v>7119</v>
      </c>
      <c r="G770" t="s">
        <v>8596</v>
      </c>
      <c r="H770" t="s">
        <v>8597</v>
      </c>
      <c r="I770" t="s">
        <v>8082</v>
      </c>
    </row>
    <row r="771" spans="1:9" x14ac:dyDescent="0.2">
      <c r="A771" t="s">
        <v>679</v>
      </c>
      <c r="B771" t="s">
        <v>680</v>
      </c>
      <c r="C771" t="s">
        <v>19</v>
      </c>
      <c r="D771" t="s">
        <v>682</v>
      </c>
      <c r="E771" t="str">
        <f t="shared" si="66"/>
        <v>open</v>
      </c>
      <c r="F771" t="s">
        <v>7119</v>
      </c>
      <c r="G771" t="s">
        <v>8598</v>
      </c>
      <c r="H771" t="s">
        <v>8599</v>
      </c>
      <c r="I771" t="s">
        <v>8600</v>
      </c>
    </row>
    <row r="772" spans="1:9" x14ac:dyDescent="0.2">
      <c r="A772" t="s">
        <v>679</v>
      </c>
      <c r="B772" t="s">
        <v>680</v>
      </c>
      <c r="C772" t="s">
        <v>19</v>
      </c>
      <c r="D772" t="s">
        <v>682</v>
      </c>
      <c r="E772" t="str">
        <f t="shared" si="66"/>
        <v>open</v>
      </c>
      <c r="F772" t="s">
        <v>7119</v>
      </c>
      <c r="G772" t="s">
        <v>7354</v>
      </c>
      <c r="H772" t="s">
        <v>8601</v>
      </c>
      <c r="I772" t="s">
        <v>8602</v>
      </c>
    </row>
    <row r="773" spans="1:9" x14ac:dyDescent="0.2">
      <c r="A773" t="s">
        <v>679</v>
      </c>
      <c r="B773" t="s">
        <v>680</v>
      </c>
      <c r="C773" t="s">
        <v>19</v>
      </c>
      <c r="D773" t="s">
        <v>682</v>
      </c>
      <c r="E773" t="str">
        <f t="shared" si="66"/>
        <v>open</v>
      </c>
      <c r="F773" t="s">
        <v>7119</v>
      </c>
      <c r="G773" t="s">
        <v>7183</v>
      </c>
      <c r="H773" t="s">
        <v>8603</v>
      </c>
      <c r="I773" t="s">
        <v>8082</v>
      </c>
    </row>
    <row r="774" spans="1:9" x14ac:dyDescent="0.2">
      <c r="A774" t="s">
        <v>679</v>
      </c>
      <c r="B774" t="s">
        <v>680</v>
      </c>
      <c r="C774" t="s">
        <v>19</v>
      </c>
      <c r="D774" t="s">
        <v>682</v>
      </c>
      <c r="E774" t="str">
        <f t="shared" si="66"/>
        <v>open</v>
      </c>
      <c r="F774" t="s">
        <v>7130</v>
      </c>
      <c r="G774" t="s">
        <v>7215</v>
      </c>
      <c r="I774" t="s">
        <v>8604</v>
      </c>
    </row>
    <row r="775" spans="1:9" x14ac:dyDescent="0.2">
      <c r="A775" t="s">
        <v>679</v>
      </c>
      <c r="B775" t="s">
        <v>680</v>
      </c>
      <c r="C775" t="s">
        <v>19</v>
      </c>
      <c r="D775" t="s">
        <v>682</v>
      </c>
      <c r="E775" t="str">
        <f t="shared" si="66"/>
        <v>open</v>
      </c>
      <c r="F775" t="s">
        <v>7130</v>
      </c>
      <c r="G775" t="s">
        <v>7422</v>
      </c>
      <c r="I775" t="s">
        <v>8605</v>
      </c>
    </row>
    <row r="776" spans="1:9" x14ac:dyDescent="0.2">
      <c r="A776" t="s">
        <v>684</v>
      </c>
      <c r="B776" t="s">
        <v>685</v>
      </c>
      <c r="C776" t="s">
        <v>136</v>
      </c>
      <c r="D776" t="s">
        <v>687</v>
      </c>
      <c r="E776" t="str">
        <f>HYPERLINK("/pdf/2019_10.1109_icac49085.2019.9103339_Enhanced_Secure_Solution_for_PoS_Architecture.pdf","open")</f>
        <v>open</v>
      </c>
      <c r="F776" t="s">
        <v>7119</v>
      </c>
      <c r="G776" t="s">
        <v>8606</v>
      </c>
      <c r="H776" t="s">
        <v>8607</v>
      </c>
      <c r="I776" t="s">
        <v>8608</v>
      </c>
    </row>
    <row r="777" spans="1:9" x14ac:dyDescent="0.2">
      <c r="A777" t="s">
        <v>684</v>
      </c>
      <c r="B777" t="s">
        <v>685</v>
      </c>
      <c r="C777" t="s">
        <v>136</v>
      </c>
      <c r="D777" t="s">
        <v>687</v>
      </c>
      <c r="E777" t="str">
        <f>HYPERLINK("/pdf/2019_10.1109_icac49085.2019.9103339_Enhanced_Secure_Solution_for_PoS_Architecture.pdf","open")</f>
        <v>open</v>
      </c>
      <c r="F777" t="s">
        <v>7119</v>
      </c>
      <c r="G777" t="s">
        <v>8609</v>
      </c>
      <c r="H777" t="s">
        <v>8610</v>
      </c>
      <c r="I777" t="s">
        <v>8611</v>
      </c>
    </row>
    <row r="778" spans="1:9" x14ac:dyDescent="0.2">
      <c r="A778" t="s">
        <v>684</v>
      </c>
      <c r="B778" t="s">
        <v>685</v>
      </c>
      <c r="C778" t="s">
        <v>136</v>
      </c>
      <c r="D778" t="s">
        <v>687</v>
      </c>
      <c r="E778" t="str">
        <f>HYPERLINK("/pdf/2019_10.1109_icac49085.2019.9103339_Enhanced_Secure_Solution_for_PoS_Architecture.pdf","open")</f>
        <v>open</v>
      </c>
      <c r="F778" t="s">
        <v>7119</v>
      </c>
      <c r="G778" t="s">
        <v>8612</v>
      </c>
      <c r="H778" t="s">
        <v>8613</v>
      </c>
      <c r="I778" t="s">
        <v>8608</v>
      </c>
    </row>
    <row r="779" spans="1:9" x14ac:dyDescent="0.2">
      <c r="A779" t="s">
        <v>684</v>
      </c>
      <c r="B779" t="s">
        <v>685</v>
      </c>
      <c r="C779" t="s">
        <v>136</v>
      </c>
      <c r="D779" t="s">
        <v>687</v>
      </c>
      <c r="E779" t="str">
        <f>HYPERLINK("/pdf/2019_10.1109_icac49085.2019.9103339_Enhanced_Secure_Solution_for_PoS_Architecture.pdf","open")</f>
        <v>open</v>
      </c>
      <c r="F779" t="s">
        <v>7130</v>
      </c>
      <c r="G779" t="s">
        <v>7173</v>
      </c>
      <c r="I779" t="s">
        <v>8614</v>
      </c>
    </row>
    <row r="780" spans="1:9" x14ac:dyDescent="0.2">
      <c r="A780" t="s">
        <v>684</v>
      </c>
      <c r="B780" t="s">
        <v>685</v>
      </c>
      <c r="C780" t="s">
        <v>136</v>
      </c>
      <c r="D780" t="s">
        <v>687</v>
      </c>
      <c r="E780" t="str">
        <f>HYPERLINK("/pdf/2019_10.1109_icac49085.2019.9103339_Enhanced_Secure_Solution_for_PoS_Architecture.pdf","open")</f>
        <v>open</v>
      </c>
      <c r="F780" t="s">
        <v>7130</v>
      </c>
      <c r="G780" t="s">
        <v>7585</v>
      </c>
      <c r="I780" t="s">
        <v>8615</v>
      </c>
    </row>
    <row r="781" spans="1:9" x14ac:dyDescent="0.2">
      <c r="A781" t="s">
        <v>689</v>
      </c>
      <c r="B781" t="s">
        <v>690</v>
      </c>
      <c r="C781" t="s">
        <v>36</v>
      </c>
      <c r="D781" t="s">
        <v>692</v>
      </c>
      <c r="E781" t="str">
        <f t="shared" ref="E781:E787" si="67">HYPERLINK("/pdf/2021_10_3390_e23101258_an_insider_data_leakage_detection_using_one_hot_encoding_synthetic_minority_oversampling.pdf","open")</f>
        <v>open</v>
      </c>
      <c r="F781" t="s">
        <v>7119</v>
      </c>
      <c r="G781" t="s">
        <v>8616</v>
      </c>
      <c r="H781" t="s">
        <v>8617</v>
      </c>
      <c r="I781" t="s">
        <v>7178</v>
      </c>
    </row>
    <row r="782" spans="1:9" x14ac:dyDescent="0.2">
      <c r="A782" t="s">
        <v>689</v>
      </c>
      <c r="B782" t="s">
        <v>690</v>
      </c>
      <c r="C782" t="s">
        <v>36</v>
      </c>
      <c r="D782" t="s">
        <v>692</v>
      </c>
      <c r="E782" t="str">
        <f t="shared" si="67"/>
        <v>open</v>
      </c>
      <c r="F782" t="s">
        <v>7119</v>
      </c>
      <c r="G782" t="s">
        <v>8618</v>
      </c>
      <c r="H782" t="s">
        <v>8619</v>
      </c>
      <c r="I782" t="s">
        <v>8620</v>
      </c>
    </row>
    <row r="783" spans="1:9" x14ac:dyDescent="0.2">
      <c r="A783" t="s">
        <v>689</v>
      </c>
      <c r="B783" t="s">
        <v>690</v>
      </c>
      <c r="C783" t="s">
        <v>36</v>
      </c>
      <c r="D783" t="s">
        <v>692</v>
      </c>
      <c r="E783" t="str">
        <f t="shared" si="67"/>
        <v>open</v>
      </c>
      <c r="F783" t="s">
        <v>7119</v>
      </c>
      <c r="G783" t="s">
        <v>8621</v>
      </c>
      <c r="H783" t="s">
        <v>8622</v>
      </c>
      <c r="I783" t="s">
        <v>8623</v>
      </c>
    </row>
    <row r="784" spans="1:9" x14ac:dyDescent="0.2">
      <c r="A784" t="s">
        <v>689</v>
      </c>
      <c r="B784" t="s">
        <v>690</v>
      </c>
      <c r="C784" t="s">
        <v>36</v>
      </c>
      <c r="D784" t="s">
        <v>692</v>
      </c>
      <c r="E784" t="str">
        <f t="shared" si="67"/>
        <v>open</v>
      </c>
      <c r="F784" t="s">
        <v>7119</v>
      </c>
      <c r="G784" t="s">
        <v>7330</v>
      </c>
      <c r="H784" t="s">
        <v>8624</v>
      </c>
      <c r="I784" t="s">
        <v>8625</v>
      </c>
    </row>
    <row r="785" spans="1:9" x14ac:dyDescent="0.2">
      <c r="A785" t="s">
        <v>689</v>
      </c>
      <c r="B785" t="s">
        <v>690</v>
      </c>
      <c r="C785" t="s">
        <v>36</v>
      </c>
      <c r="D785" t="s">
        <v>692</v>
      </c>
      <c r="E785" t="str">
        <f t="shared" si="67"/>
        <v>open</v>
      </c>
      <c r="F785" t="s">
        <v>7119</v>
      </c>
      <c r="G785" t="s">
        <v>8626</v>
      </c>
      <c r="H785" t="s">
        <v>8627</v>
      </c>
      <c r="I785" t="s">
        <v>7178</v>
      </c>
    </row>
    <row r="786" spans="1:9" x14ac:dyDescent="0.2">
      <c r="A786" t="s">
        <v>689</v>
      </c>
      <c r="B786" t="s">
        <v>690</v>
      </c>
      <c r="C786" t="s">
        <v>36</v>
      </c>
      <c r="D786" t="s">
        <v>692</v>
      </c>
      <c r="E786" t="str">
        <f t="shared" si="67"/>
        <v>open</v>
      </c>
      <c r="F786" t="s">
        <v>7130</v>
      </c>
      <c r="G786" t="s">
        <v>7173</v>
      </c>
      <c r="I786" t="s">
        <v>8628</v>
      </c>
    </row>
    <row r="787" spans="1:9" x14ac:dyDescent="0.2">
      <c r="A787" t="s">
        <v>689</v>
      </c>
      <c r="B787" t="s">
        <v>690</v>
      </c>
      <c r="C787" t="s">
        <v>36</v>
      </c>
      <c r="D787" t="s">
        <v>692</v>
      </c>
      <c r="E787" t="str">
        <f t="shared" si="67"/>
        <v>open</v>
      </c>
      <c r="F787" t="s">
        <v>7130</v>
      </c>
      <c r="G787" t="s">
        <v>7380</v>
      </c>
      <c r="I787" t="s">
        <v>8629</v>
      </c>
    </row>
    <row r="788" spans="1:9" x14ac:dyDescent="0.2">
      <c r="A788" t="s">
        <v>694</v>
      </c>
      <c r="B788" t="s">
        <v>695</v>
      </c>
      <c r="C788" t="s">
        <v>363</v>
      </c>
      <c r="D788" t="s">
        <v>697</v>
      </c>
      <c r="E788" t="str">
        <f t="shared" ref="E788:E793" si="68">HYPERLINK("/pdf/2016_10.1145_2976749.2978343_TaintART__A_practical_multi-level_information-flow_tracking_system_for_Android_RunTime.pdf","open")</f>
        <v>open</v>
      </c>
      <c r="F788" t="s">
        <v>7119</v>
      </c>
      <c r="G788" t="s">
        <v>8274</v>
      </c>
      <c r="H788" t="s">
        <v>8630</v>
      </c>
      <c r="I788" t="s">
        <v>8631</v>
      </c>
    </row>
    <row r="789" spans="1:9" x14ac:dyDescent="0.2">
      <c r="A789" t="s">
        <v>694</v>
      </c>
      <c r="B789" t="s">
        <v>695</v>
      </c>
      <c r="C789" t="s">
        <v>363</v>
      </c>
      <c r="D789" t="s">
        <v>697</v>
      </c>
      <c r="E789" t="str">
        <f t="shared" si="68"/>
        <v>open</v>
      </c>
      <c r="F789" t="s">
        <v>7119</v>
      </c>
      <c r="G789" t="s">
        <v>7585</v>
      </c>
      <c r="H789" t="s">
        <v>8632</v>
      </c>
      <c r="I789" t="s">
        <v>8633</v>
      </c>
    </row>
    <row r="790" spans="1:9" x14ac:dyDescent="0.2">
      <c r="A790" t="s">
        <v>694</v>
      </c>
      <c r="B790" t="s">
        <v>695</v>
      </c>
      <c r="C790" t="s">
        <v>363</v>
      </c>
      <c r="D790" t="s">
        <v>697</v>
      </c>
      <c r="E790" t="str">
        <f t="shared" si="68"/>
        <v>open</v>
      </c>
      <c r="F790" t="s">
        <v>7119</v>
      </c>
      <c r="G790" t="s">
        <v>7183</v>
      </c>
      <c r="H790" t="s">
        <v>8634</v>
      </c>
      <c r="I790" t="s">
        <v>8635</v>
      </c>
    </row>
    <row r="791" spans="1:9" x14ac:dyDescent="0.2">
      <c r="A791" t="s">
        <v>694</v>
      </c>
      <c r="B791" t="s">
        <v>695</v>
      </c>
      <c r="C791" t="s">
        <v>363</v>
      </c>
      <c r="D791" t="s">
        <v>697</v>
      </c>
      <c r="E791" t="str">
        <f t="shared" si="68"/>
        <v>open</v>
      </c>
      <c r="F791" t="s">
        <v>7119</v>
      </c>
      <c r="G791" t="s">
        <v>7406</v>
      </c>
      <c r="H791" t="s">
        <v>8636</v>
      </c>
      <c r="I791" t="s">
        <v>8637</v>
      </c>
    </row>
    <row r="792" spans="1:9" x14ac:dyDescent="0.2">
      <c r="A792" t="s">
        <v>694</v>
      </c>
      <c r="B792" t="s">
        <v>695</v>
      </c>
      <c r="C792" t="s">
        <v>363</v>
      </c>
      <c r="D792" t="s">
        <v>697</v>
      </c>
      <c r="E792" t="str">
        <f t="shared" si="68"/>
        <v>open</v>
      </c>
      <c r="F792" t="s">
        <v>7130</v>
      </c>
      <c r="G792" t="s">
        <v>1597</v>
      </c>
      <c r="I792" t="s">
        <v>8638</v>
      </c>
    </row>
    <row r="793" spans="1:9" x14ac:dyDescent="0.2">
      <c r="A793" t="s">
        <v>694</v>
      </c>
      <c r="B793" t="s">
        <v>695</v>
      </c>
      <c r="C793" t="s">
        <v>363</v>
      </c>
      <c r="D793" t="s">
        <v>697</v>
      </c>
      <c r="E793" t="str">
        <f t="shared" si="68"/>
        <v>open</v>
      </c>
      <c r="F793" t="s">
        <v>7130</v>
      </c>
      <c r="G793" t="s">
        <v>1575</v>
      </c>
      <c r="I793" t="s">
        <v>8639</v>
      </c>
    </row>
    <row r="794" spans="1:9" x14ac:dyDescent="0.2">
      <c r="A794" t="s">
        <v>699</v>
      </c>
      <c r="B794" t="s">
        <v>700</v>
      </c>
      <c r="C794" t="s">
        <v>100</v>
      </c>
      <c r="D794" t="s">
        <v>702</v>
      </c>
      <c r="E794" t="str">
        <f t="shared" ref="E794:E799" si="69">HYPERLINK("/pdf/2022_10.1109_icssa54161.2022.9870973_Machine_Learning_Techniques_for_Intrusion_Detection_in_Smart_Healthcare_Systems__A_Comparative_Analysis.pdf","open")</f>
        <v>open</v>
      </c>
      <c r="F794" t="s">
        <v>7119</v>
      </c>
      <c r="G794" t="s">
        <v>8640</v>
      </c>
      <c r="H794" t="s">
        <v>8641</v>
      </c>
      <c r="I794" t="s">
        <v>8642</v>
      </c>
    </row>
    <row r="795" spans="1:9" x14ac:dyDescent="0.2">
      <c r="A795" t="s">
        <v>699</v>
      </c>
      <c r="B795" t="s">
        <v>700</v>
      </c>
      <c r="C795" t="s">
        <v>100</v>
      </c>
      <c r="D795" t="s">
        <v>702</v>
      </c>
      <c r="E795" t="str">
        <f t="shared" si="69"/>
        <v>open</v>
      </c>
      <c r="F795" t="s">
        <v>7119</v>
      </c>
      <c r="G795" t="s">
        <v>8643</v>
      </c>
      <c r="H795" t="s">
        <v>8644</v>
      </c>
      <c r="I795" t="s">
        <v>8247</v>
      </c>
    </row>
    <row r="796" spans="1:9" x14ac:dyDescent="0.2">
      <c r="A796" t="s">
        <v>699</v>
      </c>
      <c r="B796" t="s">
        <v>700</v>
      </c>
      <c r="C796" t="s">
        <v>100</v>
      </c>
      <c r="D796" t="s">
        <v>702</v>
      </c>
      <c r="E796" t="str">
        <f t="shared" si="69"/>
        <v>open</v>
      </c>
      <c r="F796" t="s">
        <v>7119</v>
      </c>
      <c r="G796" t="s">
        <v>8645</v>
      </c>
      <c r="H796" t="s">
        <v>8646</v>
      </c>
      <c r="I796" t="s">
        <v>8647</v>
      </c>
    </row>
    <row r="797" spans="1:9" x14ac:dyDescent="0.2">
      <c r="A797" t="s">
        <v>699</v>
      </c>
      <c r="B797" t="s">
        <v>700</v>
      </c>
      <c r="C797" t="s">
        <v>100</v>
      </c>
      <c r="D797" t="s">
        <v>702</v>
      </c>
      <c r="E797" t="str">
        <f t="shared" si="69"/>
        <v>open</v>
      </c>
      <c r="F797" t="s">
        <v>7119</v>
      </c>
      <c r="G797" t="s">
        <v>8648</v>
      </c>
      <c r="H797" t="s">
        <v>8649</v>
      </c>
      <c r="I797" t="s">
        <v>7151</v>
      </c>
    </row>
    <row r="798" spans="1:9" x14ac:dyDescent="0.2">
      <c r="A798" t="s">
        <v>699</v>
      </c>
      <c r="B798" t="s">
        <v>700</v>
      </c>
      <c r="C798" t="s">
        <v>100</v>
      </c>
      <c r="D798" t="s">
        <v>702</v>
      </c>
      <c r="E798" t="str">
        <f t="shared" si="69"/>
        <v>open</v>
      </c>
      <c r="F798" t="s">
        <v>7130</v>
      </c>
      <c r="G798" t="s">
        <v>8650</v>
      </c>
      <c r="I798" t="s">
        <v>7416</v>
      </c>
    </row>
    <row r="799" spans="1:9" x14ac:dyDescent="0.2">
      <c r="A799" t="s">
        <v>699</v>
      </c>
      <c r="B799" t="s">
        <v>700</v>
      </c>
      <c r="C799" t="s">
        <v>100</v>
      </c>
      <c r="D799" t="s">
        <v>702</v>
      </c>
      <c r="E799" t="str">
        <f t="shared" si="69"/>
        <v>open</v>
      </c>
      <c r="F799" t="s">
        <v>7130</v>
      </c>
      <c r="G799" t="s">
        <v>8651</v>
      </c>
      <c r="I799" t="s">
        <v>8652</v>
      </c>
    </row>
    <row r="800" spans="1:9" x14ac:dyDescent="0.2">
      <c r="A800" t="s">
        <v>704</v>
      </c>
      <c r="B800" t="s">
        <v>705</v>
      </c>
      <c r="C800" t="s">
        <v>60</v>
      </c>
      <c r="D800" t="s">
        <v>707</v>
      </c>
      <c r="E800" t="str">
        <f>HYPERLINK("/pdf/2024_10.48084_etasr.7467_An_Enhanced_Framework_to_Mitigate_Post-Installation_Cyber_Attacks_on_Android_Apps.pdf","open")</f>
        <v>open</v>
      </c>
      <c r="F800" t="s">
        <v>7119</v>
      </c>
      <c r="G800" t="s">
        <v>8653</v>
      </c>
      <c r="H800" t="s">
        <v>8654</v>
      </c>
      <c r="I800" t="s">
        <v>7178</v>
      </c>
    </row>
    <row r="801" spans="1:9" x14ac:dyDescent="0.2">
      <c r="A801" t="s">
        <v>704</v>
      </c>
      <c r="B801" t="s">
        <v>705</v>
      </c>
      <c r="C801" t="s">
        <v>60</v>
      </c>
      <c r="D801" t="s">
        <v>707</v>
      </c>
      <c r="E801" t="str">
        <f>HYPERLINK("/pdf/2024_10.48084_etasr.7467_An_Enhanced_Framework_to_Mitigate_Post-Installation_Cyber_Attacks_on_Android_Apps.pdf","open")</f>
        <v>open</v>
      </c>
      <c r="F801" t="s">
        <v>7119</v>
      </c>
      <c r="G801" t="s">
        <v>8655</v>
      </c>
      <c r="H801" t="s">
        <v>8656</v>
      </c>
      <c r="I801" t="s">
        <v>7764</v>
      </c>
    </row>
    <row r="802" spans="1:9" x14ac:dyDescent="0.2">
      <c r="A802" t="s">
        <v>704</v>
      </c>
      <c r="B802" t="s">
        <v>705</v>
      </c>
      <c r="C802" t="s">
        <v>60</v>
      </c>
      <c r="D802" t="s">
        <v>707</v>
      </c>
      <c r="E802" t="str">
        <f>HYPERLINK("/pdf/2024_10.48084_etasr.7467_An_Enhanced_Framework_to_Mitigate_Post-Installation_Cyber_Attacks_on_Android_Apps.pdf","open")</f>
        <v>open</v>
      </c>
      <c r="F802" t="s">
        <v>7119</v>
      </c>
      <c r="G802" t="s">
        <v>8657</v>
      </c>
      <c r="H802" t="s">
        <v>8658</v>
      </c>
      <c r="I802" t="s">
        <v>8297</v>
      </c>
    </row>
    <row r="803" spans="1:9" x14ac:dyDescent="0.2">
      <c r="A803" t="s">
        <v>704</v>
      </c>
      <c r="B803" t="s">
        <v>705</v>
      </c>
      <c r="C803" t="s">
        <v>60</v>
      </c>
      <c r="D803" t="s">
        <v>707</v>
      </c>
      <c r="E803" t="str">
        <f>HYPERLINK("/pdf/2024_10.48084_etasr.7467_An_Enhanced_Framework_to_Mitigate_Post-Installation_Cyber_Attacks_on_Android_Apps.pdf","open")</f>
        <v>open</v>
      </c>
      <c r="F803" t="s">
        <v>7119</v>
      </c>
      <c r="G803" t="s">
        <v>8659</v>
      </c>
      <c r="H803" t="s">
        <v>8660</v>
      </c>
      <c r="I803" t="s">
        <v>7764</v>
      </c>
    </row>
    <row r="804" spans="1:9" x14ac:dyDescent="0.2">
      <c r="A804" t="s">
        <v>704</v>
      </c>
      <c r="B804" t="s">
        <v>705</v>
      </c>
      <c r="C804" t="s">
        <v>60</v>
      </c>
      <c r="D804" t="s">
        <v>707</v>
      </c>
      <c r="E804" t="str">
        <f>HYPERLINK("/pdf/2024_10.48084_etasr.7467_An_Enhanced_Framework_to_Mitigate_Post-Installation_Cyber_Attacks_on_Android_Apps.pdf","open")</f>
        <v>open</v>
      </c>
      <c r="F804" t="s">
        <v>7130</v>
      </c>
      <c r="G804" t="s">
        <v>7203</v>
      </c>
      <c r="I804" t="s">
        <v>8661</v>
      </c>
    </row>
    <row r="805" spans="1:9" x14ac:dyDescent="0.2">
      <c r="A805" t="s">
        <v>709</v>
      </c>
      <c r="B805" t="s">
        <v>710</v>
      </c>
      <c r="C805" t="s">
        <v>19</v>
      </c>
      <c r="D805" t="s">
        <v>711</v>
      </c>
      <c r="E805" t="str">
        <f>HYPERLINK("/pdf/2025_10_1038_s41598_025_17799_0_multi_resolution_transfer_learning_for_tampered_image_classification_using_se_en.pdf","open")</f>
        <v>open</v>
      </c>
      <c r="F805" t="s">
        <v>7119</v>
      </c>
      <c r="G805" t="s">
        <v>7173</v>
      </c>
      <c r="H805" t="s">
        <v>8662</v>
      </c>
      <c r="I805" t="s">
        <v>8663</v>
      </c>
    </row>
    <row r="806" spans="1:9" x14ac:dyDescent="0.2">
      <c r="A806" t="s">
        <v>709</v>
      </c>
      <c r="B806" t="s">
        <v>710</v>
      </c>
      <c r="C806" t="s">
        <v>19</v>
      </c>
      <c r="D806" t="s">
        <v>711</v>
      </c>
      <c r="E806" t="str">
        <f>HYPERLINK("/pdf/2025_10_1038_s41598_025_17799_0_multi_resolution_transfer_learning_for_tampered_image_classification_using_se_en.pdf","open")</f>
        <v>open</v>
      </c>
      <c r="F806" t="s">
        <v>7119</v>
      </c>
      <c r="G806" t="s">
        <v>7380</v>
      </c>
      <c r="H806" t="s">
        <v>8664</v>
      </c>
      <c r="I806" t="s">
        <v>8665</v>
      </c>
    </row>
    <row r="807" spans="1:9" x14ac:dyDescent="0.2">
      <c r="A807" t="s">
        <v>709</v>
      </c>
      <c r="B807" t="s">
        <v>710</v>
      </c>
      <c r="C807" t="s">
        <v>19</v>
      </c>
      <c r="D807" t="s">
        <v>711</v>
      </c>
      <c r="E807" t="str">
        <f>HYPERLINK("/pdf/2025_10_1038_s41598_025_17799_0_multi_resolution_transfer_learning_for_tampered_image_classification_using_se_en.pdf","open")</f>
        <v>open</v>
      </c>
      <c r="F807" t="s">
        <v>7119</v>
      </c>
      <c r="G807" t="s">
        <v>7406</v>
      </c>
      <c r="H807" t="s">
        <v>8666</v>
      </c>
      <c r="I807" t="s">
        <v>8667</v>
      </c>
    </row>
    <row r="808" spans="1:9" x14ac:dyDescent="0.2">
      <c r="A808" t="s">
        <v>709</v>
      </c>
      <c r="B808" t="s">
        <v>710</v>
      </c>
      <c r="C808" t="s">
        <v>19</v>
      </c>
      <c r="D808" t="s">
        <v>711</v>
      </c>
      <c r="E808" t="str">
        <f>HYPERLINK("/pdf/2025_10_1038_s41598_025_17799_0_multi_resolution_transfer_learning_for_tampered_image_classification_using_se_en.pdf","open")</f>
        <v>open</v>
      </c>
      <c r="F808" t="s">
        <v>7130</v>
      </c>
      <c r="G808" t="s">
        <v>1584</v>
      </c>
      <c r="I808" t="s">
        <v>8668</v>
      </c>
    </row>
    <row r="809" spans="1:9" x14ac:dyDescent="0.2">
      <c r="A809" t="s">
        <v>713</v>
      </c>
      <c r="B809" t="s">
        <v>714</v>
      </c>
      <c r="C809" t="s">
        <v>215</v>
      </c>
      <c r="D809" t="s">
        <v>716</v>
      </c>
      <c r="E809" t="str">
        <f>HYPERLINK("/pdf/2015_10.1109_cis.2014.133_Application_research_on_retrospective_analysis_system_in_network_intrusion_detection.pdf","open")</f>
        <v>open</v>
      </c>
      <c r="F809" t="s">
        <v>7119</v>
      </c>
      <c r="G809" t="s">
        <v>8669</v>
      </c>
      <c r="H809" t="s">
        <v>8670</v>
      </c>
      <c r="I809" t="s">
        <v>8671</v>
      </c>
    </row>
    <row r="810" spans="1:9" x14ac:dyDescent="0.2">
      <c r="A810" t="s">
        <v>713</v>
      </c>
      <c r="B810" t="s">
        <v>714</v>
      </c>
      <c r="C810" t="s">
        <v>215</v>
      </c>
      <c r="D810" t="s">
        <v>716</v>
      </c>
      <c r="E810" t="str">
        <f>HYPERLINK("/pdf/2015_10.1109_cis.2014.133_Application_research_on_retrospective_analysis_system_in_network_intrusion_detection.pdf","open")</f>
        <v>open</v>
      </c>
      <c r="F810" t="s">
        <v>7119</v>
      </c>
      <c r="G810" t="s">
        <v>8672</v>
      </c>
      <c r="H810" t="s">
        <v>8673</v>
      </c>
      <c r="I810" t="s">
        <v>8674</v>
      </c>
    </row>
    <row r="811" spans="1:9" x14ac:dyDescent="0.2">
      <c r="A811" t="s">
        <v>713</v>
      </c>
      <c r="B811" t="s">
        <v>714</v>
      </c>
      <c r="C811" t="s">
        <v>215</v>
      </c>
      <c r="D811" t="s">
        <v>716</v>
      </c>
      <c r="E811" t="str">
        <f>HYPERLINK("/pdf/2015_10.1109_cis.2014.133_Application_research_on_retrospective_analysis_system_in_network_intrusion_detection.pdf","open")</f>
        <v>open</v>
      </c>
      <c r="F811" t="s">
        <v>7119</v>
      </c>
      <c r="G811" t="s">
        <v>8675</v>
      </c>
      <c r="H811" t="s">
        <v>8676</v>
      </c>
      <c r="I811" t="s">
        <v>8247</v>
      </c>
    </row>
    <row r="812" spans="1:9" x14ac:dyDescent="0.2">
      <c r="A812" t="s">
        <v>713</v>
      </c>
      <c r="B812" t="s">
        <v>714</v>
      </c>
      <c r="C812" t="s">
        <v>215</v>
      </c>
      <c r="D812" t="s">
        <v>716</v>
      </c>
      <c r="E812" t="str">
        <f>HYPERLINK("/pdf/2015_10.1109_cis.2014.133_Application_research_on_retrospective_analysis_system_in_network_intrusion_detection.pdf","open")</f>
        <v>open</v>
      </c>
      <c r="F812" t="s">
        <v>7130</v>
      </c>
      <c r="G812" t="s">
        <v>1571</v>
      </c>
      <c r="I812" t="s">
        <v>7158</v>
      </c>
    </row>
    <row r="813" spans="1:9" x14ac:dyDescent="0.2">
      <c r="A813" t="s">
        <v>713</v>
      </c>
      <c r="B813" t="s">
        <v>714</v>
      </c>
      <c r="C813" t="s">
        <v>215</v>
      </c>
      <c r="D813" t="s">
        <v>716</v>
      </c>
      <c r="E813" t="str">
        <f>HYPERLINK("/pdf/2015_10.1109_cis.2014.133_Application_research_on_retrospective_analysis_system_in_network_intrusion_detection.pdf","open")</f>
        <v>open</v>
      </c>
      <c r="F813" t="s">
        <v>7130</v>
      </c>
      <c r="G813" t="s">
        <v>7203</v>
      </c>
      <c r="I813" t="s">
        <v>8677</v>
      </c>
    </row>
    <row r="814" spans="1:9" x14ac:dyDescent="0.2">
      <c r="A814" t="s">
        <v>718</v>
      </c>
      <c r="B814" t="s">
        <v>719</v>
      </c>
      <c r="C814" t="s">
        <v>25</v>
      </c>
      <c r="D814" t="s">
        <v>721</v>
      </c>
      <c r="E814" t="str">
        <f t="shared" ref="E814:E820" si="70">HYPERLINK("/pdf/2023_10.1109_airosip58759.2023.10873912_Smart_Closed-Loop_Jamming_System.pdf","open")</f>
        <v>open</v>
      </c>
      <c r="F814" t="s">
        <v>7119</v>
      </c>
      <c r="G814" t="s">
        <v>8678</v>
      </c>
      <c r="H814" t="s">
        <v>8679</v>
      </c>
      <c r="I814" t="s">
        <v>7151</v>
      </c>
    </row>
    <row r="815" spans="1:9" x14ac:dyDescent="0.2">
      <c r="A815" t="s">
        <v>718</v>
      </c>
      <c r="B815" t="s">
        <v>719</v>
      </c>
      <c r="C815" t="s">
        <v>25</v>
      </c>
      <c r="D815" t="s">
        <v>721</v>
      </c>
      <c r="E815" t="str">
        <f t="shared" si="70"/>
        <v>open</v>
      </c>
      <c r="F815" t="s">
        <v>7119</v>
      </c>
      <c r="G815" t="s">
        <v>8680</v>
      </c>
      <c r="H815" t="s">
        <v>8681</v>
      </c>
      <c r="I815" t="s">
        <v>8682</v>
      </c>
    </row>
    <row r="816" spans="1:9" x14ac:dyDescent="0.2">
      <c r="A816" t="s">
        <v>718</v>
      </c>
      <c r="B816" t="s">
        <v>719</v>
      </c>
      <c r="C816" t="s">
        <v>25</v>
      </c>
      <c r="D816" t="s">
        <v>721</v>
      </c>
      <c r="E816" t="str">
        <f t="shared" si="70"/>
        <v>open</v>
      </c>
      <c r="F816" t="s">
        <v>7119</v>
      </c>
      <c r="G816" t="s">
        <v>7173</v>
      </c>
      <c r="H816" t="s">
        <v>8683</v>
      </c>
      <c r="I816" t="s">
        <v>8684</v>
      </c>
    </row>
    <row r="817" spans="1:9" x14ac:dyDescent="0.2">
      <c r="A817" t="s">
        <v>718</v>
      </c>
      <c r="B817" t="s">
        <v>719</v>
      </c>
      <c r="C817" t="s">
        <v>25</v>
      </c>
      <c r="D817" t="s">
        <v>721</v>
      </c>
      <c r="E817" t="str">
        <f t="shared" si="70"/>
        <v>open</v>
      </c>
      <c r="F817" t="s">
        <v>7119</v>
      </c>
      <c r="G817" t="s">
        <v>8101</v>
      </c>
      <c r="H817" t="s">
        <v>8685</v>
      </c>
      <c r="I817" t="s">
        <v>8686</v>
      </c>
    </row>
    <row r="818" spans="1:9" x14ac:dyDescent="0.2">
      <c r="A818" t="s">
        <v>718</v>
      </c>
      <c r="B818" t="s">
        <v>719</v>
      </c>
      <c r="C818" t="s">
        <v>25</v>
      </c>
      <c r="D818" t="s">
        <v>721</v>
      </c>
      <c r="E818" t="str">
        <f t="shared" si="70"/>
        <v>open</v>
      </c>
      <c r="F818" t="s">
        <v>7119</v>
      </c>
      <c r="G818" t="s">
        <v>8687</v>
      </c>
      <c r="H818" t="s">
        <v>8688</v>
      </c>
      <c r="I818" t="s">
        <v>7151</v>
      </c>
    </row>
    <row r="819" spans="1:9" x14ac:dyDescent="0.2">
      <c r="A819" t="s">
        <v>718</v>
      </c>
      <c r="B819" t="s">
        <v>719</v>
      </c>
      <c r="C819" t="s">
        <v>25</v>
      </c>
      <c r="D819" t="s">
        <v>721</v>
      </c>
      <c r="E819" t="str">
        <f t="shared" si="70"/>
        <v>open</v>
      </c>
      <c r="F819" t="s">
        <v>7130</v>
      </c>
      <c r="G819" t="s">
        <v>1584</v>
      </c>
      <c r="I819" t="s">
        <v>8689</v>
      </c>
    </row>
    <row r="820" spans="1:9" x14ac:dyDescent="0.2">
      <c r="A820" t="s">
        <v>718</v>
      </c>
      <c r="B820" t="s">
        <v>719</v>
      </c>
      <c r="C820" t="s">
        <v>25</v>
      </c>
      <c r="D820" t="s">
        <v>721</v>
      </c>
      <c r="E820" t="str">
        <f t="shared" si="70"/>
        <v>open</v>
      </c>
      <c r="F820" t="s">
        <v>7130</v>
      </c>
      <c r="G820" t="s">
        <v>1583</v>
      </c>
      <c r="I820" t="s">
        <v>8690</v>
      </c>
    </row>
    <row r="821" spans="1:9" x14ac:dyDescent="0.2">
      <c r="A821" t="s">
        <v>723</v>
      </c>
      <c r="B821" t="s">
        <v>724</v>
      </c>
      <c r="C821" t="s">
        <v>60</v>
      </c>
      <c r="D821" t="s">
        <v>725</v>
      </c>
      <c r="E821" t="str">
        <f t="shared" ref="E821:E826" si="71">HYPERLINK("/pdf/2024_10.1109_jiot.2024.3385989_An_Authentication_Mechanism_Based_on_Zero_Trust_With_Radio_Frequency_Fingerprint_for_Internet_of_Things_Networ.pdf","open")</f>
        <v>open</v>
      </c>
      <c r="F821" t="s">
        <v>7119</v>
      </c>
      <c r="G821" t="s">
        <v>7349</v>
      </c>
      <c r="H821" t="s">
        <v>8691</v>
      </c>
      <c r="I821" t="s">
        <v>8692</v>
      </c>
    </row>
    <row r="822" spans="1:9" x14ac:dyDescent="0.2">
      <c r="A822" t="s">
        <v>723</v>
      </c>
      <c r="B822" t="s">
        <v>724</v>
      </c>
      <c r="C822" t="s">
        <v>60</v>
      </c>
      <c r="D822" t="s">
        <v>725</v>
      </c>
      <c r="E822" t="str">
        <f t="shared" si="71"/>
        <v>open</v>
      </c>
      <c r="F822" t="s">
        <v>7119</v>
      </c>
      <c r="G822" t="s">
        <v>7511</v>
      </c>
      <c r="H822" t="s">
        <v>8693</v>
      </c>
      <c r="I822" t="s">
        <v>8694</v>
      </c>
    </row>
    <row r="823" spans="1:9" x14ac:dyDescent="0.2">
      <c r="A823" t="s">
        <v>723</v>
      </c>
      <c r="B823" t="s">
        <v>724</v>
      </c>
      <c r="C823" t="s">
        <v>60</v>
      </c>
      <c r="D823" t="s">
        <v>725</v>
      </c>
      <c r="E823" t="str">
        <f t="shared" si="71"/>
        <v>open</v>
      </c>
      <c r="F823" t="s">
        <v>7119</v>
      </c>
      <c r="G823" t="s">
        <v>7203</v>
      </c>
      <c r="H823" t="s">
        <v>8695</v>
      </c>
      <c r="I823" t="s">
        <v>8696</v>
      </c>
    </row>
    <row r="824" spans="1:9" x14ac:dyDescent="0.2">
      <c r="A824" t="s">
        <v>723</v>
      </c>
      <c r="B824" t="s">
        <v>724</v>
      </c>
      <c r="C824" t="s">
        <v>60</v>
      </c>
      <c r="D824" t="s">
        <v>725</v>
      </c>
      <c r="E824" t="str">
        <f t="shared" si="71"/>
        <v>open</v>
      </c>
      <c r="F824" t="s">
        <v>7119</v>
      </c>
      <c r="G824" t="s">
        <v>7422</v>
      </c>
      <c r="H824" t="s">
        <v>8697</v>
      </c>
      <c r="I824" t="s">
        <v>8696</v>
      </c>
    </row>
    <row r="825" spans="1:9" x14ac:dyDescent="0.2">
      <c r="A825" t="s">
        <v>723</v>
      </c>
      <c r="B825" t="s">
        <v>724</v>
      </c>
      <c r="C825" t="s">
        <v>60</v>
      </c>
      <c r="D825" t="s">
        <v>725</v>
      </c>
      <c r="E825" t="str">
        <f t="shared" si="71"/>
        <v>open</v>
      </c>
      <c r="F825" t="s">
        <v>7130</v>
      </c>
      <c r="G825" t="s">
        <v>1597</v>
      </c>
      <c r="I825" t="s">
        <v>8698</v>
      </c>
    </row>
    <row r="826" spans="1:9" x14ac:dyDescent="0.2">
      <c r="A826" t="s">
        <v>723</v>
      </c>
      <c r="B826" t="s">
        <v>724</v>
      </c>
      <c r="C826" t="s">
        <v>60</v>
      </c>
      <c r="D826" t="s">
        <v>725</v>
      </c>
      <c r="E826" t="str">
        <f t="shared" si="71"/>
        <v>open</v>
      </c>
      <c r="F826" t="s">
        <v>7130</v>
      </c>
      <c r="G826" t="s">
        <v>7322</v>
      </c>
      <c r="I826" t="s">
        <v>8699</v>
      </c>
    </row>
    <row r="827" spans="1:9" x14ac:dyDescent="0.2">
      <c r="A827" t="s">
        <v>727</v>
      </c>
      <c r="B827" t="s">
        <v>728</v>
      </c>
      <c r="C827" t="s">
        <v>190</v>
      </c>
      <c r="D827" t="s">
        <v>730</v>
      </c>
      <c r="E827" t="str">
        <f>HYPERLINK("/pdf/2017_10.1109_wcsp.2017.8170908_Data_leakage_between_C_S_communication__A_case_study_on_Android_music_app.pdf","open")</f>
        <v>open</v>
      </c>
      <c r="F827" t="s">
        <v>7119</v>
      </c>
      <c r="G827" t="s">
        <v>8700</v>
      </c>
      <c r="H827" t="s">
        <v>8701</v>
      </c>
      <c r="I827" t="s">
        <v>7178</v>
      </c>
    </row>
    <row r="828" spans="1:9" x14ac:dyDescent="0.2">
      <c r="A828" t="s">
        <v>727</v>
      </c>
      <c r="B828" t="s">
        <v>728</v>
      </c>
      <c r="C828" t="s">
        <v>190</v>
      </c>
      <c r="D828" t="s">
        <v>730</v>
      </c>
      <c r="E828" t="str">
        <f>HYPERLINK("/pdf/2017_10.1109_wcsp.2017.8170908_Data_leakage_between_C_S_communication__A_case_study_on_Android_music_app.pdf","open")</f>
        <v>open</v>
      </c>
      <c r="F828" t="s">
        <v>7119</v>
      </c>
      <c r="G828" t="s">
        <v>8702</v>
      </c>
      <c r="H828" t="s">
        <v>8703</v>
      </c>
      <c r="I828" t="s">
        <v>8704</v>
      </c>
    </row>
    <row r="829" spans="1:9" x14ac:dyDescent="0.2">
      <c r="A829" t="s">
        <v>727</v>
      </c>
      <c r="B829" t="s">
        <v>728</v>
      </c>
      <c r="C829" t="s">
        <v>190</v>
      </c>
      <c r="D829" t="s">
        <v>730</v>
      </c>
      <c r="E829" t="str">
        <f>HYPERLINK("/pdf/2017_10.1109_wcsp.2017.8170908_Data_leakage_between_C_S_communication__A_case_study_on_Android_music_app.pdf","open")</f>
        <v>open</v>
      </c>
      <c r="F829" t="s">
        <v>7119</v>
      </c>
      <c r="G829" t="s">
        <v>8705</v>
      </c>
      <c r="H829" t="s">
        <v>8706</v>
      </c>
      <c r="I829" t="s">
        <v>8707</v>
      </c>
    </row>
    <row r="830" spans="1:9" x14ac:dyDescent="0.2">
      <c r="A830" t="s">
        <v>727</v>
      </c>
      <c r="B830" t="s">
        <v>728</v>
      </c>
      <c r="C830" t="s">
        <v>190</v>
      </c>
      <c r="D830" t="s">
        <v>730</v>
      </c>
      <c r="E830" t="str">
        <f>HYPERLINK("/pdf/2017_10.1109_wcsp.2017.8170908_Data_leakage_between_C_S_communication__A_case_study_on_Android_music_app.pdf","open")</f>
        <v>open</v>
      </c>
      <c r="F830" t="s">
        <v>7130</v>
      </c>
      <c r="G830" t="s">
        <v>1571</v>
      </c>
      <c r="I830" t="s">
        <v>7178</v>
      </c>
    </row>
    <row r="831" spans="1:9" x14ac:dyDescent="0.2">
      <c r="A831" t="s">
        <v>727</v>
      </c>
      <c r="B831" t="s">
        <v>728</v>
      </c>
      <c r="C831" t="s">
        <v>190</v>
      </c>
      <c r="D831" t="s">
        <v>730</v>
      </c>
      <c r="E831" t="str">
        <f>HYPERLINK("/pdf/2017_10.1109_wcsp.2017.8170908_Data_leakage_between_C_S_communication__A_case_study_on_Android_music_app.pdf","open")</f>
        <v>open</v>
      </c>
      <c r="F831" t="s">
        <v>7130</v>
      </c>
      <c r="G831" t="s">
        <v>7215</v>
      </c>
      <c r="I831" t="s">
        <v>8708</v>
      </c>
    </row>
    <row r="832" spans="1:9" x14ac:dyDescent="0.2">
      <c r="A832" t="s">
        <v>732</v>
      </c>
      <c r="B832" t="s">
        <v>733</v>
      </c>
      <c r="C832" t="s">
        <v>19</v>
      </c>
      <c r="D832" t="s">
        <v>735</v>
      </c>
      <c r="E832" t="str">
        <f t="shared" ref="E832:E839" si="72">HYPERLINK("/pdf/2025_10.1109_icoict66265.2025.11192987_Federated_Learning_Approaches_for_IoT_Intrusion_Detection_Based_on_FedAvg_and_FedProx_on_IID_and_Non-IID_Data.pdf","open")</f>
        <v>open</v>
      </c>
      <c r="F832" t="s">
        <v>7119</v>
      </c>
      <c r="G832" t="s">
        <v>7319</v>
      </c>
      <c r="H832" t="s">
        <v>8709</v>
      </c>
      <c r="I832" t="s">
        <v>7178</v>
      </c>
    </row>
    <row r="833" spans="1:9" x14ac:dyDescent="0.2">
      <c r="A833" t="s">
        <v>732</v>
      </c>
      <c r="B833" t="s">
        <v>733</v>
      </c>
      <c r="C833" t="s">
        <v>19</v>
      </c>
      <c r="D833" t="s">
        <v>735</v>
      </c>
      <c r="E833" t="str">
        <f t="shared" si="72"/>
        <v>open</v>
      </c>
      <c r="F833" t="s">
        <v>7119</v>
      </c>
      <c r="G833" t="s">
        <v>7288</v>
      </c>
      <c r="H833" t="s">
        <v>8710</v>
      </c>
      <c r="I833" t="s">
        <v>7599</v>
      </c>
    </row>
    <row r="834" spans="1:9" x14ac:dyDescent="0.2">
      <c r="A834" t="s">
        <v>732</v>
      </c>
      <c r="B834" t="s">
        <v>733</v>
      </c>
      <c r="C834" t="s">
        <v>19</v>
      </c>
      <c r="D834" t="s">
        <v>735</v>
      </c>
      <c r="E834" t="str">
        <f t="shared" si="72"/>
        <v>open</v>
      </c>
      <c r="F834" t="s">
        <v>7119</v>
      </c>
      <c r="G834" t="s">
        <v>7173</v>
      </c>
      <c r="H834" t="s">
        <v>8711</v>
      </c>
      <c r="I834" t="s">
        <v>8712</v>
      </c>
    </row>
    <row r="835" spans="1:9" x14ac:dyDescent="0.2">
      <c r="A835" t="s">
        <v>732</v>
      </c>
      <c r="B835" t="s">
        <v>733</v>
      </c>
      <c r="C835" t="s">
        <v>19</v>
      </c>
      <c r="D835" t="s">
        <v>735</v>
      </c>
      <c r="E835" t="str">
        <f t="shared" si="72"/>
        <v>open</v>
      </c>
      <c r="F835" t="s">
        <v>7119</v>
      </c>
      <c r="G835" t="s">
        <v>7380</v>
      </c>
      <c r="H835" t="s">
        <v>8713</v>
      </c>
      <c r="I835" t="s">
        <v>8712</v>
      </c>
    </row>
    <row r="836" spans="1:9" x14ac:dyDescent="0.2">
      <c r="A836" t="s">
        <v>732</v>
      </c>
      <c r="B836" t="s">
        <v>733</v>
      </c>
      <c r="C836" t="s">
        <v>19</v>
      </c>
      <c r="D836" t="s">
        <v>735</v>
      </c>
      <c r="E836" t="str">
        <f t="shared" si="72"/>
        <v>open</v>
      </c>
      <c r="F836" t="s">
        <v>7119</v>
      </c>
      <c r="G836" t="s">
        <v>8714</v>
      </c>
      <c r="H836" t="s">
        <v>8715</v>
      </c>
      <c r="I836" t="s">
        <v>8716</v>
      </c>
    </row>
    <row r="837" spans="1:9" x14ac:dyDescent="0.2">
      <c r="A837" t="s">
        <v>732</v>
      </c>
      <c r="B837" t="s">
        <v>733</v>
      </c>
      <c r="C837" t="s">
        <v>19</v>
      </c>
      <c r="D837" t="s">
        <v>735</v>
      </c>
      <c r="E837" t="str">
        <f t="shared" si="72"/>
        <v>open</v>
      </c>
      <c r="F837" t="s">
        <v>7119</v>
      </c>
      <c r="G837" t="s">
        <v>8717</v>
      </c>
      <c r="H837" t="s">
        <v>8718</v>
      </c>
      <c r="I837" t="s">
        <v>8712</v>
      </c>
    </row>
    <row r="838" spans="1:9" x14ac:dyDescent="0.2">
      <c r="A838" t="s">
        <v>732</v>
      </c>
      <c r="B838" t="s">
        <v>733</v>
      </c>
      <c r="C838" t="s">
        <v>19</v>
      </c>
      <c r="D838" t="s">
        <v>735</v>
      </c>
      <c r="E838" t="str">
        <f t="shared" si="72"/>
        <v>open</v>
      </c>
      <c r="F838" t="s">
        <v>7130</v>
      </c>
      <c r="G838" t="s">
        <v>7380</v>
      </c>
      <c r="I838" t="s">
        <v>8719</v>
      </c>
    </row>
    <row r="839" spans="1:9" x14ac:dyDescent="0.2">
      <c r="A839" t="s">
        <v>732</v>
      </c>
      <c r="B839" t="s">
        <v>733</v>
      </c>
      <c r="C839" t="s">
        <v>19</v>
      </c>
      <c r="D839" t="s">
        <v>735</v>
      </c>
      <c r="E839" t="str">
        <f t="shared" si="72"/>
        <v>open</v>
      </c>
      <c r="F839" t="s">
        <v>7130</v>
      </c>
      <c r="G839" t="s">
        <v>7173</v>
      </c>
      <c r="I839" t="s">
        <v>8720</v>
      </c>
    </row>
    <row r="840" spans="1:9" x14ac:dyDescent="0.2">
      <c r="A840" t="s">
        <v>737</v>
      </c>
      <c r="B840" t="s">
        <v>738</v>
      </c>
      <c r="C840" t="s">
        <v>156</v>
      </c>
      <c r="D840" t="s">
        <v>740</v>
      </c>
      <c r="E840" t="str">
        <f>HYPERLINK("/pdf/2013_10.1109_icon.2013.6781950_Security_testing_in_Android_networks_-_A_practical_case_study.pdf","open")</f>
        <v>open</v>
      </c>
      <c r="F840" t="s">
        <v>7119</v>
      </c>
      <c r="G840" t="s">
        <v>8721</v>
      </c>
      <c r="H840" t="s">
        <v>8722</v>
      </c>
      <c r="I840" t="s">
        <v>8723</v>
      </c>
    </row>
    <row r="841" spans="1:9" x14ac:dyDescent="0.2">
      <c r="A841" t="s">
        <v>737</v>
      </c>
      <c r="B841" t="s">
        <v>738</v>
      </c>
      <c r="C841" t="s">
        <v>156</v>
      </c>
      <c r="D841" t="s">
        <v>740</v>
      </c>
      <c r="E841" t="str">
        <f>HYPERLINK("/pdf/2013_10.1109_icon.2013.6781950_Security_testing_in_Android_networks_-_A_practical_case_study.pdf","open")</f>
        <v>open</v>
      </c>
      <c r="F841" t="s">
        <v>7119</v>
      </c>
      <c r="G841" t="s">
        <v>8724</v>
      </c>
      <c r="H841" t="s">
        <v>8725</v>
      </c>
      <c r="I841" t="s">
        <v>8247</v>
      </c>
    </row>
    <row r="842" spans="1:9" x14ac:dyDescent="0.2">
      <c r="A842" t="s">
        <v>737</v>
      </c>
      <c r="B842" t="s">
        <v>738</v>
      </c>
      <c r="C842" t="s">
        <v>156</v>
      </c>
      <c r="D842" t="s">
        <v>740</v>
      </c>
      <c r="E842" t="str">
        <f>HYPERLINK("/pdf/2013_10.1109_icon.2013.6781950_Security_testing_in_Android_networks_-_A_practical_case_study.pdf","open")</f>
        <v>open</v>
      </c>
      <c r="F842" t="s">
        <v>7119</v>
      </c>
      <c r="G842" t="s">
        <v>8726</v>
      </c>
      <c r="H842" t="s">
        <v>8727</v>
      </c>
      <c r="I842" t="s">
        <v>8247</v>
      </c>
    </row>
    <row r="843" spans="1:9" x14ac:dyDescent="0.2">
      <c r="A843" t="s">
        <v>737</v>
      </c>
      <c r="B843" t="s">
        <v>738</v>
      </c>
      <c r="C843" t="s">
        <v>156</v>
      </c>
      <c r="D843" t="s">
        <v>740</v>
      </c>
      <c r="E843" t="str">
        <f>HYPERLINK("/pdf/2013_10.1109_icon.2013.6781950_Security_testing_in_Android_networks_-_A_practical_case_study.pdf","open")</f>
        <v>open</v>
      </c>
      <c r="F843" t="s">
        <v>7130</v>
      </c>
      <c r="G843" t="s">
        <v>1571</v>
      </c>
      <c r="I843" t="s">
        <v>7158</v>
      </c>
    </row>
    <row r="844" spans="1:9" x14ac:dyDescent="0.2">
      <c r="A844" t="s">
        <v>737</v>
      </c>
      <c r="B844" t="s">
        <v>738</v>
      </c>
      <c r="C844" t="s">
        <v>156</v>
      </c>
      <c r="D844" t="s">
        <v>740</v>
      </c>
      <c r="E844" t="str">
        <f>HYPERLINK("/pdf/2013_10.1109_icon.2013.6781950_Security_testing_in_Android_networks_-_A_practical_case_study.pdf","open")</f>
        <v>open</v>
      </c>
      <c r="F844" t="s">
        <v>7130</v>
      </c>
      <c r="G844" t="s">
        <v>7215</v>
      </c>
      <c r="I844" t="s">
        <v>8728</v>
      </c>
    </row>
    <row r="845" spans="1:9" x14ac:dyDescent="0.2">
      <c r="A845" t="s">
        <v>742</v>
      </c>
      <c r="B845" t="s">
        <v>743</v>
      </c>
      <c r="C845" t="s">
        <v>60</v>
      </c>
      <c r="D845" t="s">
        <v>148</v>
      </c>
      <c r="E845" t="str">
        <f>HYPERLINK("/pdf/2024_10.23919_indiacom61295.2024.10499164_A_DNA-based_Authentication_System_for_Securing_Cloud_Data_Storage_and_Transactions.pdf","open")</f>
        <v>open</v>
      </c>
      <c r="F845" t="s">
        <v>7119</v>
      </c>
      <c r="G845" t="s">
        <v>8729</v>
      </c>
      <c r="H845" t="s">
        <v>8730</v>
      </c>
      <c r="I845" t="s">
        <v>7178</v>
      </c>
    </row>
    <row r="846" spans="1:9" x14ac:dyDescent="0.2">
      <c r="A846" t="s">
        <v>742</v>
      </c>
      <c r="B846" t="s">
        <v>743</v>
      </c>
      <c r="C846" t="s">
        <v>60</v>
      </c>
      <c r="D846" t="s">
        <v>148</v>
      </c>
      <c r="E846" t="str">
        <f>HYPERLINK("/pdf/2024_10.23919_indiacom61295.2024.10499164_A_DNA-based_Authentication_System_for_Securing_Cloud_Data_Storage_and_Transactions.pdf","open")</f>
        <v>open</v>
      </c>
      <c r="F846" t="s">
        <v>7119</v>
      </c>
      <c r="G846" t="s">
        <v>8731</v>
      </c>
      <c r="H846" t="s">
        <v>8732</v>
      </c>
      <c r="I846" t="s">
        <v>8733</v>
      </c>
    </row>
    <row r="847" spans="1:9" x14ac:dyDescent="0.2">
      <c r="A847" t="s">
        <v>742</v>
      </c>
      <c r="B847" t="s">
        <v>743</v>
      </c>
      <c r="C847" t="s">
        <v>60</v>
      </c>
      <c r="D847" t="s">
        <v>148</v>
      </c>
      <c r="E847" t="str">
        <f>HYPERLINK("/pdf/2024_10.23919_indiacom61295.2024.10499164_A_DNA-based_Authentication_System_for_Securing_Cloud_Data_Storage_and_Transactions.pdf","open")</f>
        <v>open</v>
      </c>
      <c r="F847" t="s">
        <v>7119</v>
      </c>
      <c r="G847" t="s">
        <v>8734</v>
      </c>
      <c r="H847" t="s">
        <v>8735</v>
      </c>
      <c r="I847" t="s">
        <v>8736</v>
      </c>
    </row>
    <row r="848" spans="1:9" x14ac:dyDescent="0.2">
      <c r="A848" t="s">
        <v>742</v>
      </c>
      <c r="B848" t="s">
        <v>743</v>
      </c>
      <c r="C848" t="s">
        <v>60</v>
      </c>
      <c r="D848" t="s">
        <v>148</v>
      </c>
      <c r="E848" t="str">
        <f>HYPERLINK("/pdf/2024_10.23919_indiacom61295.2024.10499164_A_DNA-based_Authentication_System_for_Securing_Cloud_Data_Storage_and_Transactions.pdf","open")</f>
        <v>open</v>
      </c>
      <c r="F848" t="s">
        <v>7130</v>
      </c>
      <c r="G848" t="s">
        <v>7215</v>
      </c>
      <c r="I848" t="s">
        <v>8737</v>
      </c>
    </row>
    <row r="849" spans="1:9" x14ac:dyDescent="0.2">
      <c r="A849" t="s">
        <v>742</v>
      </c>
      <c r="B849" t="s">
        <v>743</v>
      </c>
      <c r="C849" t="s">
        <v>60</v>
      </c>
      <c r="D849" t="s">
        <v>148</v>
      </c>
      <c r="E849" t="str">
        <f>HYPERLINK("/pdf/2024_10.23919_indiacom61295.2024.10499164_A_DNA-based_Authentication_System_for_Securing_Cloud_Data_Storage_and_Transactions.pdf","open")</f>
        <v>open</v>
      </c>
      <c r="F849" t="s">
        <v>7130</v>
      </c>
      <c r="G849" t="s">
        <v>7159</v>
      </c>
      <c r="I849" t="s">
        <v>8738</v>
      </c>
    </row>
    <row r="850" spans="1:9" x14ac:dyDescent="0.2">
      <c r="A850" t="s">
        <v>746</v>
      </c>
      <c r="B850" t="s">
        <v>747</v>
      </c>
      <c r="C850" t="s">
        <v>136</v>
      </c>
      <c r="D850" t="s">
        <v>148</v>
      </c>
      <c r="E850" t="str">
        <f>HYPERLINK("/pdf/2019_10.1109_iceei47359.2019.8988832_OTPAF__A_Security_Requirement_Conceptual_Model_of_SaaS_for_Malaysian_Government_based_on_Common_Criteria.pdf","open")</f>
        <v>open</v>
      </c>
      <c r="F850" t="s">
        <v>7119</v>
      </c>
      <c r="G850" t="s">
        <v>8739</v>
      </c>
      <c r="H850" t="s">
        <v>8740</v>
      </c>
      <c r="I850" t="s">
        <v>8741</v>
      </c>
    </row>
    <row r="851" spans="1:9" x14ac:dyDescent="0.2">
      <c r="A851" t="s">
        <v>746</v>
      </c>
      <c r="B851" t="s">
        <v>747</v>
      </c>
      <c r="C851" t="s">
        <v>136</v>
      </c>
      <c r="D851" t="s">
        <v>148</v>
      </c>
      <c r="E851" t="str">
        <f>HYPERLINK("/pdf/2019_10.1109_iceei47359.2019.8988832_OTPAF__A_Security_Requirement_Conceptual_Model_of_SaaS_for_Malaysian_Government_based_on_Common_Criteria.pdf","open")</f>
        <v>open</v>
      </c>
      <c r="F851" t="s">
        <v>7119</v>
      </c>
      <c r="G851" t="s">
        <v>8742</v>
      </c>
      <c r="H851" t="s">
        <v>8743</v>
      </c>
      <c r="I851" t="s">
        <v>8741</v>
      </c>
    </row>
    <row r="852" spans="1:9" x14ac:dyDescent="0.2">
      <c r="A852" t="s">
        <v>746</v>
      </c>
      <c r="B852" t="s">
        <v>747</v>
      </c>
      <c r="C852" t="s">
        <v>136</v>
      </c>
      <c r="D852" t="s">
        <v>148</v>
      </c>
      <c r="E852" t="str">
        <f>HYPERLINK("/pdf/2019_10.1109_iceei47359.2019.8988832_OTPAF__A_Security_Requirement_Conceptual_Model_of_SaaS_for_Malaysian_Government_based_on_Common_Criteria.pdf","open")</f>
        <v>open</v>
      </c>
      <c r="F852" t="s">
        <v>7119</v>
      </c>
      <c r="G852" t="s">
        <v>7131</v>
      </c>
      <c r="H852" t="s">
        <v>8744</v>
      </c>
      <c r="I852" t="s">
        <v>8741</v>
      </c>
    </row>
    <row r="853" spans="1:9" x14ac:dyDescent="0.2">
      <c r="A853" t="s">
        <v>746</v>
      </c>
      <c r="B853" t="s">
        <v>747</v>
      </c>
      <c r="C853" t="s">
        <v>136</v>
      </c>
      <c r="D853" t="s">
        <v>148</v>
      </c>
      <c r="E853" t="str">
        <f>HYPERLINK("/pdf/2019_10.1109_iceei47359.2019.8988832_OTPAF__A_Security_Requirement_Conceptual_Model_of_SaaS_for_Malaysian_Government_based_on_Common_Criteria.pdf","open")</f>
        <v>open</v>
      </c>
      <c r="F853" t="s">
        <v>7130</v>
      </c>
      <c r="G853" t="s">
        <v>7215</v>
      </c>
      <c r="I853" t="s">
        <v>8745</v>
      </c>
    </row>
    <row r="854" spans="1:9" x14ac:dyDescent="0.2">
      <c r="A854" t="s">
        <v>746</v>
      </c>
      <c r="B854" t="s">
        <v>747</v>
      </c>
      <c r="C854" t="s">
        <v>136</v>
      </c>
      <c r="D854" t="s">
        <v>148</v>
      </c>
      <c r="E854" t="str">
        <f>HYPERLINK("/pdf/2019_10.1109_iceei47359.2019.8988832_OTPAF__A_Security_Requirement_Conceptual_Model_of_SaaS_for_Malaysian_Government_based_on_Common_Criteria.pdf","open")</f>
        <v>open</v>
      </c>
      <c r="F854" t="s">
        <v>7130</v>
      </c>
      <c r="G854" t="s">
        <v>7159</v>
      </c>
      <c r="I854" t="s">
        <v>8746</v>
      </c>
    </row>
    <row r="855" spans="1:9" x14ac:dyDescent="0.2">
      <c r="A855" t="s">
        <v>750</v>
      </c>
      <c r="B855" t="s">
        <v>751</v>
      </c>
      <c r="C855" t="s">
        <v>60</v>
      </c>
      <c r="D855" t="s">
        <v>148</v>
      </c>
      <c r="E855" t="str">
        <f>HYPERLINK("/pdf/2024_In_Plain_Sight__A_Pragmatic_Exploration_of_the_Italian_Medical_Landscape_(In)security.pdf.pdf","open")</f>
        <v>open</v>
      </c>
      <c r="F855" t="s">
        <v>7119</v>
      </c>
      <c r="G855" t="s">
        <v>8747</v>
      </c>
      <c r="H855" t="s">
        <v>8748</v>
      </c>
      <c r="I855" t="s">
        <v>8749</v>
      </c>
    </row>
    <row r="856" spans="1:9" x14ac:dyDescent="0.2">
      <c r="A856" t="s">
        <v>750</v>
      </c>
      <c r="B856" t="s">
        <v>751</v>
      </c>
      <c r="C856" t="s">
        <v>60</v>
      </c>
      <c r="D856" t="s">
        <v>148</v>
      </c>
      <c r="E856" t="str">
        <f>HYPERLINK("/pdf/2024_In_Plain_Sight__A_Pragmatic_Exploration_of_the_Italian_Medical_Landscape_(In)security.pdf.pdf","open")</f>
        <v>open</v>
      </c>
      <c r="F856" t="s">
        <v>7119</v>
      </c>
      <c r="G856" t="s">
        <v>8750</v>
      </c>
      <c r="H856" t="s">
        <v>8751</v>
      </c>
      <c r="I856" t="s">
        <v>8752</v>
      </c>
    </row>
    <row r="857" spans="1:9" x14ac:dyDescent="0.2">
      <c r="A857" t="s">
        <v>750</v>
      </c>
      <c r="B857" t="s">
        <v>751</v>
      </c>
      <c r="C857" t="s">
        <v>60</v>
      </c>
      <c r="D857" t="s">
        <v>148</v>
      </c>
      <c r="E857" t="str">
        <f>HYPERLINK("/pdf/2024_In_Plain_Sight__A_Pragmatic_Exploration_of_the_Italian_Medical_Landscape_(In)security.pdf.pdf","open")</f>
        <v>open</v>
      </c>
      <c r="F857" t="s">
        <v>7119</v>
      </c>
      <c r="G857" t="s">
        <v>8753</v>
      </c>
      <c r="H857" t="s">
        <v>8754</v>
      </c>
      <c r="I857" t="s">
        <v>8755</v>
      </c>
    </row>
    <row r="858" spans="1:9" x14ac:dyDescent="0.2">
      <c r="A858" t="s">
        <v>750</v>
      </c>
      <c r="B858" t="s">
        <v>751</v>
      </c>
      <c r="C858" t="s">
        <v>60</v>
      </c>
      <c r="D858" t="s">
        <v>148</v>
      </c>
      <c r="E858" t="str">
        <f>HYPERLINK("/pdf/2024_In_Plain_Sight__A_Pragmatic_Exploration_of_the_Italian_Medical_Landscape_(In)security.pdf.pdf","open")</f>
        <v>open</v>
      </c>
      <c r="F858" t="s">
        <v>7130</v>
      </c>
      <c r="G858" t="s">
        <v>1571</v>
      </c>
      <c r="I858" t="s">
        <v>7158</v>
      </c>
    </row>
    <row r="859" spans="1:9" x14ac:dyDescent="0.2">
      <c r="A859" t="s">
        <v>750</v>
      </c>
      <c r="B859" t="s">
        <v>751</v>
      </c>
      <c r="C859" t="s">
        <v>60</v>
      </c>
      <c r="D859" t="s">
        <v>148</v>
      </c>
      <c r="E859" t="str">
        <f>HYPERLINK("/pdf/2024_In_Plain_Sight__A_Pragmatic_Exploration_of_the_Italian_Medical_Landscape_(In)security.pdf.pdf","open")</f>
        <v>open</v>
      </c>
      <c r="F859" t="s">
        <v>7130</v>
      </c>
      <c r="G859" t="s">
        <v>1592</v>
      </c>
      <c r="I859" t="s">
        <v>8756</v>
      </c>
    </row>
    <row r="860" spans="1:9" x14ac:dyDescent="0.2">
      <c r="A860" t="s">
        <v>754</v>
      </c>
      <c r="B860" t="s">
        <v>755</v>
      </c>
      <c r="C860" t="s">
        <v>19</v>
      </c>
      <c r="D860" t="s">
        <v>757</v>
      </c>
      <c r="E860" t="str">
        <f t="shared" ref="E860:E865" si="73">HYPERLINK("/pdf/2025_10_3390_info16110957_llms_for_cybersecurity_in_the_big_data_era_a_comprehensive_review_of_applications_challe.pdf","open")</f>
        <v>open</v>
      </c>
      <c r="F860" t="s">
        <v>7119</v>
      </c>
      <c r="G860" t="s">
        <v>8757</v>
      </c>
      <c r="H860" t="s">
        <v>8758</v>
      </c>
      <c r="I860" t="s">
        <v>8759</v>
      </c>
    </row>
    <row r="861" spans="1:9" x14ac:dyDescent="0.2">
      <c r="A861" t="s">
        <v>754</v>
      </c>
      <c r="B861" t="s">
        <v>755</v>
      </c>
      <c r="C861" t="s">
        <v>19</v>
      </c>
      <c r="D861" t="s">
        <v>757</v>
      </c>
      <c r="E861" t="str">
        <f t="shared" si="73"/>
        <v>open</v>
      </c>
      <c r="F861" t="s">
        <v>7119</v>
      </c>
      <c r="G861" t="s">
        <v>8760</v>
      </c>
      <c r="H861" t="s">
        <v>8761</v>
      </c>
      <c r="I861" t="s">
        <v>8762</v>
      </c>
    </row>
    <row r="862" spans="1:9" x14ac:dyDescent="0.2">
      <c r="A862" t="s">
        <v>754</v>
      </c>
      <c r="B862" t="s">
        <v>755</v>
      </c>
      <c r="C862" t="s">
        <v>19</v>
      </c>
      <c r="D862" t="s">
        <v>757</v>
      </c>
      <c r="E862" t="str">
        <f t="shared" si="73"/>
        <v>open</v>
      </c>
      <c r="F862" t="s">
        <v>7119</v>
      </c>
      <c r="G862" t="s">
        <v>8763</v>
      </c>
      <c r="H862" t="s">
        <v>8764</v>
      </c>
      <c r="I862" t="s">
        <v>8765</v>
      </c>
    </row>
    <row r="863" spans="1:9" x14ac:dyDescent="0.2">
      <c r="A863" t="s">
        <v>754</v>
      </c>
      <c r="B863" t="s">
        <v>755</v>
      </c>
      <c r="C863" t="s">
        <v>19</v>
      </c>
      <c r="D863" t="s">
        <v>757</v>
      </c>
      <c r="E863" t="str">
        <f t="shared" si="73"/>
        <v>open</v>
      </c>
      <c r="F863" t="s">
        <v>7119</v>
      </c>
      <c r="G863" t="s">
        <v>8766</v>
      </c>
      <c r="H863" t="s">
        <v>8767</v>
      </c>
      <c r="I863" t="s">
        <v>8768</v>
      </c>
    </row>
    <row r="864" spans="1:9" x14ac:dyDescent="0.2">
      <c r="A864" t="s">
        <v>754</v>
      </c>
      <c r="B864" t="s">
        <v>755</v>
      </c>
      <c r="C864" t="s">
        <v>19</v>
      </c>
      <c r="D864" t="s">
        <v>757</v>
      </c>
      <c r="E864" t="str">
        <f t="shared" si="73"/>
        <v>open</v>
      </c>
      <c r="F864" t="s">
        <v>7130</v>
      </c>
      <c r="G864" t="s">
        <v>7964</v>
      </c>
      <c r="I864" t="s">
        <v>8769</v>
      </c>
    </row>
    <row r="865" spans="1:9" x14ac:dyDescent="0.2">
      <c r="A865" t="s">
        <v>754</v>
      </c>
      <c r="B865" t="s">
        <v>755</v>
      </c>
      <c r="C865" t="s">
        <v>19</v>
      </c>
      <c r="D865" t="s">
        <v>757</v>
      </c>
      <c r="E865" t="str">
        <f t="shared" si="73"/>
        <v>open</v>
      </c>
      <c r="F865" t="s">
        <v>7130</v>
      </c>
      <c r="G865" t="s">
        <v>8770</v>
      </c>
      <c r="I865" t="s">
        <v>8771</v>
      </c>
    </row>
    <row r="866" spans="1:9" x14ac:dyDescent="0.2">
      <c r="A866" t="s">
        <v>759</v>
      </c>
      <c r="B866" t="s">
        <v>760</v>
      </c>
      <c r="C866" t="s">
        <v>48</v>
      </c>
      <c r="D866" t="s">
        <v>761</v>
      </c>
      <c r="E866" t="str">
        <f t="shared" ref="E866:E871" si="74">HYPERLINK("/pdf/2010_CollSec_2010_-_2010_Workshop_on_Collaborative_Methods_for_Security_and_Privacy.pdf","open")</f>
        <v>open</v>
      </c>
      <c r="F866" t="s">
        <v>7119</v>
      </c>
      <c r="G866" t="s">
        <v>7173</v>
      </c>
      <c r="H866" t="s">
        <v>8772</v>
      </c>
      <c r="I866" t="s">
        <v>8773</v>
      </c>
    </row>
    <row r="867" spans="1:9" x14ac:dyDescent="0.2">
      <c r="A867" t="s">
        <v>759</v>
      </c>
      <c r="B867" t="s">
        <v>760</v>
      </c>
      <c r="C867" t="s">
        <v>48</v>
      </c>
      <c r="D867" t="s">
        <v>761</v>
      </c>
      <c r="E867" t="str">
        <f t="shared" si="74"/>
        <v>open</v>
      </c>
      <c r="F867" t="s">
        <v>7119</v>
      </c>
      <c r="G867" t="s">
        <v>8774</v>
      </c>
      <c r="H867" t="s">
        <v>8775</v>
      </c>
      <c r="I867" t="s">
        <v>8776</v>
      </c>
    </row>
    <row r="868" spans="1:9" x14ac:dyDescent="0.2">
      <c r="A868" t="s">
        <v>759</v>
      </c>
      <c r="B868" t="s">
        <v>760</v>
      </c>
      <c r="C868" t="s">
        <v>48</v>
      </c>
      <c r="D868" t="s">
        <v>761</v>
      </c>
      <c r="E868" t="str">
        <f t="shared" si="74"/>
        <v>open</v>
      </c>
      <c r="F868" t="s">
        <v>7119</v>
      </c>
      <c r="G868" t="s">
        <v>8777</v>
      </c>
      <c r="H868" t="s">
        <v>8778</v>
      </c>
      <c r="I868" t="s">
        <v>8779</v>
      </c>
    </row>
    <row r="869" spans="1:9" x14ac:dyDescent="0.2">
      <c r="A869" t="s">
        <v>759</v>
      </c>
      <c r="B869" t="s">
        <v>760</v>
      </c>
      <c r="C869" t="s">
        <v>48</v>
      </c>
      <c r="D869" t="s">
        <v>761</v>
      </c>
      <c r="E869" t="str">
        <f t="shared" si="74"/>
        <v>open</v>
      </c>
      <c r="F869" t="s">
        <v>7119</v>
      </c>
      <c r="G869" t="s">
        <v>8780</v>
      </c>
      <c r="H869" t="s">
        <v>8781</v>
      </c>
      <c r="I869" t="s">
        <v>7151</v>
      </c>
    </row>
    <row r="870" spans="1:9" x14ac:dyDescent="0.2">
      <c r="A870" t="s">
        <v>759</v>
      </c>
      <c r="B870" t="s">
        <v>760</v>
      </c>
      <c r="C870" t="s">
        <v>48</v>
      </c>
      <c r="D870" t="s">
        <v>761</v>
      </c>
      <c r="E870" t="str">
        <f t="shared" si="74"/>
        <v>open</v>
      </c>
      <c r="F870" t="s">
        <v>7130</v>
      </c>
      <c r="G870" t="s">
        <v>7173</v>
      </c>
      <c r="I870" t="s">
        <v>8782</v>
      </c>
    </row>
    <row r="871" spans="1:9" x14ac:dyDescent="0.2">
      <c r="A871" t="s">
        <v>759</v>
      </c>
      <c r="B871" t="s">
        <v>760</v>
      </c>
      <c r="C871" t="s">
        <v>48</v>
      </c>
      <c r="D871" t="s">
        <v>761</v>
      </c>
      <c r="E871" t="str">
        <f t="shared" si="74"/>
        <v>open</v>
      </c>
      <c r="F871" t="s">
        <v>7130</v>
      </c>
      <c r="G871" t="s">
        <v>7295</v>
      </c>
      <c r="I871" t="s">
        <v>8783</v>
      </c>
    </row>
    <row r="872" spans="1:9" x14ac:dyDescent="0.2">
      <c r="A872" t="s">
        <v>763</v>
      </c>
      <c r="B872" t="s">
        <v>764</v>
      </c>
      <c r="C872" t="s">
        <v>136</v>
      </c>
      <c r="D872" t="s">
        <v>765</v>
      </c>
      <c r="E872" t="str">
        <f>HYPERLINK("/pdf/2019_10_1109_access_2019_2951425_covert_channels_in_the_mqtt_based_internet_of_things.pdf","open")</f>
        <v>open</v>
      </c>
      <c r="F872" t="s">
        <v>7119</v>
      </c>
      <c r="G872" t="s">
        <v>8784</v>
      </c>
      <c r="H872" t="s">
        <v>8785</v>
      </c>
      <c r="I872" t="s">
        <v>8786</v>
      </c>
    </row>
    <row r="873" spans="1:9" x14ac:dyDescent="0.2">
      <c r="A873" t="s">
        <v>763</v>
      </c>
      <c r="B873" t="s">
        <v>764</v>
      </c>
      <c r="C873" t="s">
        <v>136</v>
      </c>
      <c r="D873" t="s">
        <v>765</v>
      </c>
      <c r="E873" t="str">
        <f>HYPERLINK("/pdf/2019_10_1109_access_2019_2951425_covert_channels_in_the_mqtt_based_internet_of_things.pdf","open")</f>
        <v>open</v>
      </c>
      <c r="F873" t="s">
        <v>7119</v>
      </c>
      <c r="G873" t="s">
        <v>7242</v>
      </c>
      <c r="H873" t="s">
        <v>8787</v>
      </c>
      <c r="I873" t="s">
        <v>8788</v>
      </c>
    </row>
    <row r="874" spans="1:9" x14ac:dyDescent="0.2">
      <c r="A874" t="s">
        <v>763</v>
      </c>
      <c r="B874" t="s">
        <v>764</v>
      </c>
      <c r="C874" t="s">
        <v>136</v>
      </c>
      <c r="D874" t="s">
        <v>765</v>
      </c>
      <c r="E874" t="str">
        <f>HYPERLINK("/pdf/2019_10_1109_access_2019_2951425_covert_channels_in_the_mqtt_based_internet_of_things.pdf","open")</f>
        <v>open</v>
      </c>
      <c r="F874" t="s">
        <v>7119</v>
      </c>
      <c r="G874" t="s">
        <v>8789</v>
      </c>
      <c r="H874" t="s">
        <v>8790</v>
      </c>
      <c r="I874" t="s">
        <v>8791</v>
      </c>
    </row>
    <row r="875" spans="1:9" x14ac:dyDescent="0.2">
      <c r="A875" t="s">
        <v>763</v>
      </c>
      <c r="B875" t="s">
        <v>764</v>
      </c>
      <c r="C875" t="s">
        <v>136</v>
      </c>
      <c r="D875" t="s">
        <v>765</v>
      </c>
      <c r="E875" t="str">
        <f>HYPERLINK("/pdf/2019_10_1109_access_2019_2951425_covert_channels_in_the_mqtt_based_internet_of_things.pdf","open")</f>
        <v>open</v>
      </c>
      <c r="F875" t="s">
        <v>7130</v>
      </c>
      <c r="G875" t="s">
        <v>8042</v>
      </c>
      <c r="I875" t="s">
        <v>8792</v>
      </c>
    </row>
    <row r="876" spans="1:9" x14ac:dyDescent="0.2">
      <c r="A876" t="s">
        <v>767</v>
      </c>
      <c r="B876" t="s">
        <v>768</v>
      </c>
      <c r="C876" t="s">
        <v>100</v>
      </c>
      <c r="D876" t="s">
        <v>770</v>
      </c>
      <c r="E876" t="str">
        <f>HYPERLINK("/pdf/2022_10.1109_asiancon55314.2022.9909471_Data_Leakage_in_Android_and_Anomaly_Based_Intrusion_Detection_and_Prevention_System.pdf","open")</f>
        <v>open</v>
      </c>
      <c r="F876" t="s">
        <v>7119</v>
      </c>
      <c r="G876" t="s">
        <v>8793</v>
      </c>
      <c r="H876" t="s">
        <v>8794</v>
      </c>
      <c r="I876" t="s">
        <v>8795</v>
      </c>
    </row>
    <row r="877" spans="1:9" x14ac:dyDescent="0.2">
      <c r="A877" t="s">
        <v>767</v>
      </c>
      <c r="B877" t="s">
        <v>768</v>
      </c>
      <c r="C877" t="s">
        <v>100</v>
      </c>
      <c r="D877" t="s">
        <v>770</v>
      </c>
      <c r="E877" t="str">
        <f>HYPERLINK("/pdf/2022_10.1109_asiancon55314.2022.9909471_Data_Leakage_in_Android_and_Anomaly_Based_Intrusion_Detection_and_Prevention_System.pdf","open")</f>
        <v>open</v>
      </c>
      <c r="F877" t="s">
        <v>7119</v>
      </c>
      <c r="G877" t="s">
        <v>7173</v>
      </c>
      <c r="H877" t="s">
        <v>8796</v>
      </c>
      <c r="I877" t="s">
        <v>8797</v>
      </c>
    </row>
    <row r="878" spans="1:9" x14ac:dyDescent="0.2">
      <c r="A878" t="s">
        <v>767</v>
      </c>
      <c r="B878" t="s">
        <v>768</v>
      </c>
      <c r="C878" t="s">
        <v>100</v>
      </c>
      <c r="D878" t="s">
        <v>770</v>
      </c>
      <c r="E878" t="str">
        <f>HYPERLINK("/pdf/2022_10.1109_asiancon55314.2022.9909471_Data_Leakage_in_Android_and_Anomaly_Based_Intrusion_Detection_and_Prevention_System.pdf","open")</f>
        <v>open</v>
      </c>
      <c r="F878" t="s">
        <v>7119</v>
      </c>
      <c r="G878" t="s">
        <v>8798</v>
      </c>
      <c r="H878" t="s">
        <v>8799</v>
      </c>
      <c r="I878" t="s">
        <v>8797</v>
      </c>
    </row>
    <row r="879" spans="1:9" x14ac:dyDescent="0.2">
      <c r="A879" t="s">
        <v>767</v>
      </c>
      <c r="B879" t="s">
        <v>768</v>
      </c>
      <c r="C879" t="s">
        <v>100</v>
      </c>
      <c r="D879" t="s">
        <v>770</v>
      </c>
      <c r="E879" t="str">
        <f>HYPERLINK("/pdf/2022_10.1109_asiancon55314.2022.9909471_Data_Leakage_in_Android_and_Anomaly_Based_Intrusion_Detection_and_Prevention_System.pdf","open")</f>
        <v>open</v>
      </c>
      <c r="F879" t="s">
        <v>7130</v>
      </c>
      <c r="G879" t="s">
        <v>8800</v>
      </c>
      <c r="I879" t="s">
        <v>8801</v>
      </c>
    </row>
    <row r="880" spans="1:9" x14ac:dyDescent="0.2">
      <c r="A880" t="s">
        <v>772</v>
      </c>
      <c r="B880" t="s">
        <v>773</v>
      </c>
      <c r="C880" t="s">
        <v>19</v>
      </c>
      <c r="D880" t="s">
        <v>775</v>
      </c>
      <c r="E880" t="str">
        <f t="shared" ref="E880:E885" si="75">HYPERLINK("/pdf/2025_10.1142_s2010324725400119_A_Hybrid_BiLSTM-Attention_and_Homomorphic_Encryption_Framework_for_Privacy-Preserving_Threat_Detection_in_Clou.pdf","open")</f>
        <v>open</v>
      </c>
      <c r="F880" t="s">
        <v>7119</v>
      </c>
      <c r="G880" t="s">
        <v>7173</v>
      </c>
      <c r="H880" t="s">
        <v>8802</v>
      </c>
      <c r="I880" t="s">
        <v>8803</v>
      </c>
    </row>
    <row r="881" spans="1:9" x14ac:dyDescent="0.2">
      <c r="A881" t="s">
        <v>772</v>
      </c>
      <c r="B881" t="s">
        <v>773</v>
      </c>
      <c r="C881" t="s">
        <v>19</v>
      </c>
      <c r="D881" t="s">
        <v>775</v>
      </c>
      <c r="E881" t="str">
        <f t="shared" si="75"/>
        <v>open</v>
      </c>
      <c r="F881" t="s">
        <v>7119</v>
      </c>
      <c r="G881" t="s">
        <v>7380</v>
      </c>
      <c r="H881" t="s">
        <v>8804</v>
      </c>
      <c r="I881" t="s">
        <v>8803</v>
      </c>
    </row>
    <row r="882" spans="1:9" x14ac:dyDescent="0.2">
      <c r="A882" t="s">
        <v>772</v>
      </c>
      <c r="B882" t="s">
        <v>773</v>
      </c>
      <c r="C882" t="s">
        <v>19</v>
      </c>
      <c r="D882" t="s">
        <v>775</v>
      </c>
      <c r="E882" t="str">
        <f t="shared" si="75"/>
        <v>open</v>
      </c>
      <c r="F882" t="s">
        <v>7119</v>
      </c>
      <c r="G882" t="s">
        <v>7330</v>
      </c>
      <c r="H882" t="s">
        <v>8805</v>
      </c>
      <c r="I882" t="s">
        <v>8806</v>
      </c>
    </row>
    <row r="883" spans="1:9" x14ac:dyDescent="0.2">
      <c r="A883" t="s">
        <v>772</v>
      </c>
      <c r="B883" t="s">
        <v>773</v>
      </c>
      <c r="C883" t="s">
        <v>19</v>
      </c>
      <c r="D883" t="s">
        <v>775</v>
      </c>
      <c r="E883" t="str">
        <f t="shared" si="75"/>
        <v>open</v>
      </c>
      <c r="F883" t="s">
        <v>7119</v>
      </c>
      <c r="G883" t="s">
        <v>7319</v>
      </c>
      <c r="H883" t="s">
        <v>8807</v>
      </c>
      <c r="I883" t="s">
        <v>7172</v>
      </c>
    </row>
    <row r="884" spans="1:9" x14ac:dyDescent="0.2">
      <c r="A884" t="s">
        <v>772</v>
      </c>
      <c r="B884" t="s">
        <v>773</v>
      </c>
      <c r="C884" t="s">
        <v>19</v>
      </c>
      <c r="D884" t="s">
        <v>775</v>
      </c>
      <c r="E884" t="str">
        <f t="shared" si="75"/>
        <v>open</v>
      </c>
      <c r="F884" t="s">
        <v>7130</v>
      </c>
      <c r="G884" t="s">
        <v>1584</v>
      </c>
      <c r="I884" t="s">
        <v>8808</v>
      </c>
    </row>
    <row r="885" spans="1:9" x14ac:dyDescent="0.2">
      <c r="A885" t="s">
        <v>772</v>
      </c>
      <c r="B885" t="s">
        <v>773</v>
      </c>
      <c r="C885" t="s">
        <v>19</v>
      </c>
      <c r="D885" t="s">
        <v>775</v>
      </c>
      <c r="E885" t="str">
        <f t="shared" si="75"/>
        <v>open</v>
      </c>
      <c r="F885" t="s">
        <v>7130</v>
      </c>
      <c r="G885" t="s">
        <v>1597</v>
      </c>
      <c r="I885" t="s">
        <v>8809</v>
      </c>
    </row>
    <row r="886" spans="1:9" x14ac:dyDescent="0.2">
      <c r="A886" t="s">
        <v>445</v>
      </c>
      <c r="B886" t="s">
        <v>446</v>
      </c>
      <c r="C886" t="s">
        <v>19</v>
      </c>
      <c r="D886" t="s">
        <v>448</v>
      </c>
      <c r="E886" t="str">
        <f>HYPERLINK("/pdf/2025_10_3991_ijep_v15i4_53127_integration_of_cybersecurity_into_computer_science_teachers_training_a_systema.pdf","open")</f>
        <v>open</v>
      </c>
      <c r="F886" t="s">
        <v>7119</v>
      </c>
      <c r="G886" t="s">
        <v>8118</v>
      </c>
      <c r="H886" t="s">
        <v>8810</v>
      </c>
      <c r="I886" t="s">
        <v>8811</v>
      </c>
    </row>
    <row r="887" spans="1:9" x14ac:dyDescent="0.2">
      <c r="A887" t="s">
        <v>445</v>
      </c>
      <c r="B887" t="s">
        <v>446</v>
      </c>
      <c r="C887" t="s">
        <v>19</v>
      </c>
      <c r="D887" t="s">
        <v>448</v>
      </c>
      <c r="E887" t="str">
        <f>HYPERLINK("/pdf/2025_10_3991_ijep_v15i4_53127_integration_of_cybersecurity_into_computer_science_teachers_training_a_systema.pdf","open")</f>
        <v>open</v>
      </c>
      <c r="F887" t="s">
        <v>7119</v>
      </c>
      <c r="G887" t="s">
        <v>8812</v>
      </c>
      <c r="H887" t="s">
        <v>8813</v>
      </c>
      <c r="I887" t="s">
        <v>8814</v>
      </c>
    </row>
    <row r="888" spans="1:9" x14ac:dyDescent="0.2">
      <c r="A888" t="s">
        <v>445</v>
      </c>
      <c r="B888" t="s">
        <v>446</v>
      </c>
      <c r="C888" t="s">
        <v>19</v>
      </c>
      <c r="D888" t="s">
        <v>448</v>
      </c>
      <c r="E888" t="str">
        <f>HYPERLINK("/pdf/2025_10_3991_ijep_v15i4_53127_integration_of_cybersecurity_into_computer_science_teachers_training_a_systema.pdf","open")</f>
        <v>open</v>
      </c>
      <c r="F888" t="s">
        <v>7119</v>
      </c>
      <c r="G888" t="s">
        <v>8815</v>
      </c>
      <c r="H888" t="s">
        <v>8816</v>
      </c>
      <c r="I888" t="s">
        <v>8817</v>
      </c>
    </row>
    <row r="889" spans="1:9" x14ac:dyDescent="0.2">
      <c r="A889" t="s">
        <v>445</v>
      </c>
      <c r="B889" t="s">
        <v>446</v>
      </c>
      <c r="C889" t="s">
        <v>19</v>
      </c>
      <c r="D889" t="s">
        <v>448</v>
      </c>
      <c r="E889" t="str">
        <f>HYPERLINK("/pdf/2025_10_3991_ijep_v15i4_53127_integration_of_cybersecurity_into_computer_science_teachers_training_a_systema.pdf","open")</f>
        <v>open</v>
      </c>
      <c r="F889" t="s">
        <v>7130</v>
      </c>
      <c r="G889" t="s">
        <v>1571</v>
      </c>
      <c r="I889" t="s">
        <v>8818</v>
      </c>
    </row>
    <row r="890" spans="1:9" x14ac:dyDescent="0.2">
      <c r="A890" t="s">
        <v>445</v>
      </c>
      <c r="B890" t="s">
        <v>446</v>
      </c>
      <c r="C890" t="s">
        <v>19</v>
      </c>
      <c r="D890" t="s">
        <v>448</v>
      </c>
      <c r="E890" t="str">
        <f>HYPERLINK("/pdf/2025_10_3991_ijep_v15i4_53127_integration_of_cybersecurity_into_computer_science_teachers_training_a_systema.pdf","open")</f>
        <v>open</v>
      </c>
      <c r="F890" t="s">
        <v>7130</v>
      </c>
      <c r="G890" t="s">
        <v>1592</v>
      </c>
      <c r="I890" t="s">
        <v>8819</v>
      </c>
    </row>
    <row r="891" spans="1:9" x14ac:dyDescent="0.2">
      <c r="A891" t="s">
        <v>778</v>
      </c>
      <c r="B891" t="s">
        <v>779</v>
      </c>
      <c r="C891" t="s">
        <v>60</v>
      </c>
      <c r="D891" t="s">
        <v>778</v>
      </c>
      <c r="E891" t="str">
        <f>HYPERLINK("/pdf/2024_10_20473_mi_v7i3_55931_data_leakage_of_the_indonesian_elections_commission_in_legal_aspects_of_personal.pdf","open")</f>
        <v>open</v>
      </c>
      <c r="F891" t="s">
        <v>7119</v>
      </c>
      <c r="G891" t="s">
        <v>7603</v>
      </c>
      <c r="H891" t="s">
        <v>8820</v>
      </c>
      <c r="I891" t="s">
        <v>8821</v>
      </c>
    </row>
    <row r="892" spans="1:9" x14ac:dyDescent="0.2">
      <c r="A892" t="s">
        <v>778</v>
      </c>
      <c r="B892" t="s">
        <v>779</v>
      </c>
      <c r="C892" t="s">
        <v>60</v>
      </c>
      <c r="D892" t="s">
        <v>778</v>
      </c>
      <c r="E892" t="str">
        <f>HYPERLINK("/pdf/2024_10_20473_mi_v7i3_55931_data_leakage_of_the_indonesian_elections_commission_in_legal_aspects_of_personal.pdf","open")</f>
        <v>open</v>
      </c>
      <c r="F892" t="s">
        <v>7119</v>
      </c>
      <c r="G892" t="s">
        <v>8822</v>
      </c>
      <c r="H892" t="s">
        <v>8823</v>
      </c>
      <c r="I892" t="s">
        <v>8824</v>
      </c>
    </row>
    <row r="893" spans="1:9" x14ac:dyDescent="0.2">
      <c r="A893" t="s">
        <v>778</v>
      </c>
      <c r="B893" t="s">
        <v>779</v>
      </c>
      <c r="C893" t="s">
        <v>60</v>
      </c>
      <c r="D893" t="s">
        <v>778</v>
      </c>
      <c r="E893" t="str">
        <f>HYPERLINK("/pdf/2024_10_20473_mi_v7i3_55931_data_leakage_of_the_indonesian_elections_commission_in_legal_aspects_of_personal.pdf","open")</f>
        <v>open</v>
      </c>
      <c r="F893" t="s">
        <v>7130</v>
      </c>
      <c r="G893" t="s">
        <v>1571</v>
      </c>
      <c r="I893" t="s">
        <v>8825</v>
      </c>
    </row>
    <row r="894" spans="1:9" x14ac:dyDescent="0.2">
      <c r="A894" t="s">
        <v>782</v>
      </c>
      <c r="B894" t="s">
        <v>783</v>
      </c>
      <c r="C894" t="s">
        <v>148</v>
      </c>
      <c r="D894" t="s">
        <v>148</v>
      </c>
      <c r="E894" t="str">
        <f>HYPERLINK("/pdf/2019_10_1109_gciot47977_2019_9058410_practical_application_of_machine_learning_based_online_intrusion_detection_to_internet_of.pdf","open")</f>
        <v>open</v>
      </c>
      <c r="F894" t="s">
        <v>7119</v>
      </c>
      <c r="G894" t="s">
        <v>8826</v>
      </c>
      <c r="H894" t="s">
        <v>8827</v>
      </c>
      <c r="I894" t="s">
        <v>7313</v>
      </c>
    </row>
    <row r="895" spans="1:9" x14ac:dyDescent="0.2">
      <c r="A895" t="s">
        <v>782</v>
      </c>
      <c r="B895" t="s">
        <v>783</v>
      </c>
      <c r="C895" t="s">
        <v>148</v>
      </c>
      <c r="D895" t="s">
        <v>148</v>
      </c>
      <c r="E895" t="str">
        <f>HYPERLINK("/pdf/2019_10_1109_gciot47977_2019_9058410_practical_application_of_machine_learning_based_online_intrusion_detection_to_internet_of.pdf","open")</f>
        <v>open</v>
      </c>
      <c r="F895" t="s">
        <v>7119</v>
      </c>
      <c r="G895" t="s">
        <v>8828</v>
      </c>
      <c r="H895" t="s">
        <v>8829</v>
      </c>
      <c r="I895" t="s">
        <v>7310</v>
      </c>
    </row>
    <row r="896" spans="1:9" x14ac:dyDescent="0.2">
      <c r="A896" t="s">
        <v>782</v>
      </c>
      <c r="B896" t="s">
        <v>783</v>
      </c>
      <c r="C896" t="s">
        <v>148</v>
      </c>
      <c r="D896" t="s">
        <v>148</v>
      </c>
      <c r="E896" t="str">
        <f>HYPERLINK("/pdf/2019_10_1109_gciot47977_2019_9058410_practical_application_of_machine_learning_based_online_intrusion_detection_to_internet_of.pdf","open")</f>
        <v>open</v>
      </c>
      <c r="F896" t="s">
        <v>7119</v>
      </c>
      <c r="G896" t="s">
        <v>7624</v>
      </c>
      <c r="H896" t="s">
        <v>8830</v>
      </c>
      <c r="I896" t="s">
        <v>7416</v>
      </c>
    </row>
    <row r="897" spans="1:9" x14ac:dyDescent="0.2">
      <c r="A897" t="s">
        <v>782</v>
      </c>
      <c r="B897" t="s">
        <v>783</v>
      </c>
      <c r="C897" t="s">
        <v>148</v>
      </c>
      <c r="D897" t="s">
        <v>148</v>
      </c>
      <c r="E897" t="str">
        <f>HYPERLINK("/pdf/2019_10_1109_gciot47977_2019_9058410_practical_application_of_machine_learning_based_online_intrusion_detection_to_internet_of.pdf","open")</f>
        <v>open</v>
      </c>
      <c r="F897" t="s">
        <v>7130</v>
      </c>
      <c r="G897" t="s">
        <v>7215</v>
      </c>
      <c r="I897" t="s">
        <v>8831</v>
      </c>
    </row>
    <row r="898" spans="1:9" x14ac:dyDescent="0.2">
      <c r="A898" t="s">
        <v>782</v>
      </c>
      <c r="B898" t="s">
        <v>783</v>
      </c>
      <c r="C898" t="s">
        <v>148</v>
      </c>
      <c r="D898" t="s">
        <v>148</v>
      </c>
      <c r="E898" t="str">
        <f>HYPERLINK("/pdf/2019_10_1109_gciot47977_2019_9058410_practical_application_of_machine_learning_based_online_intrusion_detection_to_internet_of.pdf","open")</f>
        <v>open</v>
      </c>
      <c r="F898" t="s">
        <v>7130</v>
      </c>
      <c r="G898" t="s">
        <v>8832</v>
      </c>
      <c r="I898" t="s">
        <v>8833</v>
      </c>
    </row>
    <row r="899" spans="1:9" x14ac:dyDescent="0.2">
      <c r="A899" t="s">
        <v>785</v>
      </c>
      <c r="B899" t="s">
        <v>786</v>
      </c>
      <c r="C899" t="s">
        <v>60</v>
      </c>
      <c r="D899" t="s">
        <v>787</v>
      </c>
      <c r="E899" t="str">
        <f>HYPERLINK("/pdf/2024_10.1016_j.cose.2024.103864_MeMalDet__A_memory_analysis-based_malware_detection_framework_using_deep_autoencoders_and_stacked_ensemble_und.pdf","open")</f>
        <v>open</v>
      </c>
      <c r="F899" t="s">
        <v>7119</v>
      </c>
      <c r="G899" t="s">
        <v>8834</v>
      </c>
      <c r="H899" t="s">
        <v>8835</v>
      </c>
      <c r="I899" t="s">
        <v>8836</v>
      </c>
    </row>
    <row r="900" spans="1:9" x14ac:dyDescent="0.2">
      <c r="A900" t="s">
        <v>785</v>
      </c>
      <c r="B900" t="s">
        <v>786</v>
      </c>
      <c r="C900" t="s">
        <v>60</v>
      </c>
      <c r="D900" t="s">
        <v>787</v>
      </c>
      <c r="E900" t="str">
        <f>HYPERLINK("/pdf/2024_10.1016_j.cose.2024.103864_MeMalDet__A_memory_analysis-based_malware_detection_framework_using_deep_autoencoders_and_stacked_ensemble_und.pdf","open")</f>
        <v>open</v>
      </c>
      <c r="F900" t="s">
        <v>7119</v>
      </c>
      <c r="G900" t="s">
        <v>8837</v>
      </c>
      <c r="H900" t="s">
        <v>8838</v>
      </c>
      <c r="I900" t="s">
        <v>8291</v>
      </c>
    </row>
    <row r="901" spans="1:9" x14ac:dyDescent="0.2">
      <c r="A901" t="s">
        <v>785</v>
      </c>
      <c r="B901" t="s">
        <v>786</v>
      </c>
      <c r="C901" t="s">
        <v>60</v>
      </c>
      <c r="D901" t="s">
        <v>787</v>
      </c>
      <c r="E901" t="str">
        <f>HYPERLINK("/pdf/2024_10.1016_j.cose.2024.103864_MeMalDet__A_memory_analysis-based_malware_detection_framework_using_deep_autoencoders_and_stacked_ensemble_und.pdf","open")</f>
        <v>open</v>
      </c>
      <c r="F901" t="s">
        <v>7119</v>
      </c>
      <c r="G901" t="s">
        <v>8839</v>
      </c>
      <c r="H901" t="s">
        <v>8840</v>
      </c>
      <c r="I901" t="s">
        <v>8841</v>
      </c>
    </row>
    <row r="902" spans="1:9" x14ac:dyDescent="0.2">
      <c r="A902" t="s">
        <v>785</v>
      </c>
      <c r="B902" t="s">
        <v>786</v>
      </c>
      <c r="C902" t="s">
        <v>60</v>
      </c>
      <c r="D902" t="s">
        <v>787</v>
      </c>
      <c r="E902" t="str">
        <f>HYPERLINK("/pdf/2024_10.1016_j.cose.2024.103864_MeMalDet__A_memory_analysis-based_malware_detection_framework_using_deep_autoencoders_and_stacked_ensemble_und.pdf","open")</f>
        <v>open</v>
      </c>
      <c r="F902" t="s">
        <v>7130</v>
      </c>
      <c r="G902" t="s">
        <v>1584</v>
      </c>
      <c r="I902" t="s">
        <v>8842</v>
      </c>
    </row>
    <row r="903" spans="1:9" x14ac:dyDescent="0.2">
      <c r="A903" t="s">
        <v>785</v>
      </c>
      <c r="B903" t="s">
        <v>786</v>
      </c>
      <c r="C903" t="s">
        <v>60</v>
      </c>
      <c r="D903" t="s">
        <v>787</v>
      </c>
      <c r="E903" t="str">
        <f>HYPERLINK("/pdf/2024_10.1016_j.cose.2024.103864_MeMalDet__A_memory_analysis-based_malware_detection_framework_using_deep_autoencoders_and_stacked_ensemble_und.pdf","open")</f>
        <v>open</v>
      </c>
      <c r="F903" t="s">
        <v>7130</v>
      </c>
      <c r="G903" t="s">
        <v>1592</v>
      </c>
      <c r="I903" t="s">
        <v>8843</v>
      </c>
    </row>
    <row r="904" spans="1:9" x14ac:dyDescent="0.2">
      <c r="A904" t="s">
        <v>789</v>
      </c>
      <c r="B904" t="s">
        <v>790</v>
      </c>
      <c r="C904" t="s">
        <v>19</v>
      </c>
      <c r="D904" t="s">
        <v>791</v>
      </c>
      <c r="E904" t="str">
        <f t="shared" ref="E904:E910" si="76">HYPERLINK("/pdf/2025_10.1109_access.2025.3602562_Enhanced_Intrusion_Detection_via_Hybrid_Data_Resampling_and_Feature_Optimization.pdf","open")</f>
        <v>open</v>
      </c>
      <c r="F904" t="s">
        <v>7119</v>
      </c>
      <c r="G904" t="s">
        <v>7173</v>
      </c>
      <c r="H904" t="s">
        <v>8844</v>
      </c>
      <c r="I904" t="s">
        <v>8845</v>
      </c>
    </row>
    <row r="905" spans="1:9" x14ac:dyDescent="0.2">
      <c r="A905" t="s">
        <v>789</v>
      </c>
      <c r="B905" t="s">
        <v>790</v>
      </c>
      <c r="C905" t="s">
        <v>19</v>
      </c>
      <c r="D905" t="s">
        <v>791</v>
      </c>
      <c r="E905" t="str">
        <f t="shared" si="76"/>
        <v>open</v>
      </c>
      <c r="F905" t="s">
        <v>7119</v>
      </c>
      <c r="G905" t="s">
        <v>8846</v>
      </c>
      <c r="H905" t="s">
        <v>8847</v>
      </c>
      <c r="I905" t="s">
        <v>8848</v>
      </c>
    </row>
    <row r="906" spans="1:9" x14ac:dyDescent="0.2">
      <c r="A906" t="s">
        <v>789</v>
      </c>
      <c r="B906" t="s">
        <v>790</v>
      </c>
      <c r="C906" t="s">
        <v>19</v>
      </c>
      <c r="D906" t="s">
        <v>791</v>
      </c>
      <c r="E906" t="str">
        <f t="shared" si="76"/>
        <v>open</v>
      </c>
      <c r="F906" t="s">
        <v>7119</v>
      </c>
      <c r="G906" t="s">
        <v>3073</v>
      </c>
      <c r="H906" t="s">
        <v>8849</v>
      </c>
      <c r="I906" t="s">
        <v>8850</v>
      </c>
    </row>
    <row r="907" spans="1:9" x14ac:dyDescent="0.2">
      <c r="A907" t="s">
        <v>789</v>
      </c>
      <c r="B907" t="s">
        <v>790</v>
      </c>
      <c r="C907" t="s">
        <v>19</v>
      </c>
      <c r="D907" t="s">
        <v>791</v>
      </c>
      <c r="E907" t="str">
        <f t="shared" si="76"/>
        <v>open</v>
      </c>
      <c r="F907" t="s">
        <v>7119</v>
      </c>
      <c r="G907" t="s">
        <v>8851</v>
      </c>
      <c r="H907" t="s">
        <v>8852</v>
      </c>
      <c r="I907" t="s">
        <v>8850</v>
      </c>
    </row>
    <row r="908" spans="1:9" x14ac:dyDescent="0.2">
      <c r="A908" t="s">
        <v>789</v>
      </c>
      <c r="B908" t="s">
        <v>790</v>
      </c>
      <c r="C908" t="s">
        <v>19</v>
      </c>
      <c r="D908" t="s">
        <v>791</v>
      </c>
      <c r="E908" t="str">
        <f t="shared" si="76"/>
        <v>open</v>
      </c>
      <c r="F908" t="s">
        <v>7119</v>
      </c>
      <c r="G908" t="s">
        <v>8853</v>
      </c>
      <c r="H908" t="s">
        <v>8854</v>
      </c>
      <c r="I908" t="s">
        <v>8855</v>
      </c>
    </row>
    <row r="909" spans="1:9" x14ac:dyDescent="0.2">
      <c r="A909" t="s">
        <v>789</v>
      </c>
      <c r="B909" t="s">
        <v>790</v>
      </c>
      <c r="C909" t="s">
        <v>19</v>
      </c>
      <c r="D909" t="s">
        <v>791</v>
      </c>
      <c r="E909" t="str">
        <f t="shared" si="76"/>
        <v>open</v>
      </c>
      <c r="F909" t="s">
        <v>7130</v>
      </c>
      <c r="G909" t="s">
        <v>7173</v>
      </c>
      <c r="I909" t="s">
        <v>8856</v>
      </c>
    </row>
    <row r="910" spans="1:9" x14ac:dyDescent="0.2">
      <c r="A910" t="s">
        <v>789</v>
      </c>
      <c r="B910" t="s">
        <v>790</v>
      </c>
      <c r="C910" t="s">
        <v>19</v>
      </c>
      <c r="D910" t="s">
        <v>791</v>
      </c>
      <c r="E910" t="str">
        <f t="shared" si="76"/>
        <v>open</v>
      </c>
      <c r="F910" t="s">
        <v>7130</v>
      </c>
      <c r="G910" t="s">
        <v>7585</v>
      </c>
      <c r="I910" t="s">
        <v>8857</v>
      </c>
    </row>
    <row r="911" spans="1:9" x14ac:dyDescent="0.2">
      <c r="A911" t="s">
        <v>793</v>
      </c>
      <c r="B911" t="s">
        <v>794</v>
      </c>
      <c r="C911" t="s">
        <v>100</v>
      </c>
      <c r="D911" t="s">
        <v>795</v>
      </c>
      <c r="E911" t="str">
        <f t="shared" ref="E911:E916" si="77">HYPERLINK("/pdf/2022_10.1016_j.cose.2022.102783_Adversarial_training_for_deep_learning-based_cyberattack_detection_in_IoT-based_smart_city_applications.pdf","open")</f>
        <v>open</v>
      </c>
      <c r="F911" t="s">
        <v>7119</v>
      </c>
      <c r="G911" t="s">
        <v>7173</v>
      </c>
      <c r="H911" t="s">
        <v>8858</v>
      </c>
      <c r="I911" t="s">
        <v>8157</v>
      </c>
    </row>
    <row r="912" spans="1:9" x14ac:dyDescent="0.2">
      <c r="A912" t="s">
        <v>793</v>
      </c>
      <c r="B912" t="s">
        <v>794</v>
      </c>
      <c r="C912" t="s">
        <v>100</v>
      </c>
      <c r="D912" t="s">
        <v>795</v>
      </c>
      <c r="E912" t="str">
        <f t="shared" si="77"/>
        <v>open</v>
      </c>
      <c r="F912" t="s">
        <v>7119</v>
      </c>
      <c r="G912" t="s">
        <v>8859</v>
      </c>
      <c r="H912" t="s">
        <v>8860</v>
      </c>
      <c r="I912" t="s">
        <v>8861</v>
      </c>
    </row>
    <row r="913" spans="1:9" x14ac:dyDescent="0.2">
      <c r="A913" t="s">
        <v>793</v>
      </c>
      <c r="B913" t="s">
        <v>794</v>
      </c>
      <c r="C913" t="s">
        <v>100</v>
      </c>
      <c r="D913" t="s">
        <v>795</v>
      </c>
      <c r="E913" t="str">
        <f t="shared" si="77"/>
        <v>open</v>
      </c>
      <c r="F913" t="s">
        <v>7119</v>
      </c>
      <c r="G913" t="s">
        <v>8862</v>
      </c>
      <c r="H913" t="s">
        <v>8863</v>
      </c>
      <c r="I913" t="s">
        <v>8864</v>
      </c>
    </row>
    <row r="914" spans="1:9" x14ac:dyDescent="0.2">
      <c r="A914" t="s">
        <v>793</v>
      </c>
      <c r="B914" t="s">
        <v>794</v>
      </c>
      <c r="C914" t="s">
        <v>100</v>
      </c>
      <c r="D914" t="s">
        <v>795</v>
      </c>
      <c r="E914" t="str">
        <f t="shared" si="77"/>
        <v>open</v>
      </c>
      <c r="F914" t="s">
        <v>7119</v>
      </c>
      <c r="G914" t="s">
        <v>7295</v>
      </c>
      <c r="H914" t="s">
        <v>8865</v>
      </c>
      <c r="I914" t="s">
        <v>8866</v>
      </c>
    </row>
    <row r="915" spans="1:9" x14ac:dyDescent="0.2">
      <c r="A915" t="s">
        <v>793</v>
      </c>
      <c r="B915" t="s">
        <v>794</v>
      </c>
      <c r="C915" t="s">
        <v>100</v>
      </c>
      <c r="D915" t="s">
        <v>795</v>
      </c>
      <c r="E915" t="str">
        <f t="shared" si="77"/>
        <v>open</v>
      </c>
      <c r="F915" t="s">
        <v>7130</v>
      </c>
      <c r="G915" t="s">
        <v>7173</v>
      </c>
      <c r="I915" t="s">
        <v>8867</v>
      </c>
    </row>
    <row r="916" spans="1:9" x14ac:dyDescent="0.2">
      <c r="A916" t="s">
        <v>793</v>
      </c>
      <c r="B916" t="s">
        <v>794</v>
      </c>
      <c r="C916" t="s">
        <v>100</v>
      </c>
      <c r="D916" t="s">
        <v>795</v>
      </c>
      <c r="E916" t="str">
        <f t="shared" si="77"/>
        <v>open</v>
      </c>
      <c r="F916" t="s">
        <v>7130</v>
      </c>
      <c r="G916" t="s">
        <v>8868</v>
      </c>
      <c r="I916" t="s">
        <v>8869</v>
      </c>
    </row>
    <row r="917" spans="1:9" x14ac:dyDescent="0.2">
      <c r="A917" t="s">
        <v>797</v>
      </c>
      <c r="B917" t="s">
        <v>798</v>
      </c>
      <c r="C917" t="s">
        <v>36</v>
      </c>
      <c r="D917" t="s">
        <v>800</v>
      </c>
      <c r="E917" t="str">
        <f t="shared" ref="E917:E922" si="78">HYPERLINK("/pdf/2021_10.1109_jetcas.2021.3075098_Proof-Carrying_Hardware-Based_Information_Flow_Tracking_in_Analog_Mixed-Signal_Designs.pdf","open")</f>
        <v>open</v>
      </c>
      <c r="F917" t="s">
        <v>7119</v>
      </c>
      <c r="G917" t="s">
        <v>8870</v>
      </c>
      <c r="H917" t="s">
        <v>8871</v>
      </c>
      <c r="I917" t="s">
        <v>8082</v>
      </c>
    </row>
    <row r="918" spans="1:9" x14ac:dyDescent="0.2">
      <c r="A918" t="s">
        <v>797</v>
      </c>
      <c r="B918" t="s">
        <v>798</v>
      </c>
      <c r="C918" t="s">
        <v>36</v>
      </c>
      <c r="D918" t="s">
        <v>800</v>
      </c>
      <c r="E918" t="str">
        <f t="shared" si="78"/>
        <v>open</v>
      </c>
      <c r="F918" t="s">
        <v>7119</v>
      </c>
      <c r="G918" t="s">
        <v>8872</v>
      </c>
      <c r="H918" t="s">
        <v>8873</v>
      </c>
      <c r="I918" t="s">
        <v>8082</v>
      </c>
    </row>
    <row r="919" spans="1:9" x14ac:dyDescent="0.2">
      <c r="A919" t="s">
        <v>797</v>
      </c>
      <c r="B919" t="s">
        <v>798</v>
      </c>
      <c r="C919" t="s">
        <v>36</v>
      </c>
      <c r="D919" t="s">
        <v>800</v>
      </c>
      <c r="E919" t="str">
        <f t="shared" si="78"/>
        <v>open</v>
      </c>
      <c r="F919" t="s">
        <v>7119</v>
      </c>
      <c r="G919" t="s">
        <v>8874</v>
      </c>
      <c r="H919" t="s">
        <v>8875</v>
      </c>
      <c r="I919" t="s">
        <v>8876</v>
      </c>
    </row>
    <row r="920" spans="1:9" x14ac:dyDescent="0.2">
      <c r="A920" t="s">
        <v>797</v>
      </c>
      <c r="B920" t="s">
        <v>798</v>
      </c>
      <c r="C920" t="s">
        <v>36</v>
      </c>
      <c r="D920" t="s">
        <v>800</v>
      </c>
      <c r="E920" t="str">
        <f t="shared" si="78"/>
        <v>open</v>
      </c>
      <c r="F920" t="s">
        <v>7119</v>
      </c>
      <c r="G920" t="s">
        <v>8877</v>
      </c>
      <c r="H920" t="s">
        <v>8878</v>
      </c>
      <c r="I920" t="s">
        <v>8879</v>
      </c>
    </row>
    <row r="921" spans="1:9" x14ac:dyDescent="0.2">
      <c r="A921" t="s">
        <v>797</v>
      </c>
      <c r="B921" t="s">
        <v>798</v>
      </c>
      <c r="C921" t="s">
        <v>36</v>
      </c>
      <c r="D921" t="s">
        <v>800</v>
      </c>
      <c r="E921" t="str">
        <f t="shared" si="78"/>
        <v>open</v>
      </c>
      <c r="F921" t="s">
        <v>7130</v>
      </c>
      <c r="G921" t="s">
        <v>1571</v>
      </c>
      <c r="I921" t="s">
        <v>7158</v>
      </c>
    </row>
    <row r="922" spans="1:9" x14ac:dyDescent="0.2">
      <c r="A922" t="s">
        <v>797</v>
      </c>
      <c r="B922" t="s">
        <v>798</v>
      </c>
      <c r="C922" t="s">
        <v>36</v>
      </c>
      <c r="D922" t="s">
        <v>800</v>
      </c>
      <c r="E922" t="str">
        <f t="shared" si="78"/>
        <v>open</v>
      </c>
      <c r="F922" t="s">
        <v>7130</v>
      </c>
      <c r="G922" t="s">
        <v>7215</v>
      </c>
      <c r="I922" t="s">
        <v>8880</v>
      </c>
    </row>
    <row r="923" spans="1:9" x14ac:dyDescent="0.2">
      <c r="A923" t="s">
        <v>802</v>
      </c>
      <c r="B923" t="s">
        <v>803</v>
      </c>
      <c r="C923" t="s">
        <v>100</v>
      </c>
      <c r="D923" t="s">
        <v>805</v>
      </c>
      <c r="E923" t="str">
        <f>HYPERLINK("/pdf/2022_10.1145_3564625.3567970_Randezvous__Making_Randomization_Effective_on_MCUs.pdf","open")</f>
        <v>open</v>
      </c>
      <c r="F923" t="s">
        <v>7119</v>
      </c>
      <c r="G923" t="s">
        <v>8881</v>
      </c>
      <c r="H923" t="s">
        <v>8882</v>
      </c>
      <c r="I923" t="s">
        <v>7782</v>
      </c>
    </row>
    <row r="924" spans="1:9" x14ac:dyDescent="0.2">
      <c r="A924" t="s">
        <v>802</v>
      </c>
      <c r="B924" t="s">
        <v>803</v>
      </c>
      <c r="C924" t="s">
        <v>100</v>
      </c>
      <c r="D924" t="s">
        <v>805</v>
      </c>
      <c r="E924" t="str">
        <f>HYPERLINK("/pdf/2022_10.1145_3564625.3567970_Randezvous__Making_Randomization_Effective_on_MCUs.pdf","open")</f>
        <v>open</v>
      </c>
      <c r="F924" t="s">
        <v>7119</v>
      </c>
      <c r="G924" t="s">
        <v>8883</v>
      </c>
      <c r="H924" t="s">
        <v>8884</v>
      </c>
      <c r="I924" t="s">
        <v>8885</v>
      </c>
    </row>
    <row r="925" spans="1:9" x14ac:dyDescent="0.2">
      <c r="A925" t="s">
        <v>802</v>
      </c>
      <c r="B925" t="s">
        <v>803</v>
      </c>
      <c r="C925" t="s">
        <v>100</v>
      </c>
      <c r="D925" t="s">
        <v>805</v>
      </c>
      <c r="E925" t="str">
        <f>HYPERLINK("/pdf/2022_10.1145_3564625.3567970_Randezvous__Making_Randomization_Effective_on_MCUs.pdf","open")</f>
        <v>open</v>
      </c>
      <c r="F925" t="s">
        <v>7119</v>
      </c>
      <c r="G925" t="s">
        <v>8886</v>
      </c>
      <c r="H925" t="s">
        <v>8887</v>
      </c>
      <c r="I925" t="s">
        <v>7782</v>
      </c>
    </row>
    <row r="926" spans="1:9" x14ac:dyDescent="0.2">
      <c r="A926" t="s">
        <v>802</v>
      </c>
      <c r="B926" t="s">
        <v>803</v>
      </c>
      <c r="C926" t="s">
        <v>100</v>
      </c>
      <c r="D926" t="s">
        <v>805</v>
      </c>
      <c r="E926" t="str">
        <f>HYPERLINK("/pdf/2022_10.1145_3564625.3567970_Randezvous__Making_Randomization_Effective_on_MCUs.pdf","open")</f>
        <v>open</v>
      </c>
      <c r="F926" t="s">
        <v>7130</v>
      </c>
      <c r="G926" t="s">
        <v>1571</v>
      </c>
      <c r="I926" t="s">
        <v>7178</v>
      </c>
    </row>
    <row r="927" spans="1:9" x14ac:dyDescent="0.2">
      <c r="A927" t="s">
        <v>802</v>
      </c>
      <c r="B927" t="s">
        <v>803</v>
      </c>
      <c r="C927" t="s">
        <v>100</v>
      </c>
      <c r="D927" t="s">
        <v>805</v>
      </c>
      <c r="E927" t="str">
        <f>HYPERLINK("/pdf/2022_10.1145_3564625.3567970_Randezvous__Making_Randomization_Effective_on_MCUs.pdf","open")</f>
        <v>open</v>
      </c>
      <c r="F927" t="s">
        <v>7130</v>
      </c>
      <c r="G927" t="s">
        <v>1574</v>
      </c>
      <c r="I927" t="s">
        <v>8888</v>
      </c>
    </row>
    <row r="928" spans="1:9" x14ac:dyDescent="0.2">
      <c r="A928" t="s">
        <v>807</v>
      </c>
      <c r="B928" t="s">
        <v>146</v>
      </c>
      <c r="C928" t="s">
        <v>136</v>
      </c>
      <c r="D928" t="s">
        <v>148</v>
      </c>
      <c r="E928" t="str">
        <f>HYPERLINK("/pdf/2020_10.1109_iceee49618.2020.9102516_The_Techniques_of_Securing_Imaging_Data_in_Medical_System.pdf","open")</f>
        <v>open</v>
      </c>
      <c r="F928" t="s">
        <v>7119</v>
      </c>
      <c r="G928" t="s">
        <v>8889</v>
      </c>
      <c r="H928" t="s">
        <v>7415</v>
      </c>
      <c r="I928" t="s">
        <v>7531</v>
      </c>
    </row>
    <row r="929" spans="1:9" x14ac:dyDescent="0.2">
      <c r="A929" t="s">
        <v>807</v>
      </c>
      <c r="B929" t="s">
        <v>146</v>
      </c>
      <c r="C929" t="s">
        <v>136</v>
      </c>
      <c r="D929" t="s">
        <v>148</v>
      </c>
      <c r="E929" t="str">
        <f>HYPERLINK("/pdf/2020_10.1109_iceee49618.2020.9102516_The_Techniques_of_Securing_Imaging_Data_in_Medical_System.pdf","open")</f>
        <v>open</v>
      </c>
      <c r="F929" t="s">
        <v>7119</v>
      </c>
      <c r="G929" t="s">
        <v>8890</v>
      </c>
      <c r="H929" t="s">
        <v>7418</v>
      </c>
      <c r="I929" t="s">
        <v>7531</v>
      </c>
    </row>
    <row r="930" spans="1:9" x14ac:dyDescent="0.2">
      <c r="A930" t="s">
        <v>807</v>
      </c>
      <c r="B930" t="s">
        <v>146</v>
      </c>
      <c r="C930" t="s">
        <v>136</v>
      </c>
      <c r="D930" t="s">
        <v>148</v>
      </c>
      <c r="E930" t="str">
        <f>HYPERLINK("/pdf/2020_10.1109_iceee49618.2020.9102516_The_Techniques_of_Securing_Imaging_Data_in_Medical_System.pdf","open")</f>
        <v>open</v>
      </c>
      <c r="F930" t="s">
        <v>7119</v>
      </c>
      <c r="G930" t="s">
        <v>8891</v>
      </c>
      <c r="H930" t="s">
        <v>8892</v>
      </c>
      <c r="I930" t="s">
        <v>8893</v>
      </c>
    </row>
    <row r="931" spans="1:9" x14ac:dyDescent="0.2">
      <c r="A931" t="s">
        <v>807</v>
      </c>
      <c r="B931" t="s">
        <v>146</v>
      </c>
      <c r="C931" t="s">
        <v>136</v>
      </c>
      <c r="D931" t="s">
        <v>148</v>
      </c>
      <c r="E931" t="str">
        <f>HYPERLINK("/pdf/2020_10.1109_iceee49618.2020.9102516_The_Techniques_of_Securing_Imaging_Data_in_Medical_System.pdf","open")</f>
        <v>open</v>
      </c>
      <c r="F931" t="s">
        <v>7130</v>
      </c>
      <c r="G931" t="s">
        <v>7295</v>
      </c>
      <c r="I931" t="s">
        <v>7421</v>
      </c>
    </row>
    <row r="932" spans="1:9" x14ac:dyDescent="0.2">
      <c r="A932" t="s">
        <v>807</v>
      </c>
      <c r="B932" t="s">
        <v>146</v>
      </c>
      <c r="C932" t="s">
        <v>136</v>
      </c>
      <c r="D932" t="s">
        <v>148</v>
      </c>
      <c r="E932" t="str">
        <f>HYPERLINK("/pdf/2020_10.1109_iceee49618.2020.9102516_The_Techniques_of_Securing_Imaging_Data_in_Medical_System.pdf","open")</f>
        <v>open</v>
      </c>
      <c r="F932" t="s">
        <v>7130</v>
      </c>
      <c r="G932" t="s">
        <v>7422</v>
      </c>
      <c r="I932" t="s">
        <v>8893</v>
      </c>
    </row>
    <row r="933" spans="1:9" x14ac:dyDescent="0.2">
      <c r="A933" t="s">
        <v>809</v>
      </c>
      <c r="B933" t="s">
        <v>810</v>
      </c>
      <c r="C933" t="s">
        <v>363</v>
      </c>
      <c r="D933" t="s">
        <v>812</v>
      </c>
      <c r="E933" t="str">
        <f>HYPERLINK("/pdf/2016_10.1145_2976749.2978398_ProvUSB__Block-level_provenance-based_data_protection_for_USB_storage_devices.pdf","open")</f>
        <v>open</v>
      </c>
      <c r="F933" t="s">
        <v>7119</v>
      </c>
      <c r="G933" t="s">
        <v>8894</v>
      </c>
      <c r="H933" t="s">
        <v>8895</v>
      </c>
      <c r="I933" t="s">
        <v>8896</v>
      </c>
    </row>
    <row r="934" spans="1:9" x14ac:dyDescent="0.2">
      <c r="A934" t="s">
        <v>809</v>
      </c>
      <c r="B934" t="s">
        <v>810</v>
      </c>
      <c r="C934" t="s">
        <v>363</v>
      </c>
      <c r="D934" t="s">
        <v>812</v>
      </c>
      <c r="E934" t="str">
        <f>HYPERLINK("/pdf/2016_10.1145_2976749.2978398_ProvUSB__Block-level_provenance-based_data_protection_for_USB_storage_devices.pdf","open")</f>
        <v>open</v>
      </c>
      <c r="F934" t="s">
        <v>7119</v>
      </c>
      <c r="G934" t="s">
        <v>8897</v>
      </c>
      <c r="H934" t="s">
        <v>8898</v>
      </c>
      <c r="I934" t="s">
        <v>8899</v>
      </c>
    </row>
    <row r="935" spans="1:9" x14ac:dyDescent="0.2">
      <c r="A935" t="s">
        <v>809</v>
      </c>
      <c r="B935" t="s">
        <v>810</v>
      </c>
      <c r="C935" t="s">
        <v>363</v>
      </c>
      <c r="D935" t="s">
        <v>812</v>
      </c>
      <c r="E935" t="str">
        <f>HYPERLINK("/pdf/2016_10.1145_2976749.2978398_ProvUSB__Block-level_provenance-based_data_protection_for_USB_storage_devices.pdf","open")</f>
        <v>open</v>
      </c>
      <c r="F935" t="s">
        <v>7119</v>
      </c>
      <c r="G935" t="s">
        <v>8900</v>
      </c>
      <c r="H935" t="s">
        <v>8901</v>
      </c>
      <c r="I935" t="s">
        <v>8902</v>
      </c>
    </row>
    <row r="936" spans="1:9" x14ac:dyDescent="0.2">
      <c r="A936" t="s">
        <v>809</v>
      </c>
      <c r="B936" t="s">
        <v>810</v>
      </c>
      <c r="C936" t="s">
        <v>363</v>
      </c>
      <c r="D936" t="s">
        <v>812</v>
      </c>
      <c r="E936" t="str">
        <f>HYPERLINK("/pdf/2016_10.1145_2976749.2978398_ProvUSB__Block-level_provenance-based_data_protection_for_USB_storage_devices.pdf","open")</f>
        <v>open</v>
      </c>
      <c r="F936" t="s">
        <v>7130</v>
      </c>
      <c r="G936" t="s">
        <v>8903</v>
      </c>
      <c r="I936" t="s">
        <v>8904</v>
      </c>
    </row>
    <row r="937" spans="1:9" x14ac:dyDescent="0.2">
      <c r="A937" t="s">
        <v>809</v>
      </c>
      <c r="B937" t="s">
        <v>810</v>
      </c>
      <c r="C937" t="s">
        <v>363</v>
      </c>
      <c r="D937" t="s">
        <v>812</v>
      </c>
      <c r="E937" t="str">
        <f>HYPERLINK("/pdf/2016_10.1145_2976749.2978398_ProvUSB__Block-level_provenance-based_data_protection_for_USB_storage_devices.pdf","open")</f>
        <v>open</v>
      </c>
      <c r="F937" t="s">
        <v>7130</v>
      </c>
      <c r="G937" t="s">
        <v>8905</v>
      </c>
      <c r="I937" t="s">
        <v>8906</v>
      </c>
    </row>
    <row r="938" spans="1:9" x14ac:dyDescent="0.2">
      <c r="A938" t="s">
        <v>814</v>
      </c>
      <c r="B938" t="s">
        <v>815</v>
      </c>
      <c r="C938" t="s">
        <v>210</v>
      </c>
      <c r="D938" t="s">
        <v>817</v>
      </c>
      <c r="E938" t="str">
        <f>HYPERLINK("/pdf/2015_10.1109_msp.2015.88_Can_Content-Based_Data_Loss_Prevention_Solutions_Prevent_Data_Leakage_in_Web_Traffic_.pdf","open")</f>
        <v>open</v>
      </c>
      <c r="F938" t="s">
        <v>7119</v>
      </c>
      <c r="G938" t="s">
        <v>8907</v>
      </c>
      <c r="H938" t="s">
        <v>8908</v>
      </c>
      <c r="I938" t="s">
        <v>8909</v>
      </c>
    </row>
    <row r="939" spans="1:9" x14ac:dyDescent="0.2">
      <c r="A939" t="s">
        <v>814</v>
      </c>
      <c r="B939" t="s">
        <v>815</v>
      </c>
      <c r="C939" t="s">
        <v>210</v>
      </c>
      <c r="D939" t="s">
        <v>817</v>
      </c>
      <c r="E939" t="str">
        <f>HYPERLINK("/pdf/2015_10.1109_msp.2015.88_Can_Content-Based_Data_Loss_Prevention_Solutions_Prevent_Data_Leakage_in_Web_Traffic_.pdf","open")</f>
        <v>open</v>
      </c>
      <c r="F939" t="s">
        <v>7119</v>
      </c>
      <c r="G939" t="s">
        <v>8910</v>
      </c>
      <c r="H939" t="s">
        <v>8911</v>
      </c>
      <c r="I939" t="s">
        <v>8909</v>
      </c>
    </row>
    <row r="940" spans="1:9" x14ac:dyDescent="0.2">
      <c r="A940" t="s">
        <v>814</v>
      </c>
      <c r="B940" t="s">
        <v>815</v>
      </c>
      <c r="C940" t="s">
        <v>210</v>
      </c>
      <c r="D940" t="s">
        <v>817</v>
      </c>
      <c r="E940" t="str">
        <f>HYPERLINK("/pdf/2015_10.1109_msp.2015.88_Can_Content-Based_Data_Loss_Prevention_Solutions_Prevent_Data_Leakage_in_Web_Traffic_.pdf","open")</f>
        <v>open</v>
      </c>
      <c r="F940" t="s">
        <v>7119</v>
      </c>
      <c r="G940" t="s">
        <v>8912</v>
      </c>
      <c r="H940" t="s">
        <v>8913</v>
      </c>
      <c r="I940" t="s">
        <v>8914</v>
      </c>
    </row>
    <row r="941" spans="1:9" x14ac:dyDescent="0.2">
      <c r="A941" t="s">
        <v>814</v>
      </c>
      <c r="B941" t="s">
        <v>815</v>
      </c>
      <c r="C941" t="s">
        <v>210</v>
      </c>
      <c r="D941" t="s">
        <v>817</v>
      </c>
      <c r="E941" t="str">
        <f>HYPERLINK("/pdf/2015_10.1109_msp.2015.88_Can_Content-Based_Data_Loss_Prevention_Solutions_Prevent_Data_Leakage_in_Web_Traffic_.pdf","open")</f>
        <v>open</v>
      </c>
      <c r="F941" t="s">
        <v>7130</v>
      </c>
      <c r="G941" t="s">
        <v>1571</v>
      </c>
      <c r="I941" t="s">
        <v>7158</v>
      </c>
    </row>
    <row r="942" spans="1:9" x14ac:dyDescent="0.2">
      <c r="A942" t="s">
        <v>814</v>
      </c>
      <c r="B942" t="s">
        <v>815</v>
      </c>
      <c r="C942" t="s">
        <v>210</v>
      </c>
      <c r="D942" t="s">
        <v>817</v>
      </c>
      <c r="E942" t="str">
        <f>HYPERLINK("/pdf/2015_10.1109_msp.2015.88_Can_Content-Based_Data_Loss_Prevention_Solutions_Prevent_Data_Leakage_in_Web_Traffic_.pdf","open")</f>
        <v>open</v>
      </c>
      <c r="F942" t="s">
        <v>7130</v>
      </c>
      <c r="G942" t="s">
        <v>8915</v>
      </c>
      <c r="I942" t="s">
        <v>8916</v>
      </c>
    </row>
    <row r="943" spans="1:9" x14ac:dyDescent="0.2">
      <c r="A943" t="s">
        <v>819</v>
      </c>
      <c r="B943" t="s">
        <v>820</v>
      </c>
      <c r="C943" t="s">
        <v>25</v>
      </c>
      <c r="D943" t="s">
        <v>822</v>
      </c>
      <c r="E943" t="str">
        <f>HYPERLINK("/pdf/2023_10.1109_gcat59970.2023.10353244_Exploring_Advanced_Model_Optimization_Strategies_for_Network_Intrusion_Detection_in_cloud_computing.pdf","open")</f>
        <v>open</v>
      </c>
      <c r="F943" t="s">
        <v>7119</v>
      </c>
      <c r="G943" t="s">
        <v>7349</v>
      </c>
      <c r="H943" t="s">
        <v>8917</v>
      </c>
      <c r="I943" t="s">
        <v>7225</v>
      </c>
    </row>
    <row r="944" spans="1:9" x14ac:dyDescent="0.2">
      <c r="A944" t="s">
        <v>819</v>
      </c>
      <c r="B944" t="s">
        <v>820</v>
      </c>
      <c r="C944" t="s">
        <v>25</v>
      </c>
      <c r="D944" t="s">
        <v>822</v>
      </c>
      <c r="E944" t="str">
        <f>HYPERLINK("/pdf/2023_10.1109_gcat59970.2023.10353244_Exploring_Advanced_Model_Optimization_Strategies_for_Network_Intrusion_Detection_in_cloud_computing.pdf","open")</f>
        <v>open</v>
      </c>
      <c r="F944" t="s">
        <v>7119</v>
      </c>
      <c r="G944" t="s">
        <v>8918</v>
      </c>
      <c r="H944" t="s">
        <v>8919</v>
      </c>
      <c r="I944" t="s">
        <v>7313</v>
      </c>
    </row>
    <row r="945" spans="1:9" x14ac:dyDescent="0.2">
      <c r="A945" t="s">
        <v>819</v>
      </c>
      <c r="B945" t="s">
        <v>820</v>
      </c>
      <c r="C945" t="s">
        <v>25</v>
      </c>
      <c r="D945" t="s">
        <v>822</v>
      </c>
      <c r="E945" t="str">
        <f>HYPERLINK("/pdf/2023_10.1109_gcat59970.2023.10353244_Exploring_Advanced_Model_Optimization_Strategies_for_Network_Intrusion_Detection_in_cloud_computing.pdf","open")</f>
        <v>open</v>
      </c>
      <c r="F945" t="s">
        <v>7119</v>
      </c>
      <c r="G945" t="s">
        <v>8920</v>
      </c>
      <c r="H945" t="s">
        <v>8921</v>
      </c>
      <c r="I945" t="s">
        <v>7332</v>
      </c>
    </row>
    <row r="946" spans="1:9" x14ac:dyDescent="0.2">
      <c r="A946" t="s">
        <v>819</v>
      </c>
      <c r="B946" t="s">
        <v>820</v>
      </c>
      <c r="C946" t="s">
        <v>25</v>
      </c>
      <c r="D946" t="s">
        <v>822</v>
      </c>
      <c r="E946" t="str">
        <f>HYPERLINK("/pdf/2023_10.1109_gcat59970.2023.10353244_Exploring_Advanced_Model_Optimization_Strategies_for_Network_Intrusion_Detection_in_cloud_computing.pdf","open")</f>
        <v>open</v>
      </c>
      <c r="F946" t="s">
        <v>7130</v>
      </c>
      <c r="G946" t="s">
        <v>7215</v>
      </c>
      <c r="I946" t="s">
        <v>8922</v>
      </c>
    </row>
    <row r="947" spans="1:9" x14ac:dyDescent="0.2">
      <c r="A947" t="s">
        <v>819</v>
      </c>
      <c r="B947" t="s">
        <v>820</v>
      </c>
      <c r="C947" t="s">
        <v>25</v>
      </c>
      <c r="D947" t="s">
        <v>822</v>
      </c>
      <c r="E947" t="str">
        <f>HYPERLINK("/pdf/2023_10.1109_gcat59970.2023.10353244_Exploring_Advanced_Model_Optimization_Strategies_for_Network_Intrusion_Detection_in_cloud_computing.pdf","open")</f>
        <v>open</v>
      </c>
      <c r="F947" t="s">
        <v>7130</v>
      </c>
      <c r="G947" t="s">
        <v>8923</v>
      </c>
      <c r="I947" t="s">
        <v>8924</v>
      </c>
    </row>
    <row r="948" spans="1:9" x14ac:dyDescent="0.2">
      <c r="A948" t="s">
        <v>824</v>
      </c>
      <c r="B948" t="s">
        <v>825</v>
      </c>
      <c r="C948" t="s">
        <v>100</v>
      </c>
      <c r="D948" t="s">
        <v>826</v>
      </c>
      <c r="E948" t="str">
        <f>HYPERLINK("/pdf/2022_10_3390_app12042174_assistive_multimodal_robotic_system_amrsys_security_and_privacy_issues_challenges_and.pdf","open")</f>
        <v>open</v>
      </c>
      <c r="F948" t="s">
        <v>7119</v>
      </c>
      <c r="G948" t="s">
        <v>8925</v>
      </c>
      <c r="H948" t="s">
        <v>8926</v>
      </c>
      <c r="I948" t="s">
        <v>7178</v>
      </c>
    </row>
    <row r="949" spans="1:9" x14ac:dyDescent="0.2">
      <c r="A949" t="s">
        <v>824</v>
      </c>
      <c r="B949" t="s">
        <v>825</v>
      </c>
      <c r="C949" t="s">
        <v>100</v>
      </c>
      <c r="D949" t="s">
        <v>826</v>
      </c>
      <c r="E949" t="str">
        <f>HYPERLINK("/pdf/2022_10_3390_app12042174_assistive_multimodal_robotic_system_amrsys_security_and_privacy_issues_challenges_and.pdf","open")</f>
        <v>open</v>
      </c>
      <c r="F949" t="s">
        <v>7119</v>
      </c>
      <c r="G949" t="s">
        <v>8927</v>
      </c>
      <c r="H949" t="s">
        <v>8928</v>
      </c>
      <c r="I949" t="s">
        <v>7356</v>
      </c>
    </row>
    <row r="950" spans="1:9" x14ac:dyDescent="0.2">
      <c r="A950" t="s">
        <v>824</v>
      </c>
      <c r="B950" t="s">
        <v>825</v>
      </c>
      <c r="C950" t="s">
        <v>100</v>
      </c>
      <c r="D950" t="s">
        <v>826</v>
      </c>
      <c r="E950" t="str">
        <f>HYPERLINK("/pdf/2022_10_3390_app12042174_assistive_multimodal_robotic_system_amrsys_security_and_privacy_issues_challenges_and.pdf","open")</f>
        <v>open</v>
      </c>
      <c r="F950" t="s">
        <v>7119</v>
      </c>
      <c r="G950" t="s">
        <v>8929</v>
      </c>
      <c r="H950" t="s">
        <v>8930</v>
      </c>
      <c r="I950" t="s">
        <v>8931</v>
      </c>
    </row>
    <row r="951" spans="1:9" x14ac:dyDescent="0.2">
      <c r="A951" t="s">
        <v>824</v>
      </c>
      <c r="B951" t="s">
        <v>825</v>
      </c>
      <c r="C951" t="s">
        <v>100</v>
      </c>
      <c r="D951" t="s">
        <v>826</v>
      </c>
      <c r="E951" t="str">
        <f>HYPERLINK("/pdf/2022_10_3390_app12042174_assistive_multimodal_robotic_system_amrsys_security_and_privacy_issues_challenges_and.pdf","open")</f>
        <v>open</v>
      </c>
      <c r="F951" t="s">
        <v>7130</v>
      </c>
      <c r="G951" t="s">
        <v>1571</v>
      </c>
      <c r="I951" t="s">
        <v>7158</v>
      </c>
    </row>
    <row r="952" spans="1:9" x14ac:dyDescent="0.2">
      <c r="A952" t="s">
        <v>824</v>
      </c>
      <c r="B952" t="s">
        <v>825</v>
      </c>
      <c r="C952" t="s">
        <v>100</v>
      </c>
      <c r="D952" t="s">
        <v>826</v>
      </c>
      <c r="E952" t="str">
        <f>HYPERLINK("/pdf/2022_10_3390_app12042174_assistive_multimodal_robotic_system_amrsys_security_and_privacy_issues_challenges_and.pdf","open")</f>
        <v>open</v>
      </c>
      <c r="F952" t="s">
        <v>7130</v>
      </c>
      <c r="G952" t="s">
        <v>7159</v>
      </c>
      <c r="I952" t="s">
        <v>8932</v>
      </c>
    </row>
    <row r="953" spans="1:9" x14ac:dyDescent="0.2">
      <c r="A953" t="s">
        <v>828</v>
      </c>
      <c r="B953" t="s">
        <v>829</v>
      </c>
      <c r="C953" t="s">
        <v>60</v>
      </c>
      <c r="D953" t="s">
        <v>831</v>
      </c>
      <c r="E953" t="str">
        <f t="shared" ref="E953:E958" si="79">HYPERLINK("/pdf/2024_10.1080_23311916.2024.2411859_Investigation_of_cyber_attacks_using_post-installation_app_detection_method.pdf","open")</f>
        <v>open</v>
      </c>
      <c r="F953" t="s">
        <v>7119</v>
      </c>
      <c r="G953" t="s">
        <v>8933</v>
      </c>
      <c r="H953" t="s">
        <v>8934</v>
      </c>
      <c r="I953" t="s">
        <v>8935</v>
      </c>
    </row>
    <row r="954" spans="1:9" x14ac:dyDescent="0.2">
      <c r="A954" t="s">
        <v>828</v>
      </c>
      <c r="B954" t="s">
        <v>829</v>
      </c>
      <c r="C954" t="s">
        <v>60</v>
      </c>
      <c r="D954" t="s">
        <v>831</v>
      </c>
      <c r="E954" t="str">
        <f t="shared" si="79"/>
        <v>open</v>
      </c>
      <c r="F954" t="s">
        <v>7119</v>
      </c>
      <c r="G954" t="s">
        <v>8936</v>
      </c>
      <c r="H954" t="s">
        <v>8937</v>
      </c>
      <c r="I954" t="s">
        <v>8563</v>
      </c>
    </row>
    <row r="955" spans="1:9" x14ac:dyDescent="0.2">
      <c r="A955" t="s">
        <v>828</v>
      </c>
      <c r="B955" t="s">
        <v>829</v>
      </c>
      <c r="C955" t="s">
        <v>60</v>
      </c>
      <c r="D955" t="s">
        <v>831</v>
      </c>
      <c r="E955" t="str">
        <f t="shared" si="79"/>
        <v>open</v>
      </c>
      <c r="F955" t="s">
        <v>7119</v>
      </c>
      <c r="G955" t="s">
        <v>7624</v>
      </c>
      <c r="H955" t="s">
        <v>8938</v>
      </c>
      <c r="I955" t="s">
        <v>8939</v>
      </c>
    </row>
    <row r="956" spans="1:9" x14ac:dyDescent="0.2">
      <c r="A956" t="s">
        <v>828</v>
      </c>
      <c r="B956" t="s">
        <v>829</v>
      </c>
      <c r="C956" t="s">
        <v>60</v>
      </c>
      <c r="D956" t="s">
        <v>831</v>
      </c>
      <c r="E956" t="str">
        <f t="shared" si="79"/>
        <v>open</v>
      </c>
      <c r="F956" t="s">
        <v>7119</v>
      </c>
      <c r="G956" t="s">
        <v>8940</v>
      </c>
      <c r="H956" t="s">
        <v>8941</v>
      </c>
      <c r="I956" t="s">
        <v>8942</v>
      </c>
    </row>
    <row r="957" spans="1:9" x14ac:dyDescent="0.2">
      <c r="A957" t="s">
        <v>828</v>
      </c>
      <c r="B957" t="s">
        <v>829</v>
      </c>
      <c r="C957" t="s">
        <v>60</v>
      </c>
      <c r="D957" t="s">
        <v>831</v>
      </c>
      <c r="E957" t="str">
        <f t="shared" si="79"/>
        <v>open</v>
      </c>
      <c r="F957" t="s">
        <v>7130</v>
      </c>
      <c r="G957" t="s">
        <v>7215</v>
      </c>
      <c r="I957" t="s">
        <v>8943</v>
      </c>
    </row>
    <row r="958" spans="1:9" x14ac:dyDescent="0.2">
      <c r="A958" t="s">
        <v>828</v>
      </c>
      <c r="B958" t="s">
        <v>829</v>
      </c>
      <c r="C958" t="s">
        <v>60</v>
      </c>
      <c r="D958" t="s">
        <v>831</v>
      </c>
      <c r="E958" t="str">
        <f t="shared" si="79"/>
        <v>open</v>
      </c>
      <c r="F958" t="s">
        <v>7130</v>
      </c>
      <c r="G958" t="s">
        <v>7200</v>
      </c>
      <c r="I958" t="s">
        <v>8944</v>
      </c>
    </row>
    <row r="959" spans="1:9" x14ac:dyDescent="0.2">
      <c r="A959" t="s">
        <v>833</v>
      </c>
      <c r="B959" t="s">
        <v>834</v>
      </c>
      <c r="C959" t="s">
        <v>100</v>
      </c>
      <c r="D959" t="s">
        <v>148</v>
      </c>
      <c r="E959" t="str">
        <f t="shared" ref="E959:E965" si="80">HYPERLINK("/pdf/2023_10_1109_compsac57700_2023_00106_feature_engineering_based_detection_of_buffer_overflow_vulnerability_in_source_code_using.pdf","open")</f>
        <v>open</v>
      </c>
      <c r="F959" t="s">
        <v>7119</v>
      </c>
      <c r="G959" t="s">
        <v>8274</v>
      </c>
      <c r="H959" t="s">
        <v>8945</v>
      </c>
      <c r="I959" t="s">
        <v>7313</v>
      </c>
    </row>
    <row r="960" spans="1:9" x14ac:dyDescent="0.2">
      <c r="A960" t="s">
        <v>833</v>
      </c>
      <c r="B960" t="s">
        <v>834</v>
      </c>
      <c r="C960" t="s">
        <v>100</v>
      </c>
      <c r="D960" t="s">
        <v>148</v>
      </c>
      <c r="E960" t="str">
        <f t="shared" si="80"/>
        <v>open</v>
      </c>
      <c r="F960" t="s">
        <v>7119</v>
      </c>
      <c r="G960" t="s">
        <v>8946</v>
      </c>
      <c r="H960" t="s">
        <v>8947</v>
      </c>
      <c r="I960" t="s">
        <v>7154</v>
      </c>
    </row>
    <row r="961" spans="1:9" x14ac:dyDescent="0.2">
      <c r="A961" t="s">
        <v>833</v>
      </c>
      <c r="B961" t="s">
        <v>834</v>
      </c>
      <c r="C961" t="s">
        <v>100</v>
      </c>
      <c r="D961" t="s">
        <v>148</v>
      </c>
      <c r="E961" t="str">
        <f t="shared" si="80"/>
        <v>open</v>
      </c>
      <c r="F961" t="s">
        <v>7119</v>
      </c>
      <c r="G961" t="s">
        <v>7173</v>
      </c>
      <c r="H961" t="s">
        <v>8948</v>
      </c>
      <c r="I961" t="s">
        <v>7154</v>
      </c>
    </row>
    <row r="962" spans="1:9" x14ac:dyDescent="0.2">
      <c r="A962" t="s">
        <v>833</v>
      </c>
      <c r="B962" t="s">
        <v>834</v>
      </c>
      <c r="C962" t="s">
        <v>100</v>
      </c>
      <c r="D962" t="s">
        <v>148</v>
      </c>
      <c r="E962" t="str">
        <f t="shared" si="80"/>
        <v>open</v>
      </c>
      <c r="F962" t="s">
        <v>7119</v>
      </c>
      <c r="G962" t="s">
        <v>8949</v>
      </c>
      <c r="H962" t="s">
        <v>8950</v>
      </c>
      <c r="I962" t="s">
        <v>7151</v>
      </c>
    </row>
    <row r="963" spans="1:9" x14ac:dyDescent="0.2">
      <c r="A963" t="s">
        <v>833</v>
      </c>
      <c r="B963" t="s">
        <v>834</v>
      </c>
      <c r="C963" t="s">
        <v>100</v>
      </c>
      <c r="D963" t="s">
        <v>148</v>
      </c>
      <c r="E963" t="str">
        <f t="shared" si="80"/>
        <v>open</v>
      </c>
      <c r="F963" t="s">
        <v>7119</v>
      </c>
      <c r="G963" t="s">
        <v>8951</v>
      </c>
      <c r="H963" t="s">
        <v>8952</v>
      </c>
      <c r="I963" t="s">
        <v>8953</v>
      </c>
    </row>
    <row r="964" spans="1:9" x14ac:dyDescent="0.2">
      <c r="A964" t="s">
        <v>833</v>
      </c>
      <c r="B964" t="s">
        <v>834</v>
      </c>
      <c r="C964" t="s">
        <v>100</v>
      </c>
      <c r="D964" t="s">
        <v>148</v>
      </c>
      <c r="E964" t="str">
        <f t="shared" si="80"/>
        <v>open</v>
      </c>
      <c r="F964" t="s">
        <v>7130</v>
      </c>
      <c r="G964" t="s">
        <v>1597</v>
      </c>
      <c r="I964" t="s">
        <v>8954</v>
      </c>
    </row>
    <row r="965" spans="1:9" x14ac:dyDescent="0.2">
      <c r="A965" t="s">
        <v>833</v>
      </c>
      <c r="B965" t="s">
        <v>834</v>
      </c>
      <c r="C965" t="s">
        <v>100</v>
      </c>
      <c r="D965" t="s">
        <v>148</v>
      </c>
      <c r="E965" t="str">
        <f t="shared" si="80"/>
        <v>open</v>
      </c>
      <c r="F965" t="s">
        <v>7130</v>
      </c>
      <c r="G965" t="s">
        <v>8955</v>
      </c>
      <c r="I965" t="s">
        <v>8956</v>
      </c>
    </row>
    <row r="966" spans="1:9" x14ac:dyDescent="0.2">
      <c r="A966" t="s">
        <v>836</v>
      </c>
      <c r="B966" t="s">
        <v>837</v>
      </c>
      <c r="C966" t="s">
        <v>36</v>
      </c>
      <c r="D966" t="s">
        <v>839</v>
      </c>
      <c r="E966" t="str">
        <f t="shared" ref="E966:E972" si="81">HYPERLINK("/pdf/2021_10.4316_aece.2021.03005_Deep_Learning_Based_DNS_Tunneling_Detection_and_Blocking_System.pdf","open")</f>
        <v>open</v>
      </c>
      <c r="F966" t="s">
        <v>7119</v>
      </c>
      <c r="G966" t="s">
        <v>7319</v>
      </c>
      <c r="H966" t="s">
        <v>8957</v>
      </c>
      <c r="I966" t="s">
        <v>8958</v>
      </c>
    </row>
    <row r="967" spans="1:9" x14ac:dyDescent="0.2">
      <c r="A967" t="s">
        <v>836</v>
      </c>
      <c r="B967" t="s">
        <v>837</v>
      </c>
      <c r="C967" t="s">
        <v>36</v>
      </c>
      <c r="D967" t="s">
        <v>839</v>
      </c>
      <c r="E967" t="str">
        <f t="shared" si="81"/>
        <v>open</v>
      </c>
      <c r="F967" t="s">
        <v>7119</v>
      </c>
      <c r="G967" t="s">
        <v>7288</v>
      </c>
      <c r="H967" t="s">
        <v>8959</v>
      </c>
      <c r="I967" t="s">
        <v>8960</v>
      </c>
    </row>
    <row r="968" spans="1:9" x14ac:dyDescent="0.2">
      <c r="A968" t="s">
        <v>836</v>
      </c>
      <c r="B968" t="s">
        <v>837</v>
      </c>
      <c r="C968" t="s">
        <v>36</v>
      </c>
      <c r="D968" t="s">
        <v>839</v>
      </c>
      <c r="E968" t="str">
        <f t="shared" si="81"/>
        <v>open</v>
      </c>
      <c r="F968" t="s">
        <v>7119</v>
      </c>
      <c r="G968" t="s">
        <v>7877</v>
      </c>
      <c r="H968" t="s">
        <v>8961</v>
      </c>
      <c r="I968" t="s">
        <v>8962</v>
      </c>
    </row>
    <row r="969" spans="1:9" x14ac:dyDescent="0.2">
      <c r="A969" t="s">
        <v>836</v>
      </c>
      <c r="B969" t="s">
        <v>837</v>
      </c>
      <c r="C969" t="s">
        <v>36</v>
      </c>
      <c r="D969" t="s">
        <v>839</v>
      </c>
      <c r="E969" t="str">
        <f t="shared" si="81"/>
        <v>open</v>
      </c>
      <c r="F969" t="s">
        <v>7119</v>
      </c>
      <c r="G969" t="s">
        <v>7173</v>
      </c>
      <c r="H969" t="s">
        <v>8963</v>
      </c>
      <c r="I969" t="s">
        <v>8964</v>
      </c>
    </row>
    <row r="970" spans="1:9" x14ac:dyDescent="0.2">
      <c r="A970" t="s">
        <v>836</v>
      </c>
      <c r="B970" t="s">
        <v>837</v>
      </c>
      <c r="C970" t="s">
        <v>36</v>
      </c>
      <c r="D970" t="s">
        <v>839</v>
      </c>
      <c r="E970" t="str">
        <f t="shared" si="81"/>
        <v>open</v>
      </c>
      <c r="F970" t="s">
        <v>7119</v>
      </c>
      <c r="G970" t="s">
        <v>8965</v>
      </c>
      <c r="H970" t="s">
        <v>8966</v>
      </c>
      <c r="I970" t="s">
        <v>8967</v>
      </c>
    </row>
    <row r="971" spans="1:9" x14ac:dyDescent="0.2">
      <c r="A971" t="s">
        <v>836</v>
      </c>
      <c r="B971" t="s">
        <v>837</v>
      </c>
      <c r="C971" t="s">
        <v>36</v>
      </c>
      <c r="D971" t="s">
        <v>839</v>
      </c>
      <c r="E971" t="str">
        <f t="shared" si="81"/>
        <v>open</v>
      </c>
      <c r="F971" t="s">
        <v>7130</v>
      </c>
      <c r="G971" t="s">
        <v>7215</v>
      </c>
      <c r="I971" t="s">
        <v>8968</v>
      </c>
    </row>
    <row r="972" spans="1:9" x14ac:dyDescent="0.2">
      <c r="A972" t="s">
        <v>836</v>
      </c>
      <c r="B972" t="s">
        <v>837</v>
      </c>
      <c r="C972" t="s">
        <v>36</v>
      </c>
      <c r="D972" t="s">
        <v>839</v>
      </c>
      <c r="E972" t="str">
        <f t="shared" si="81"/>
        <v>open</v>
      </c>
      <c r="F972" t="s">
        <v>7130</v>
      </c>
      <c r="G972" t="s">
        <v>7200</v>
      </c>
      <c r="I972" t="s">
        <v>8969</v>
      </c>
    </row>
    <row r="973" spans="1:9" x14ac:dyDescent="0.2">
      <c r="A973" t="s">
        <v>841</v>
      </c>
      <c r="B973" t="s">
        <v>842</v>
      </c>
      <c r="C973" t="s">
        <v>100</v>
      </c>
      <c r="D973" t="s">
        <v>844</v>
      </c>
      <c r="E973" t="str">
        <f>HYPERLINK("/pdf/2022_10.1016_j.ins.2022.07.104_Privacy-preserving_knowledge_transfer_for_intrusion_detection_with_federated_deep_autoencoding_gaussian_mixtur.pdf","open")</f>
        <v>open</v>
      </c>
      <c r="F973" t="s">
        <v>7119</v>
      </c>
      <c r="G973" t="s">
        <v>8970</v>
      </c>
      <c r="H973" t="s">
        <v>8971</v>
      </c>
      <c r="I973" t="s">
        <v>8972</v>
      </c>
    </row>
    <row r="974" spans="1:9" x14ac:dyDescent="0.2">
      <c r="A974" t="s">
        <v>841</v>
      </c>
      <c r="B974" t="s">
        <v>842</v>
      </c>
      <c r="C974" t="s">
        <v>100</v>
      </c>
      <c r="D974" t="s">
        <v>844</v>
      </c>
      <c r="E974" t="str">
        <f>HYPERLINK("/pdf/2022_10.1016_j.ins.2022.07.104_Privacy-preserving_knowledge_transfer_for_intrusion_detection_with_federated_deep_autoencoding_gaussian_mixtur.pdf","open")</f>
        <v>open</v>
      </c>
      <c r="F974" t="s">
        <v>7119</v>
      </c>
      <c r="G974" t="s">
        <v>8973</v>
      </c>
      <c r="H974" t="s">
        <v>8974</v>
      </c>
      <c r="I974" t="s">
        <v>8975</v>
      </c>
    </row>
    <row r="975" spans="1:9" x14ac:dyDescent="0.2">
      <c r="A975" t="s">
        <v>841</v>
      </c>
      <c r="B975" t="s">
        <v>842</v>
      </c>
      <c r="C975" t="s">
        <v>100</v>
      </c>
      <c r="D975" t="s">
        <v>844</v>
      </c>
      <c r="E975" t="str">
        <f>HYPERLINK("/pdf/2022_10.1016_j.ins.2022.07.104_Privacy-preserving_knowledge_transfer_for_intrusion_detection_with_federated_deep_autoencoding_gaussian_mixtur.pdf","open")</f>
        <v>open</v>
      </c>
      <c r="F975" t="s">
        <v>7119</v>
      </c>
      <c r="G975" t="s">
        <v>8976</v>
      </c>
      <c r="H975" t="s">
        <v>8977</v>
      </c>
      <c r="I975" t="s">
        <v>8975</v>
      </c>
    </row>
    <row r="976" spans="1:9" x14ac:dyDescent="0.2">
      <c r="A976" t="s">
        <v>841</v>
      </c>
      <c r="B976" t="s">
        <v>842</v>
      </c>
      <c r="C976" t="s">
        <v>100</v>
      </c>
      <c r="D976" t="s">
        <v>844</v>
      </c>
      <c r="E976" t="str">
        <f>HYPERLINK("/pdf/2022_10.1016_j.ins.2022.07.104_Privacy-preserving_knowledge_transfer_for_intrusion_detection_with_federated_deep_autoencoding_gaussian_mixtur.pdf","open")</f>
        <v>open</v>
      </c>
      <c r="F976" t="s">
        <v>7130</v>
      </c>
      <c r="G976" t="s">
        <v>1584</v>
      </c>
      <c r="I976" t="s">
        <v>8978</v>
      </c>
    </row>
    <row r="977" spans="1:9" x14ac:dyDescent="0.2">
      <c r="A977" t="s">
        <v>841</v>
      </c>
      <c r="B977" t="s">
        <v>842</v>
      </c>
      <c r="C977" t="s">
        <v>100</v>
      </c>
      <c r="D977" t="s">
        <v>844</v>
      </c>
      <c r="E977" t="str">
        <f>HYPERLINK("/pdf/2022_10.1016_j.ins.2022.07.104_Privacy-preserving_knowledge_transfer_for_intrusion_detection_with_federated_deep_autoencoding_gaussian_mixtur.pdf","open")</f>
        <v>open</v>
      </c>
      <c r="F977" t="s">
        <v>7130</v>
      </c>
      <c r="G977" t="s">
        <v>1574</v>
      </c>
      <c r="I977" t="s">
        <v>8979</v>
      </c>
    </row>
    <row r="978" spans="1:9" x14ac:dyDescent="0.2">
      <c r="A978" t="s">
        <v>846</v>
      </c>
      <c r="B978" t="s">
        <v>847</v>
      </c>
      <c r="C978" t="s">
        <v>19</v>
      </c>
      <c r="D978" t="s">
        <v>848</v>
      </c>
      <c r="E978" t="str">
        <f t="shared" ref="E978:E983" si="82">HYPERLINK("/pdf/2025_10_3390_electronics14101982_ficconvnet_a_privacy_preserving_framework_for_malware_detection_using_ckks_homomorphic_en.pdf","open")</f>
        <v>open</v>
      </c>
      <c r="F978" t="s">
        <v>7119</v>
      </c>
      <c r="G978" t="s">
        <v>7349</v>
      </c>
      <c r="H978" t="s">
        <v>8980</v>
      </c>
      <c r="I978" t="s">
        <v>8981</v>
      </c>
    </row>
    <row r="979" spans="1:9" x14ac:dyDescent="0.2">
      <c r="A979" t="s">
        <v>846</v>
      </c>
      <c r="B979" t="s">
        <v>847</v>
      </c>
      <c r="C979" t="s">
        <v>19</v>
      </c>
      <c r="D979" t="s">
        <v>848</v>
      </c>
      <c r="E979" t="str">
        <f t="shared" si="82"/>
        <v>open</v>
      </c>
      <c r="F979" t="s">
        <v>7119</v>
      </c>
      <c r="G979" t="s">
        <v>8982</v>
      </c>
      <c r="H979" t="s">
        <v>8983</v>
      </c>
      <c r="I979" t="s">
        <v>8984</v>
      </c>
    </row>
    <row r="980" spans="1:9" x14ac:dyDescent="0.2">
      <c r="A980" t="s">
        <v>846</v>
      </c>
      <c r="B980" t="s">
        <v>847</v>
      </c>
      <c r="C980" t="s">
        <v>19</v>
      </c>
      <c r="D980" t="s">
        <v>848</v>
      </c>
      <c r="E980" t="str">
        <f t="shared" si="82"/>
        <v>open</v>
      </c>
      <c r="F980" t="s">
        <v>7119</v>
      </c>
      <c r="G980" t="s">
        <v>7173</v>
      </c>
      <c r="H980" t="s">
        <v>8985</v>
      </c>
      <c r="I980" t="s">
        <v>8981</v>
      </c>
    </row>
    <row r="981" spans="1:9" x14ac:dyDescent="0.2">
      <c r="A981" t="s">
        <v>846</v>
      </c>
      <c r="B981" t="s">
        <v>847</v>
      </c>
      <c r="C981" t="s">
        <v>19</v>
      </c>
      <c r="D981" t="s">
        <v>848</v>
      </c>
      <c r="E981" t="str">
        <f t="shared" si="82"/>
        <v>open</v>
      </c>
      <c r="F981" t="s">
        <v>7119</v>
      </c>
      <c r="G981" t="s">
        <v>1597</v>
      </c>
      <c r="H981" t="s">
        <v>8986</v>
      </c>
      <c r="I981" t="s">
        <v>8987</v>
      </c>
    </row>
    <row r="982" spans="1:9" x14ac:dyDescent="0.2">
      <c r="A982" t="s">
        <v>846</v>
      </c>
      <c r="B982" t="s">
        <v>847</v>
      </c>
      <c r="C982" t="s">
        <v>19</v>
      </c>
      <c r="D982" t="s">
        <v>848</v>
      </c>
      <c r="E982" t="str">
        <f t="shared" si="82"/>
        <v>open</v>
      </c>
      <c r="F982" t="s">
        <v>7130</v>
      </c>
      <c r="G982" t="s">
        <v>1584</v>
      </c>
      <c r="I982" t="s">
        <v>8988</v>
      </c>
    </row>
    <row r="983" spans="1:9" x14ac:dyDescent="0.2">
      <c r="A983" t="s">
        <v>846</v>
      </c>
      <c r="B983" t="s">
        <v>847</v>
      </c>
      <c r="C983" t="s">
        <v>19</v>
      </c>
      <c r="D983" t="s">
        <v>848</v>
      </c>
      <c r="E983" t="str">
        <f t="shared" si="82"/>
        <v>open</v>
      </c>
      <c r="F983" t="s">
        <v>7130</v>
      </c>
      <c r="G983" t="s">
        <v>1575</v>
      </c>
      <c r="I983" t="s">
        <v>8989</v>
      </c>
    </row>
    <row r="984" spans="1:9" x14ac:dyDescent="0.2">
      <c r="A984" t="s">
        <v>850</v>
      </c>
      <c r="B984" t="s">
        <v>850</v>
      </c>
      <c r="C984" t="s">
        <v>100</v>
      </c>
      <c r="D984" t="s">
        <v>851</v>
      </c>
      <c r="E984" t="str">
        <f>HYPERLINK("/pdf/2022_10.1016_j.cose.2022.102644_Preventive_portfolio_against_data-selling_ransomware—A_game_theory_of_encryption_and_deception.pdf","open")</f>
        <v>open</v>
      </c>
      <c r="F984" t="s">
        <v>7119</v>
      </c>
      <c r="G984" t="s">
        <v>8990</v>
      </c>
      <c r="H984" t="s">
        <v>8991</v>
      </c>
      <c r="I984" t="s">
        <v>8082</v>
      </c>
    </row>
    <row r="985" spans="1:9" x14ac:dyDescent="0.2">
      <c r="A985" t="s">
        <v>850</v>
      </c>
      <c r="B985" t="s">
        <v>850</v>
      </c>
      <c r="C985" t="s">
        <v>100</v>
      </c>
      <c r="D985" t="s">
        <v>851</v>
      </c>
      <c r="E985" t="str">
        <f>HYPERLINK("/pdf/2022_10.1016_j.cose.2022.102644_Preventive_portfolio_against_data-selling_ransomware—A_game_theory_of_encryption_and_deception.pdf","open")</f>
        <v>open</v>
      </c>
      <c r="F985" t="s">
        <v>7119</v>
      </c>
      <c r="G985" t="s">
        <v>8992</v>
      </c>
      <c r="H985" t="s">
        <v>8993</v>
      </c>
      <c r="I985" t="s">
        <v>8994</v>
      </c>
    </row>
    <row r="986" spans="1:9" x14ac:dyDescent="0.2">
      <c r="A986" t="s">
        <v>850</v>
      </c>
      <c r="B986" t="s">
        <v>850</v>
      </c>
      <c r="C986" t="s">
        <v>100</v>
      </c>
      <c r="D986" t="s">
        <v>851</v>
      </c>
      <c r="E986" t="str">
        <f>HYPERLINK("/pdf/2022_10.1016_j.cose.2022.102644_Preventive_portfolio_against_data-selling_ransomware—A_game_theory_of_encryption_and_deception.pdf","open")</f>
        <v>open</v>
      </c>
      <c r="F986" t="s">
        <v>7119</v>
      </c>
      <c r="G986" t="s">
        <v>8995</v>
      </c>
      <c r="H986" t="s">
        <v>8996</v>
      </c>
      <c r="I986" t="s">
        <v>8885</v>
      </c>
    </row>
    <row r="987" spans="1:9" x14ac:dyDescent="0.2">
      <c r="A987" t="s">
        <v>850</v>
      </c>
      <c r="B987" t="s">
        <v>850</v>
      </c>
      <c r="C987" t="s">
        <v>100</v>
      </c>
      <c r="D987" t="s">
        <v>851</v>
      </c>
      <c r="E987" t="str">
        <f>HYPERLINK("/pdf/2022_10.1016_j.cose.2022.102644_Preventive_portfolio_against_data-selling_ransomware—A_game_theory_of_encryption_and_deception.pdf","open")</f>
        <v>open</v>
      </c>
      <c r="F987" t="s">
        <v>7130</v>
      </c>
      <c r="G987" t="s">
        <v>7661</v>
      </c>
      <c r="I987" t="s">
        <v>8997</v>
      </c>
    </row>
    <row r="988" spans="1:9" x14ac:dyDescent="0.2">
      <c r="A988" t="s">
        <v>850</v>
      </c>
      <c r="B988" t="s">
        <v>850</v>
      </c>
      <c r="C988" t="s">
        <v>100</v>
      </c>
      <c r="D988" t="s">
        <v>851</v>
      </c>
      <c r="E988" t="str">
        <f>HYPERLINK("/pdf/2022_10.1016_j.cose.2022.102644_Preventive_portfolio_against_data-selling_ransomware—A_game_theory_of_encryption_and_deception.pdf","open")</f>
        <v>open</v>
      </c>
      <c r="F988" t="s">
        <v>7130</v>
      </c>
      <c r="G988" t="s">
        <v>7215</v>
      </c>
      <c r="I988" t="s">
        <v>8998</v>
      </c>
    </row>
    <row r="989" spans="1:9" x14ac:dyDescent="0.2">
      <c r="A989" t="s">
        <v>853</v>
      </c>
      <c r="B989" t="s">
        <v>854</v>
      </c>
      <c r="C989" t="s">
        <v>19</v>
      </c>
      <c r="D989" t="s">
        <v>856</v>
      </c>
      <c r="E989" t="str">
        <f t="shared" ref="E989:E995" si="83">HYPERLINK("/pdf/2025_10.1109_sennet64220.2025.11135967_Secure_IoMT_Networks__A_Federated_Learning_Approach_to_Intrusion_Detection_with_Ensemble_Voting_Classifier.pdf","open")</f>
        <v>open</v>
      </c>
      <c r="F989" t="s">
        <v>7119</v>
      </c>
      <c r="G989" t="s">
        <v>8999</v>
      </c>
      <c r="H989" t="s">
        <v>9000</v>
      </c>
      <c r="I989" t="s">
        <v>7178</v>
      </c>
    </row>
    <row r="990" spans="1:9" x14ac:dyDescent="0.2">
      <c r="A990" t="s">
        <v>853</v>
      </c>
      <c r="B990" t="s">
        <v>854</v>
      </c>
      <c r="C990" t="s">
        <v>19</v>
      </c>
      <c r="D990" t="s">
        <v>856</v>
      </c>
      <c r="E990" t="str">
        <f t="shared" si="83"/>
        <v>open</v>
      </c>
      <c r="F990" t="s">
        <v>7119</v>
      </c>
      <c r="G990" t="s">
        <v>7624</v>
      </c>
      <c r="H990" t="s">
        <v>9001</v>
      </c>
      <c r="I990" t="s">
        <v>7178</v>
      </c>
    </row>
    <row r="991" spans="1:9" x14ac:dyDescent="0.2">
      <c r="A991" t="s">
        <v>853</v>
      </c>
      <c r="B991" t="s">
        <v>854</v>
      </c>
      <c r="C991" t="s">
        <v>19</v>
      </c>
      <c r="D991" t="s">
        <v>856</v>
      </c>
      <c r="E991" t="str">
        <f t="shared" si="83"/>
        <v>open</v>
      </c>
      <c r="F991" t="s">
        <v>7119</v>
      </c>
      <c r="G991" t="s">
        <v>9002</v>
      </c>
      <c r="H991" t="s">
        <v>9003</v>
      </c>
      <c r="I991" t="s">
        <v>9004</v>
      </c>
    </row>
    <row r="992" spans="1:9" x14ac:dyDescent="0.2">
      <c r="A992" t="s">
        <v>853</v>
      </c>
      <c r="B992" t="s">
        <v>854</v>
      </c>
      <c r="C992" t="s">
        <v>19</v>
      </c>
      <c r="D992" t="s">
        <v>856</v>
      </c>
      <c r="E992" t="str">
        <f t="shared" si="83"/>
        <v>open</v>
      </c>
      <c r="F992" t="s">
        <v>7119</v>
      </c>
      <c r="G992" t="s">
        <v>9005</v>
      </c>
      <c r="H992" t="s">
        <v>9006</v>
      </c>
      <c r="I992" t="s">
        <v>9007</v>
      </c>
    </row>
    <row r="993" spans="1:9" x14ac:dyDescent="0.2">
      <c r="A993" t="s">
        <v>853</v>
      </c>
      <c r="B993" t="s">
        <v>854</v>
      </c>
      <c r="C993" t="s">
        <v>19</v>
      </c>
      <c r="D993" t="s">
        <v>856</v>
      </c>
      <c r="E993" t="str">
        <f t="shared" si="83"/>
        <v>open</v>
      </c>
      <c r="F993" t="s">
        <v>7119</v>
      </c>
      <c r="G993" t="s">
        <v>9008</v>
      </c>
      <c r="H993" t="s">
        <v>9009</v>
      </c>
      <c r="I993" t="s">
        <v>9010</v>
      </c>
    </row>
    <row r="994" spans="1:9" x14ac:dyDescent="0.2">
      <c r="A994" t="s">
        <v>853</v>
      </c>
      <c r="B994" t="s">
        <v>854</v>
      </c>
      <c r="C994" t="s">
        <v>19</v>
      </c>
      <c r="D994" t="s">
        <v>856</v>
      </c>
      <c r="E994" t="str">
        <f t="shared" si="83"/>
        <v>open</v>
      </c>
      <c r="F994" t="s">
        <v>7130</v>
      </c>
      <c r="G994" t="s">
        <v>1584</v>
      </c>
      <c r="I994" t="s">
        <v>9011</v>
      </c>
    </row>
    <row r="995" spans="1:9" x14ac:dyDescent="0.2">
      <c r="A995" t="s">
        <v>853</v>
      </c>
      <c r="B995" t="s">
        <v>854</v>
      </c>
      <c r="C995" t="s">
        <v>19</v>
      </c>
      <c r="D995" t="s">
        <v>856</v>
      </c>
      <c r="E995" t="str">
        <f t="shared" si="83"/>
        <v>open</v>
      </c>
      <c r="F995" t="s">
        <v>7130</v>
      </c>
      <c r="G995" t="s">
        <v>1574</v>
      </c>
      <c r="I995" t="s">
        <v>9012</v>
      </c>
    </row>
    <row r="996" spans="1:9" x14ac:dyDescent="0.2">
      <c r="A996" t="s">
        <v>858</v>
      </c>
      <c r="B996" t="s">
        <v>859</v>
      </c>
      <c r="C996" t="s">
        <v>25</v>
      </c>
      <c r="D996" t="s">
        <v>861</v>
      </c>
      <c r="E996" t="str">
        <f t="shared" ref="E996:E1001" si="84">HYPERLINK("/pdf/2023_10.1016_j.micpro.2023.104845_Empirical_study_on_security_verification_and_assessment_of_neural_network_accelerator.pdf","open")</f>
        <v>open</v>
      </c>
      <c r="F996" t="s">
        <v>7119</v>
      </c>
      <c r="G996" t="s">
        <v>9013</v>
      </c>
      <c r="H996" t="s">
        <v>9014</v>
      </c>
      <c r="I996" t="s">
        <v>7178</v>
      </c>
    </row>
    <row r="997" spans="1:9" x14ac:dyDescent="0.2">
      <c r="A997" t="s">
        <v>858</v>
      </c>
      <c r="B997" t="s">
        <v>859</v>
      </c>
      <c r="C997" t="s">
        <v>25</v>
      </c>
      <c r="D997" t="s">
        <v>861</v>
      </c>
      <c r="E997" t="str">
        <f t="shared" si="84"/>
        <v>open</v>
      </c>
      <c r="F997" t="s">
        <v>7119</v>
      </c>
      <c r="G997" t="s">
        <v>9015</v>
      </c>
      <c r="H997" t="s">
        <v>9016</v>
      </c>
      <c r="I997" t="s">
        <v>9017</v>
      </c>
    </row>
    <row r="998" spans="1:9" x14ac:dyDescent="0.2">
      <c r="A998" t="s">
        <v>858</v>
      </c>
      <c r="B998" t="s">
        <v>859</v>
      </c>
      <c r="C998" t="s">
        <v>25</v>
      </c>
      <c r="D998" t="s">
        <v>861</v>
      </c>
      <c r="E998" t="str">
        <f t="shared" si="84"/>
        <v>open</v>
      </c>
      <c r="F998" t="s">
        <v>7119</v>
      </c>
      <c r="G998" t="s">
        <v>9018</v>
      </c>
      <c r="H998" t="s">
        <v>9019</v>
      </c>
      <c r="I998" t="s">
        <v>8836</v>
      </c>
    </row>
    <row r="999" spans="1:9" x14ac:dyDescent="0.2">
      <c r="A999" t="s">
        <v>858</v>
      </c>
      <c r="B999" t="s">
        <v>859</v>
      </c>
      <c r="C999" t="s">
        <v>25</v>
      </c>
      <c r="D999" t="s">
        <v>861</v>
      </c>
      <c r="E999" t="str">
        <f t="shared" si="84"/>
        <v>open</v>
      </c>
      <c r="F999" t="s">
        <v>7119</v>
      </c>
      <c r="G999" t="s">
        <v>9020</v>
      </c>
      <c r="H999" t="s">
        <v>9021</v>
      </c>
      <c r="I999" t="s">
        <v>8571</v>
      </c>
    </row>
    <row r="1000" spans="1:9" x14ac:dyDescent="0.2">
      <c r="A1000" t="s">
        <v>858</v>
      </c>
      <c r="B1000" t="s">
        <v>859</v>
      </c>
      <c r="C1000" t="s">
        <v>25</v>
      </c>
      <c r="D1000" t="s">
        <v>861</v>
      </c>
      <c r="E1000" t="str">
        <f t="shared" si="84"/>
        <v>open</v>
      </c>
      <c r="F1000" t="s">
        <v>7130</v>
      </c>
      <c r="G1000" t="s">
        <v>1571</v>
      </c>
      <c r="I1000" t="s">
        <v>7397</v>
      </c>
    </row>
    <row r="1001" spans="1:9" x14ac:dyDescent="0.2">
      <c r="A1001" t="s">
        <v>858</v>
      </c>
      <c r="B1001" t="s">
        <v>859</v>
      </c>
      <c r="C1001" t="s">
        <v>25</v>
      </c>
      <c r="D1001" t="s">
        <v>861</v>
      </c>
      <c r="E1001" t="str">
        <f t="shared" si="84"/>
        <v>open</v>
      </c>
      <c r="F1001" t="s">
        <v>7130</v>
      </c>
      <c r="G1001" t="s">
        <v>1592</v>
      </c>
      <c r="I1001" t="s">
        <v>8836</v>
      </c>
    </row>
    <row r="1002" spans="1:9" x14ac:dyDescent="0.2">
      <c r="A1002" t="s">
        <v>863</v>
      </c>
      <c r="B1002" t="s">
        <v>864</v>
      </c>
      <c r="C1002" t="s">
        <v>48</v>
      </c>
      <c r="D1002" t="s">
        <v>865</v>
      </c>
      <c r="E1002" t="str">
        <f t="shared" ref="E1002:E1007" si="85">HYPERLINK("/pdf/2026_10_3390_fi18010042_intrusion_detection_for_internet_of_vehicles_can_bus_communications_using_machine_learning.pdf","open")</f>
        <v>open</v>
      </c>
      <c r="F1002" t="s">
        <v>7119</v>
      </c>
      <c r="G1002" t="s">
        <v>9022</v>
      </c>
      <c r="H1002" t="s">
        <v>9023</v>
      </c>
      <c r="I1002" t="s">
        <v>9024</v>
      </c>
    </row>
    <row r="1003" spans="1:9" x14ac:dyDescent="0.2">
      <c r="A1003" t="s">
        <v>863</v>
      </c>
      <c r="B1003" t="s">
        <v>864</v>
      </c>
      <c r="C1003" t="s">
        <v>48</v>
      </c>
      <c r="D1003" t="s">
        <v>865</v>
      </c>
      <c r="E1003" t="str">
        <f t="shared" si="85"/>
        <v>open</v>
      </c>
      <c r="F1003" t="s">
        <v>7119</v>
      </c>
      <c r="G1003" t="s">
        <v>9025</v>
      </c>
      <c r="H1003" t="s">
        <v>9026</v>
      </c>
      <c r="I1003" t="s">
        <v>9027</v>
      </c>
    </row>
    <row r="1004" spans="1:9" x14ac:dyDescent="0.2">
      <c r="A1004" t="s">
        <v>863</v>
      </c>
      <c r="B1004" t="s">
        <v>864</v>
      </c>
      <c r="C1004" t="s">
        <v>48</v>
      </c>
      <c r="D1004" t="s">
        <v>865</v>
      </c>
      <c r="E1004" t="str">
        <f t="shared" si="85"/>
        <v>open</v>
      </c>
      <c r="F1004" t="s">
        <v>7119</v>
      </c>
      <c r="G1004" t="s">
        <v>9028</v>
      </c>
      <c r="H1004" t="s">
        <v>9029</v>
      </c>
      <c r="I1004" t="s">
        <v>9030</v>
      </c>
    </row>
    <row r="1005" spans="1:9" x14ac:dyDescent="0.2">
      <c r="A1005" t="s">
        <v>863</v>
      </c>
      <c r="B1005" t="s">
        <v>864</v>
      </c>
      <c r="C1005" t="s">
        <v>48</v>
      </c>
      <c r="D1005" t="s">
        <v>865</v>
      </c>
      <c r="E1005" t="str">
        <f t="shared" si="85"/>
        <v>open</v>
      </c>
      <c r="F1005" t="s">
        <v>7119</v>
      </c>
      <c r="G1005" t="s">
        <v>9031</v>
      </c>
      <c r="H1005" t="s">
        <v>9032</v>
      </c>
      <c r="I1005" t="s">
        <v>7151</v>
      </c>
    </row>
    <row r="1006" spans="1:9" x14ac:dyDescent="0.2">
      <c r="A1006" t="s">
        <v>863</v>
      </c>
      <c r="B1006" t="s">
        <v>864</v>
      </c>
      <c r="C1006" t="s">
        <v>48</v>
      </c>
      <c r="D1006" t="s">
        <v>865</v>
      </c>
      <c r="E1006" t="str">
        <f t="shared" si="85"/>
        <v>open</v>
      </c>
      <c r="F1006" t="s">
        <v>7130</v>
      </c>
      <c r="G1006" t="s">
        <v>1597</v>
      </c>
      <c r="I1006" t="s">
        <v>9033</v>
      </c>
    </row>
    <row r="1007" spans="1:9" x14ac:dyDescent="0.2">
      <c r="A1007" t="s">
        <v>863</v>
      </c>
      <c r="B1007" t="s">
        <v>864</v>
      </c>
      <c r="C1007" t="s">
        <v>48</v>
      </c>
      <c r="D1007" t="s">
        <v>865</v>
      </c>
      <c r="E1007" t="str">
        <f t="shared" si="85"/>
        <v>open</v>
      </c>
      <c r="F1007" t="s">
        <v>7130</v>
      </c>
      <c r="G1007" t="s">
        <v>9034</v>
      </c>
      <c r="I1007" t="s">
        <v>9035</v>
      </c>
    </row>
    <row r="1008" spans="1:9" x14ac:dyDescent="0.2">
      <c r="A1008" t="s">
        <v>867</v>
      </c>
      <c r="B1008" t="s">
        <v>868</v>
      </c>
      <c r="C1008" t="s">
        <v>54</v>
      </c>
      <c r="D1008" t="s">
        <v>867</v>
      </c>
      <c r="E1008" t="str">
        <f>HYPERLINK("/pdf/2020_10.34190_ews.20.004_Mitigating_insider_threats__A_case_study_of_data_leak_prevention.pdf","open")</f>
        <v>open</v>
      </c>
      <c r="F1008" t="s">
        <v>7119</v>
      </c>
      <c r="G1008" t="s">
        <v>9036</v>
      </c>
      <c r="H1008" t="s">
        <v>9037</v>
      </c>
      <c r="I1008" t="s">
        <v>7178</v>
      </c>
    </row>
    <row r="1009" spans="1:9" x14ac:dyDescent="0.2">
      <c r="A1009" t="s">
        <v>867</v>
      </c>
      <c r="B1009" t="s">
        <v>868</v>
      </c>
      <c r="C1009" t="s">
        <v>54</v>
      </c>
      <c r="D1009" t="s">
        <v>867</v>
      </c>
      <c r="E1009" t="str">
        <f>HYPERLINK("/pdf/2020_10.34190_ews.20.004_Mitigating_insider_threats__A_case_study_of_data_leak_prevention.pdf","open")</f>
        <v>open</v>
      </c>
      <c r="F1009" t="s">
        <v>7119</v>
      </c>
      <c r="G1009" t="s">
        <v>9038</v>
      </c>
      <c r="H1009" t="s">
        <v>9039</v>
      </c>
      <c r="I1009" t="s">
        <v>7178</v>
      </c>
    </row>
    <row r="1010" spans="1:9" x14ac:dyDescent="0.2">
      <c r="A1010" t="s">
        <v>867</v>
      </c>
      <c r="B1010" t="s">
        <v>868</v>
      </c>
      <c r="C1010" t="s">
        <v>54</v>
      </c>
      <c r="D1010" t="s">
        <v>867</v>
      </c>
      <c r="E1010" t="str">
        <f>HYPERLINK("/pdf/2020_10.34190_ews.20.004_Mitigating_insider_threats__A_case_study_of_data_leak_prevention.pdf","open")</f>
        <v>open</v>
      </c>
      <c r="F1010" t="s">
        <v>7119</v>
      </c>
      <c r="G1010" t="s">
        <v>9040</v>
      </c>
      <c r="H1010" t="s">
        <v>9041</v>
      </c>
      <c r="I1010" t="s">
        <v>7178</v>
      </c>
    </row>
    <row r="1011" spans="1:9" x14ac:dyDescent="0.2">
      <c r="A1011" t="s">
        <v>867</v>
      </c>
      <c r="B1011" t="s">
        <v>868</v>
      </c>
      <c r="C1011" t="s">
        <v>54</v>
      </c>
      <c r="D1011" t="s">
        <v>867</v>
      </c>
      <c r="E1011" t="str">
        <f>HYPERLINK("/pdf/2020_10.34190_ews.20.004_Mitigating_insider_threats__A_case_study_of_data_leak_prevention.pdf","open")</f>
        <v>open</v>
      </c>
      <c r="F1011" t="s">
        <v>7130</v>
      </c>
      <c r="G1011" t="s">
        <v>7215</v>
      </c>
      <c r="I1011" t="s">
        <v>7713</v>
      </c>
    </row>
    <row r="1012" spans="1:9" x14ac:dyDescent="0.2">
      <c r="A1012" t="s">
        <v>871</v>
      </c>
      <c r="B1012" t="s">
        <v>872</v>
      </c>
      <c r="C1012" t="s">
        <v>363</v>
      </c>
      <c r="D1012" t="s">
        <v>873</v>
      </c>
      <c r="E1012" t="str">
        <f>HYPERLINK("/pdf/2017_10.1109_asianhost.2016.7835566_RECORD__Temporarily_randomized_encoding_of_combinational_logic_for_resistance_to_data_leakage_from_hardware_Tr.pdf","open")</f>
        <v>open</v>
      </c>
      <c r="F1012" t="s">
        <v>7119</v>
      </c>
      <c r="G1012" t="s">
        <v>9042</v>
      </c>
      <c r="H1012" t="s">
        <v>9043</v>
      </c>
      <c r="I1012" t="s">
        <v>7310</v>
      </c>
    </row>
    <row r="1013" spans="1:9" x14ac:dyDescent="0.2">
      <c r="A1013" t="s">
        <v>871</v>
      </c>
      <c r="B1013" t="s">
        <v>872</v>
      </c>
      <c r="C1013" t="s">
        <v>363</v>
      </c>
      <c r="D1013" t="s">
        <v>873</v>
      </c>
      <c r="E1013" t="str">
        <f>HYPERLINK("/pdf/2017_10.1109_asianhost.2016.7835566_RECORD__Temporarily_randomized_encoding_of_combinational_logic_for_resistance_to_data_leakage_from_hardware_Tr.pdf","open")</f>
        <v>open</v>
      </c>
      <c r="F1013" t="s">
        <v>7119</v>
      </c>
      <c r="G1013" t="s">
        <v>9044</v>
      </c>
      <c r="H1013" t="s">
        <v>9045</v>
      </c>
      <c r="I1013" t="s">
        <v>7151</v>
      </c>
    </row>
    <row r="1014" spans="1:9" x14ac:dyDescent="0.2">
      <c r="A1014" t="s">
        <v>871</v>
      </c>
      <c r="B1014" t="s">
        <v>872</v>
      </c>
      <c r="C1014" t="s">
        <v>363</v>
      </c>
      <c r="D1014" t="s">
        <v>873</v>
      </c>
      <c r="E1014" t="str">
        <f>HYPERLINK("/pdf/2017_10.1109_asianhost.2016.7835566_RECORD__Temporarily_randomized_encoding_of_combinational_logic_for_resistance_to_data_leakage_from_hardware_Tr.pdf","open")</f>
        <v>open</v>
      </c>
      <c r="F1014" t="s">
        <v>7119</v>
      </c>
      <c r="G1014" t="s">
        <v>9046</v>
      </c>
      <c r="H1014" t="s">
        <v>9047</v>
      </c>
      <c r="I1014" t="s">
        <v>9048</v>
      </c>
    </row>
    <row r="1015" spans="1:9" x14ac:dyDescent="0.2">
      <c r="A1015" t="s">
        <v>871</v>
      </c>
      <c r="B1015" t="s">
        <v>872</v>
      </c>
      <c r="C1015" t="s">
        <v>363</v>
      </c>
      <c r="D1015" t="s">
        <v>873</v>
      </c>
      <c r="E1015" t="str">
        <f>HYPERLINK("/pdf/2017_10.1109_asianhost.2016.7835566_RECORD__Temporarily_randomized_encoding_of_combinational_logic_for_resistance_to_data_leakage_from_hardware_Tr.pdf","open")</f>
        <v>open</v>
      </c>
      <c r="F1015" t="s">
        <v>7130</v>
      </c>
      <c r="G1015" t="s">
        <v>1571</v>
      </c>
      <c r="I1015" t="s">
        <v>7178</v>
      </c>
    </row>
    <row r="1016" spans="1:9" x14ac:dyDescent="0.2">
      <c r="A1016" t="s">
        <v>871</v>
      </c>
      <c r="B1016" t="s">
        <v>872</v>
      </c>
      <c r="C1016" t="s">
        <v>363</v>
      </c>
      <c r="D1016" t="s">
        <v>873</v>
      </c>
      <c r="E1016" t="str">
        <f>HYPERLINK("/pdf/2017_10.1109_asianhost.2016.7835566_RECORD__Temporarily_randomized_encoding_of_combinational_logic_for_resistance_to_data_leakage_from_hardware_Tr.pdf","open")</f>
        <v>open</v>
      </c>
      <c r="F1016" t="s">
        <v>7130</v>
      </c>
      <c r="G1016" t="s">
        <v>1592</v>
      </c>
      <c r="I1016" t="s">
        <v>9049</v>
      </c>
    </row>
    <row r="1017" spans="1:9" x14ac:dyDescent="0.2">
      <c r="A1017" t="s">
        <v>875</v>
      </c>
      <c r="B1017" t="s">
        <v>876</v>
      </c>
      <c r="C1017" t="s">
        <v>48</v>
      </c>
      <c r="D1017" t="s">
        <v>877</v>
      </c>
      <c r="E1017" t="str">
        <f t="shared" ref="E1017:E1022" si="86">HYPERLINK("/pdf/2026_10.3390_fi18010011_Adaptive_Privacy-Preserving_Insider_Threat_Detection_Using_Generative_Sequence_Models.pdf","open")</f>
        <v>open</v>
      </c>
      <c r="F1017" t="s">
        <v>7119</v>
      </c>
      <c r="G1017" t="s">
        <v>7319</v>
      </c>
      <c r="H1017" t="s">
        <v>9050</v>
      </c>
      <c r="I1017" t="s">
        <v>9051</v>
      </c>
    </row>
    <row r="1018" spans="1:9" x14ac:dyDescent="0.2">
      <c r="A1018" t="s">
        <v>875</v>
      </c>
      <c r="B1018" t="s">
        <v>876</v>
      </c>
      <c r="C1018" t="s">
        <v>48</v>
      </c>
      <c r="D1018" t="s">
        <v>877</v>
      </c>
      <c r="E1018" t="str">
        <f t="shared" si="86"/>
        <v>open</v>
      </c>
      <c r="F1018" t="s">
        <v>7119</v>
      </c>
      <c r="G1018" t="s">
        <v>7330</v>
      </c>
      <c r="H1018" t="s">
        <v>9052</v>
      </c>
      <c r="I1018" t="s">
        <v>7268</v>
      </c>
    </row>
    <row r="1019" spans="1:9" x14ac:dyDescent="0.2">
      <c r="A1019" t="s">
        <v>875</v>
      </c>
      <c r="B1019" t="s">
        <v>876</v>
      </c>
      <c r="C1019" t="s">
        <v>48</v>
      </c>
      <c r="D1019" t="s">
        <v>877</v>
      </c>
      <c r="E1019" t="str">
        <f t="shared" si="86"/>
        <v>open</v>
      </c>
      <c r="F1019" t="s">
        <v>7119</v>
      </c>
      <c r="G1019" t="s">
        <v>9053</v>
      </c>
      <c r="H1019" t="s">
        <v>9054</v>
      </c>
      <c r="I1019" t="s">
        <v>7268</v>
      </c>
    </row>
    <row r="1020" spans="1:9" x14ac:dyDescent="0.2">
      <c r="A1020" t="s">
        <v>875</v>
      </c>
      <c r="B1020" t="s">
        <v>876</v>
      </c>
      <c r="C1020" t="s">
        <v>48</v>
      </c>
      <c r="D1020" t="s">
        <v>877</v>
      </c>
      <c r="E1020" t="str">
        <f t="shared" si="86"/>
        <v>open</v>
      </c>
      <c r="F1020" t="s">
        <v>7119</v>
      </c>
      <c r="G1020" t="s">
        <v>9055</v>
      </c>
      <c r="H1020" t="s">
        <v>9056</v>
      </c>
      <c r="I1020" t="s">
        <v>9057</v>
      </c>
    </row>
    <row r="1021" spans="1:9" x14ac:dyDescent="0.2">
      <c r="A1021" t="s">
        <v>875</v>
      </c>
      <c r="B1021" t="s">
        <v>876</v>
      </c>
      <c r="C1021" t="s">
        <v>48</v>
      </c>
      <c r="D1021" t="s">
        <v>877</v>
      </c>
      <c r="E1021" t="str">
        <f t="shared" si="86"/>
        <v>open</v>
      </c>
      <c r="F1021" t="s">
        <v>7130</v>
      </c>
      <c r="G1021" t="s">
        <v>1597</v>
      </c>
      <c r="I1021" t="s">
        <v>7359</v>
      </c>
    </row>
    <row r="1022" spans="1:9" x14ac:dyDescent="0.2">
      <c r="A1022" t="s">
        <v>875</v>
      </c>
      <c r="B1022" t="s">
        <v>876</v>
      </c>
      <c r="C1022" t="s">
        <v>48</v>
      </c>
      <c r="D1022" t="s">
        <v>877</v>
      </c>
      <c r="E1022" t="str">
        <f t="shared" si="86"/>
        <v>open</v>
      </c>
      <c r="F1022" t="s">
        <v>7130</v>
      </c>
      <c r="G1022" t="s">
        <v>9058</v>
      </c>
      <c r="I1022" t="s">
        <v>9059</v>
      </c>
    </row>
    <row r="1023" spans="1:9" x14ac:dyDescent="0.2">
      <c r="A1023" t="s">
        <v>879</v>
      </c>
      <c r="B1023" t="s">
        <v>880</v>
      </c>
      <c r="C1023" t="s">
        <v>215</v>
      </c>
      <c r="D1023" t="s">
        <v>882</v>
      </c>
      <c r="E1023" t="str">
        <f>HYPERLINK("/pdf/2015_10.1109_cse.2014.136_Fvisor__Towards_thwarting_unauthorized_file_accesses_with_a_light-weght_hypervisor.pdf","open")</f>
        <v>open</v>
      </c>
      <c r="F1023" t="s">
        <v>7119</v>
      </c>
      <c r="G1023" t="s">
        <v>9060</v>
      </c>
      <c r="H1023" t="s">
        <v>9061</v>
      </c>
      <c r="I1023" t="s">
        <v>7151</v>
      </c>
    </row>
    <row r="1024" spans="1:9" x14ac:dyDescent="0.2">
      <c r="A1024" t="s">
        <v>879</v>
      </c>
      <c r="B1024" t="s">
        <v>880</v>
      </c>
      <c r="C1024" t="s">
        <v>215</v>
      </c>
      <c r="D1024" t="s">
        <v>882</v>
      </c>
      <c r="E1024" t="str">
        <f>HYPERLINK("/pdf/2015_10.1109_cse.2014.136_Fvisor__Towards_thwarting_unauthorized_file_accesses_with_a_light-weght_hypervisor.pdf","open")</f>
        <v>open</v>
      </c>
      <c r="F1024" t="s">
        <v>7119</v>
      </c>
      <c r="G1024" t="s">
        <v>9062</v>
      </c>
      <c r="H1024" t="s">
        <v>9063</v>
      </c>
      <c r="I1024" t="s">
        <v>8230</v>
      </c>
    </row>
    <row r="1025" spans="1:9" x14ac:dyDescent="0.2">
      <c r="A1025" t="s">
        <v>879</v>
      </c>
      <c r="B1025" t="s">
        <v>880</v>
      </c>
      <c r="C1025" t="s">
        <v>215</v>
      </c>
      <c r="D1025" t="s">
        <v>882</v>
      </c>
      <c r="E1025" t="str">
        <f>HYPERLINK("/pdf/2015_10.1109_cse.2014.136_Fvisor__Towards_thwarting_unauthorized_file_accesses_with_a_light-weght_hypervisor.pdf","open")</f>
        <v>open</v>
      </c>
      <c r="F1025" t="s">
        <v>7119</v>
      </c>
      <c r="G1025" t="s">
        <v>9064</v>
      </c>
      <c r="H1025" t="s">
        <v>9065</v>
      </c>
      <c r="I1025" t="s">
        <v>7313</v>
      </c>
    </row>
    <row r="1026" spans="1:9" x14ac:dyDescent="0.2">
      <c r="A1026" t="s">
        <v>879</v>
      </c>
      <c r="B1026" t="s">
        <v>880</v>
      </c>
      <c r="C1026" t="s">
        <v>215</v>
      </c>
      <c r="D1026" t="s">
        <v>882</v>
      </c>
      <c r="E1026" t="str">
        <f>HYPERLINK("/pdf/2015_10.1109_cse.2014.136_Fvisor__Towards_thwarting_unauthorized_file_accesses_with_a_light-weght_hypervisor.pdf","open")</f>
        <v>open</v>
      </c>
      <c r="F1026" t="s">
        <v>7130</v>
      </c>
      <c r="G1026" t="s">
        <v>1571</v>
      </c>
      <c r="I1026" t="s">
        <v>7178</v>
      </c>
    </row>
    <row r="1027" spans="1:9" x14ac:dyDescent="0.2">
      <c r="A1027" t="s">
        <v>879</v>
      </c>
      <c r="B1027" t="s">
        <v>880</v>
      </c>
      <c r="C1027" t="s">
        <v>215</v>
      </c>
      <c r="D1027" t="s">
        <v>882</v>
      </c>
      <c r="E1027" t="str">
        <f>HYPERLINK("/pdf/2015_10.1109_cse.2014.136_Fvisor__Towards_thwarting_unauthorized_file_accesses_with_a_light-weght_hypervisor.pdf","open")</f>
        <v>open</v>
      </c>
      <c r="F1027" t="s">
        <v>7130</v>
      </c>
      <c r="G1027" t="s">
        <v>1592</v>
      </c>
      <c r="I1027" t="s">
        <v>9066</v>
      </c>
    </row>
    <row r="1028" spans="1:9" x14ac:dyDescent="0.2">
      <c r="A1028" t="s">
        <v>884</v>
      </c>
      <c r="B1028" t="s">
        <v>885</v>
      </c>
      <c r="C1028" t="s">
        <v>25</v>
      </c>
      <c r="D1028" t="s">
        <v>887</v>
      </c>
      <c r="E1028" t="str">
        <f>HYPERLINK("/pdf/2023_10_1109_ijcnn54540_2023_10191926_online_automated_machine_learning_for_class_imbalanced_data_streams.pdf","open")</f>
        <v>open</v>
      </c>
      <c r="F1028" t="s">
        <v>7119</v>
      </c>
      <c r="G1028" t="s">
        <v>9067</v>
      </c>
      <c r="H1028" t="s">
        <v>9068</v>
      </c>
      <c r="I1028" t="s">
        <v>9069</v>
      </c>
    </row>
    <row r="1029" spans="1:9" x14ac:dyDescent="0.2">
      <c r="A1029" t="s">
        <v>884</v>
      </c>
      <c r="B1029" t="s">
        <v>885</v>
      </c>
      <c r="C1029" t="s">
        <v>25</v>
      </c>
      <c r="D1029" t="s">
        <v>887</v>
      </c>
      <c r="E1029" t="str">
        <f>HYPERLINK("/pdf/2023_10_1109_ijcnn54540_2023_10191926_online_automated_machine_learning_for_class_imbalanced_data_streams.pdf","open")</f>
        <v>open</v>
      </c>
      <c r="F1029" t="s">
        <v>7119</v>
      </c>
      <c r="G1029" t="s">
        <v>9070</v>
      </c>
      <c r="H1029" t="s">
        <v>9071</v>
      </c>
      <c r="I1029" t="s">
        <v>8270</v>
      </c>
    </row>
    <row r="1030" spans="1:9" x14ac:dyDescent="0.2">
      <c r="A1030" t="s">
        <v>884</v>
      </c>
      <c r="B1030" t="s">
        <v>885</v>
      </c>
      <c r="C1030" t="s">
        <v>25</v>
      </c>
      <c r="D1030" t="s">
        <v>887</v>
      </c>
      <c r="E1030" t="str">
        <f>HYPERLINK("/pdf/2023_10_1109_ijcnn54540_2023_10191926_online_automated_machine_learning_for_class_imbalanced_data_streams.pdf","open")</f>
        <v>open</v>
      </c>
      <c r="F1030" t="s">
        <v>7119</v>
      </c>
      <c r="G1030" t="s">
        <v>9072</v>
      </c>
      <c r="H1030" t="s">
        <v>9073</v>
      </c>
      <c r="I1030" t="s">
        <v>8716</v>
      </c>
    </row>
    <row r="1031" spans="1:9" x14ac:dyDescent="0.2">
      <c r="A1031" t="s">
        <v>884</v>
      </c>
      <c r="B1031" t="s">
        <v>885</v>
      </c>
      <c r="C1031" t="s">
        <v>25</v>
      </c>
      <c r="D1031" t="s">
        <v>887</v>
      </c>
      <c r="E1031" t="str">
        <f>HYPERLINK("/pdf/2023_10_1109_ijcnn54540_2023_10191926_online_automated_machine_learning_for_class_imbalanced_data_streams.pdf","open")</f>
        <v>open</v>
      </c>
      <c r="F1031" t="s">
        <v>7130</v>
      </c>
      <c r="G1031" t="s">
        <v>1597</v>
      </c>
      <c r="I1031" t="s">
        <v>9074</v>
      </c>
    </row>
    <row r="1032" spans="1:9" x14ac:dyDescent="0.2">
      <c r="A1032" t="s">
        <v>884</v>
      </c>
      <c r="B1032" t="s">
        <v>885</v>
      </c>
      <c r="C1032" t="s">
        <v>25</v>
      </c>
      <c r="D1032" t="s">
        <v>887</v>
      </c>
      <c r="E1032" t="str">
        <f>HYPERLINK("/pdf/2023_10_1109_ijcnn54540_2023_10191926_online_automated_machine_learning_for_class_imbalanced_data_streams.pdf","open")</f>
        <v>open</v>
      </c>
      <c r="F1032" t="s">
        <v>7130</v>
      </c>
      <c r="G1032" t="s">
        <v>7406</v>
      </c>
      <c r="I1032" t="s">
        <v>9075</v>
      </c>
    </row>
    <row r="1033" spans="1:9" x14ac:dyDescent="0.2">
      <c r="A1033" t="s">
        <v>889</v>
      </c>
      <c r="B1033" t="s">
        <v>890</v>
      </c>
      <c r="C1033" t="s">
        <v>19</v>
      </c>
      <c r="D1033" t="s">
        <v>891</v>
      </c>
      <c r="E1033" t="str">
        <f t="shared" ref="E1033:E1038" si="87">HYPERLINK("/pdf/2025_10.1007_s11042-024-18349-y_Ensemble_framework_for_concept_drift_detection_and_class_imbalance_in_data_streams.pdf","open")</f>
        <v>open</v>
      </c>
      <c r="F1033" t="s">
        <v>7119</v>
      </c>
      <c r="G1033" t="s">
        <v>9076</v>
      </c>
      <c r="H1033" t="s">
        <v>9077</v>
      </c>
      <c r="I1033" t="s">
        <v>7178</v>
      </c>
    </row>
    <row r="1034" spans="1:9" x14ac:dyDescent="0.2">
      <c r="A1034" t="s">
        <v>889</v>
      </c>
      <c r="B1034" t="s">
        <v>890</v>
      </c>
      <c r="C1034" t="s">
        <v>19</v>
      </c>
      <c r="D1034" t="s">
        <v>891</v>
      </c>
      <c r="E1034" t="str">
        <f t="shared" si="87"/>
        <v>open</v>
      </c>
      <c r="F1034" t="s">
        <v>7119</v>
      </c>
      <c r="G1034" t="s">
        <v>9078</v>
      </c>
      <c r="H1034" t="s">
        <v>9079</v>
      </c>
      <c r="I1034" t="s">
        <v>7362</v>
      </c>
    </row>
    <row r="1035" spans="1:9" x14ac:dyDescent="0.2">
      <c r="A1035" t="s">
        <v>889</v>
      </c>
      <c r="B1035" t="s">
        <v>890</v>
      </c>
      <c r="C1035" t="s">
        <v>19</v>
      </c>
      <c r="D1035" t="s">
        <v>891</v>
      </c>
      <c r="E1035" t="str">
        <f t="shared" si="87"/>
        <v>open</v>
      </c>
      <c r="F1035" t="s">
        <v>7119</v>
      </c>
      <c r="G1035" t="s">
        <v>7380</v>
      </c>
      <c r="H1035" t="s">
        <v>9080</v>
      </c>
      <c r="I1035" t="s">
        <v>7178</v>
      </c>
    </row>
    <row r="1036" spans="1:9" x14ac:dyDescent="0.2">
      <c r="A1036" t="s">
        <v>889</v>
      </c>
      <c r="B1036" t="s">
        <v>890</v>
      </c>
      <c r="C1036" t="s">
        <v>19</v>
      </c>
      <c r="D1036" t="s">
        <v>891</v>
      </c>
      <c r="E1036" t="str">
        <f t="shared" si="87"/>
        <v>open</v>
      </c>
      <c r="F1036" t="s">
        <v>7119</v>
      </c>
      <c r="G1036" t="s">
        <v>7330</v>
      </c>
      <c r="H1036" t="s">
        <v>9081</v>
      </c>
      <c r="I1036" t="s">
        <v>9082</v>
      </c>
    </row>
    <row r="1037" spans="1:9" x14ac:dyDescent="0.2">
      <c r="A1037" t="s">
        <v>889</v>
      </c>
      <c r="B1037" t="s">
        <v>890</v>
      </c>
      <c r="C1037" t="s">
        <v>19</v>
      </c>
      <c r="D1037" t="s">
        <v>891</v>
      </c>
      <c r="E1037" t="str">
        <f t="shared" si="87"/>
        <v>open</v>
      </c>
      <c r="F1037" t="s">
        <v>7130</v>
      </c>
      <c r="G1037" t="s">
        <v>1597</v>
      </c>
      <c r="I1037" t="s">
        <v>9083</v>
      </c>
    </row>
    <row r="1038" spans="1:9" x14ac:dyDescent="0.2">
      <c r="A1038" t="s">
        <v>889</v>
      </c>
      <c r="B1038" t="s">
        <v>890</v>
      </c>
      <c r="C1038" t="s">
        <v>19</v>
      </c>
      <c r="D1038" t="s">
        <v>891</v>
      </c>
      <c r="E1038" t="str">
        <f t="shared" si="87"/>
        <v>open</v>
      </c>
      <c r="F1038" t="s">
        <v>7130</v>
      </c>
      <c r="G1038" t="s">
        <v>9084</v>
      </c>
      <c r="I1038" t="s">
        <v>9085</v>
      </c>
    </row>
    <row r="1039" spans="1:9" x14ac:dyDescent="0.2">
      <c r="A1039" t="s">
        <v>893</v>
      </c>
      <c r="B1039" t="s">
        <v>894</v>
      </c>
      <c r="C1039" t="s">
        <v>60</v>
      </c>
      <c r="D1039" t="s">
        <v>896</v>
      </c>
      <c r="E1039" t="str">
        <f>HYPERLINK("/pdf/2024_10_3390_fi16110410_design_and_evaluation_of_steganographic_channels_in_fifth_generation_new_radio.pdf","open")</f>
        <v>open</v>
      </c>
      <c r="F1039" t="s">
        <v>7119</v>
      </c>
      <c r="G1039" t="s">
        <v>9086</v>
      </c>
      <c r="H1039" t="s">
        <v>9087</v>
      </c>
      <c r="I1039" t="s">
        <v>7178</v>
      </c>
    </row>
    <row r="1040" spans="1:9" x14ac:dyDescent="0.2">
      <c r="A1040" t="s">
        <v>893</v>
      </c>
      <c r="B1040" t="s">
        <v>894</v>
      </c>
      <c r="C1040" t="s">
        <v>60</v>
      </c>
      <c r="D1040" t="s">
        <v>896</v>
      </c>
      <c r="E1040" t="str">
        <f>HYPERLINK("/pdf/2024_10_3390_fi16110410_design_and_evaluation_of_steganographic_channels_in_fifth_generation_new_radio.pdf","open")</f>
        <v>open</v>
      </c>
      <c r="F1040" t="s">
        <v>7119</v>
      </c>
      <c r="G1040" t="s">
        <v>8074</v>
      </c>
      <c r="H1040" t="s">
        <v>9088</v>
      </c>
      <c r="I1040" t="s">
        <v>7504</v>
      </c>
    </row>
    <row r="1041" spans="1:9" x14ac:dyDescent="0.2">
      <c r="A1041" t="s">
        <v>893</v>
      </c>
      <c r="B1041" t="s">
        <v>894</v>
      </c>
      <c r="C1041" t="s">
        <v>60</v>
      </c>
      <c r="D1041" t="s">
        <v>896</v>
      </c>
      <c r="E1041" t="str">
        <f>HYPERLINK("/pdf/2024_10_3390_fi16110410_design_and_evaluation_of_steganographic_channels_in_fifth_generation_new_radio.pdf","open")</f>
        <v>open</v>
      </c>
      <c r="F1041" t="s">
        <v>7119</v>
      </c>
      <c r="G1041" t="s">
        <v>9089</v>
      </c>
      <c r="H1041" t="s">
        <v>9090</v>
      </c>
      <c r="I1041" t="s">
        <v>9091</v>
      </c>
    </row>
    <row r="1042" spans="1:9" x14ac:dyDescent="0.2">
      <c r="A1042" t="s">
        <v>893</v>
      </c>
      <c r="B1042" t="s">
        <v>894</v>
      </c>
      <c r="C1042" t="s">
        <v>60</v>
      </c>
      <c r="D1042" t="s">
        <v>896</v>
      </c>
      <c r="E1042" t="str">
        <f>HYPERLINK("/pdf/2024_10_3390_fi16110410_design_and_evaluation_of_steganographic_channels_in_fifth_generation_new_radio.pdf","open")</f>
        <v>open</v>
      </c>
      <c r="F1042" t="s">
        <v>7130</v>
      </c>
      <c r="G1042" t="s">
        <v>1571</v>
      </c>
      <c r="I1042" t="s">
        <v>7158</v>
      </c>
    </row>
    <row r="1043" spans="1:9" x14ac:dyDescent="0.2">
      <c r="A1043" t="s">
        <v>893</v>
      </c>
      <c r="B1043" t="s">
        <v>894</v>
      </c>
      <c r="C1043" t="s">
        <v>60</v>
      </c>
      <c r="D1043" t="s">
        <v>896</v>
      </c>
      <c r="E1043" t="str">
        <f>HYPERLINK("/pdf/2024_10_3390_fi16110410_design_and_evaluation_of_steganographic_channels_in_fifth_generation_new_radio.pdf","open")</f>
        <v>open</v>
      </c>
      <c r="F1043" t="s">
        <v>7130</v>
      </c>
      <c r="G1043" t="s">
        <v>7203</v>
      </c>
      <c r="I1043" t="s">
        <v>9092</v>
      </c>
    </row>
    <row r="1044" spans="1:9" x14ac:dyDescent="0.2">
      <c r="A1044" t="s">
        <v>898</v>
      </c>
      <c r="B1044" t="s">
        <v>898</v>
      </c>
      <c r="C1044" t="s">
        <v>215</v>
      </c>
      <c r="D1044" t="s">
        <v>900</v>
      </c>
      <c r="E1044" t="str">
        <f t="shared" ref="E1044:E1049" si="88">HYPERLINK("/pdf/2014_10.1145_2671491.2671499_DAVAST__Data-centric_system_level_activity_visualization.pdf","open")</f>
        <v>open</v>
      </c>
      <c r="F1044" t="s">
        <v>7119</v>
      </c>
      <c r="G1044" t="s">
        <v>7349</v>
      </c>
      <c r="H1044" t="s">
        <v>9093</v>
      </c>
      <c r="I1044" t="s">
        <v>7178</v>
      </c>
    </row>
    <row r="1045" spans="1:9" x14ac:dyDescent="0.2">
      <c r="A1045" t="s">
        <v>898</v>
      </c>
      <c r="B1045" t="s">
        <v>898</v>
      </c>
      <c r="C1045" t="s">
        <v>215</v>
      </c>
      <c r="D1045" t="s">
        <v>900</v>
      </c>
      <c r="E1045" t="str">
        <f t="shared" si="88"/>
        <v>open</v>
      </c>
      <c r="F1045" t="s">
        <v>7119</v>
      </c>
      <c r="G1045" t="s">
        <v>7203</v>
      </c>
      <c r="H1045" t="s">
        <v>9094</v>
      </c>
      <c r="I1045" t="s">
        <v>7504</v>
      </c>
    </row>
    <row r="1046" spans="1:9" x14ac:dyDescent="0.2">
      <c r="A1046" t="s">
        <v>898</v>
      </c>
      <c r="B1046" t="s">
        <v>898</v>
      </c>
      <c r="C1046" t="s">
        <v>215</v>
      </c>
      <c r="D1046" t="s">
        <v>900</v>
      </c>
      <c r="E1046" t="str">
        <f t="shared" si="88"/>
        <v>open</v>
      </c>
      <c r="F1046" t="s">
        <v>7119</v>
      </c>
      <c r="G1046" t="s">
        <v>9095</v>
      </c>
      <c r="H1046" t="s">
        <v>9096</v>
      </c>
      <c r="I1046" t="s">
        <v>9097</v>
      </c>
    </row>
    <row r="1047" spans="1:9" x14ac:dyDescent="0.2">
      <c r="A1047" t="s">
        <v>898</v>
      </c>
      <c r="B1047" t="s">
        <v>898</v>
      </c>
      <c r="C1047" t="s">
        <v>215</v>
      </c>
      <c r="D1047" t="s">
        <v>900</v>
      </c>
      <c r="E1047" t="str">
        <f t="shared" si="88"/>
        <v>open</v>
      </c>
      <c r="F1047" t="s">
        <v>7119</v>
      </c>
      <c r="G1047" t="s">
        <v>9098</v>
      </c>
      <c r="H1047" t="s">
        <v>9099</v>
      </c>
      <c r="I1047" t="s">
        <v>8525</v>
      </c>
    </row>
    <row r="1048" spans="1:9" x14ac:dyDescent="0.2">
      <c r="A1048" t="s">
        <v>898</v>
      </c>
      <c r="B1048" t="s">
        <v>898</v>
      </c>
      <c r="C1048" t="s">
        <v>215</v>
      </c>
      <c r="D1048" t="s">
        <v>900</v>
      </c>
      <c r="E1048" t="str">
        <f t="shared" si="88"/>
        <v>open</v>
      </c>
      <c r="F1048" t="s">
        <v>7130</v>
      </c>
      <c r="G1048" t="s">
        <v>7203</v>
      </c>
      <c r="I1048" t="s">
        <v>9100</v>
      </c>
    </row>
    <row r="1049" spans="1:9" x14ac:dyDescent="0.2">
      <c r="A1049" t="s">
        <v>898</v>
      </c>
      <c r="B1049" t="s">
        <v>898</v>
      </c>
      <c r="C1049" t="s">
        <v>215</v>
      </c>
      <c r="D1049" t="s">
        <v>900</v>
      </c>
      <c r="E1049" t="str">
        <f t="shared" si="88"/>
        <v>open</v>
      </c>
      <c r="F1049" t="s">
        <v>7130</v>
      </c>
      <c r="G1049" t="s">
        <v>7483</v>
      </c>
      <c r="I1049" t="s">
        <v>9101</v>
      </c>
    </row>
    <row r="1050" spans="1:9" x14ac:dyDescent="0.2">
      <c r="A1050" t="s">
        <v>902</v>
      </c>
      <c r="B1050" t="s">
        <v>903</v>
      </c>
      <c r="C1050" t="s">
        <v>25</v>
      </c>
      <c r="D1050" t="s">
        <v>905</v>
      </c>
      <c r="E1050" t="str">
        <f>HYPERLINK("/pdf/2023_10.1109_cscloud-edgecom58631.2023.00043_Federated_Learning-Based_Intrusion_Detection_System_for_IoT_Environments_with_Locally_Adapted_Model.pdf","open")</f>
        <v>open</v>
      </c>
      <c r="F1050" t="s">
        <v>7119</v>
      </c>
      <c r="G1050" t="s">
        <v>9102</v>
      </c>
      <c r="H1050" t="s">
        <v>9103</v>
      </c>
      <c r="I1050" t="s">
        <v>8225</v>
      </c>
    </row>
    <row r="1051" spans="1:9" x14ac:dyDescent="0.2">
      <c r="A1051" t="s">
        <v>902</v>
      </c>
      <c r="B1051" t="s">
        <v>903</v>
      </c>
      <c r="C1051" t="s">
        <v>25</v>
      </c>
      <c r="D1051" t="s">
        <v>905</v>
      </c>
      <c r="E1051" t="str">
        <f>HYPERLINK("/pdf/2023_10.1109_cscloud-edgecom58631.2023.00043_Federated_Learning-Based_Intrusion_Detection_System_for_IoT_Environments_with_Locally_Adapted_Model.pdf","open")</f>
        <v>open</v>
      </c>
      <c r="F1051" t="s">
        <v>7119</v>
      </c>
      <c r="G1051" t="s">
        <v>9104</v>
      </c>
      <c r="H1051" t="s">
        <v>9105</v>
      </c>
      <c r="I1051" t="s">
        <v>7332</v>
      </c>
    </row>
    <row r="1052" spans="1:9" x14ac:dyDescent="0.2">
      <c r="A1052" t="s">
        <v>902</v>
      </c>
      <c r="B1052" t="s">
        <v>903</v>
      </c>
      <c r="C1052" t="s">
        <v>25</v>
      </c>
      <c r="D1052" t="s">
        <v>905</v>
      </c>
      <c r="E1052" t="str">
        <f>HYPERLINK("/pdf/2023_10.1109_cscloud-edgecom58631.2023.00043_Federated_Learning-Based_Intrusion_Detection_System_for_IoT_Environments_with_Locally_Adapted_Model.pdf","open")</f>
        <v>open</v>
      </c>
      <c r="F1052" t="s">
        <v>7130</v>
      </c>
      <c r="G1052" t="s">
        <v>9106</v>
      </c>
      <c r="I1052" t="s">
        <v>9107</v>
      </c>
    </row>
    <row r="1053" spans="1:9" x14ac:dyDescent="0.2">
      <c r="A1053" t="s">
        <v>902</v>
      </c>
      <c r="B1053" t="s">
        <v>903</v>
      </c>
      <c r="C1053" t="s">
        <v>25</v>
      </c>
      <c r="D1053" t="s">
        <v>905</v>
      </c>
      <c r="E1053" t="str">
        <f>HYPERLINK("/pdf/2023_10.1109_cscloud-edgecom58631.2023.00043_Federated_Learning-Based_Intrusion_Detection_System_for_IoT_Environments_with_Locally_Adapted_Model.pdf","open")</f>
        <v>open</v>
      </c>
      <c r="F1053" t="s">
        <v>7130</v>
      </c>
      <c r="G1053" t="s">
        <v>9108</v>
      </c>
      <c r="I1053" t="s">
        <v>7314</v>
      </c>
    </row>
    <row r="1054" spans="1:9" x14ac:dyDescent="0.2">
      <c r="A1054" t="s">
        <v>907</v>
      </c>
      <c r="B1054" t="s">
        <v>908</v>
      </c>
      <c r="C1054" t="s">
        <v>60</v>
      </c>
      <c r="D1054" t="s">
        <v>910</v>
      </c>
      <c r="E1054" t="str">
        <f>HYPERLINK("/pdf/2024_10.1109_ict4da62874.2024.10777078_Long_Short-Term_Memory_and_Synthetic_Minority_Over_Sampling_Technique-Based_Network_Traffic_Classification.pdf","open")</f>
        <v>open</v>
      </c>
      <c r="F1054" t="s">
        <v>7119</v>
      </c>
      <c r="G1054" t="s">
        <v>9109</v>
      </c>
      <c r="H1054" t="s">
        <v>9110</v>
      </c>
      <c r="I1054" t="s">
        <v>9111</v>
      </c>
    </row>
    <row r="1055" spans="1:9" x14ac:dyDescent="0.2">
      <c r="A1055" t="s">
        <v>907</v>
      </c>
      <c r="B1055" t="s">
        <v>908</v>
      </c>
      <c r="C1055" t="s">
        <v>60</v>
      </c>
      <c r="D1055" t="s">
        <v>910</v>
      </c>
      <c r="E1055" t="str">
        <f>HYPERLINK("/pdf/2024_10.1109_ict4da62874.2024.10777078_Long_Short-Term_Memory_and_Synthetic_Minority_Over_Sampling_Technique-Based_Network_Traffic_Classification.pdf","open")</f>
        <v>open</v>
      </c>
      <c r="F1055" t="s">
        <v>7119</v>
      </c>
      <c r="G1055" t="s">
        <v>9112</v>
      </c>
      <c r="H1055" t="s">
        <v>9113</v>
      </c>
      <c r="I1055" t="s">
        <v>9114</v>
      </c>
    </row>
    <row r="1056" spans="1:9" x14ac:dyDescent="0.2">
      <c r="A1056" t="s">
        <v>907</v>
      </c>
      <c r="B1056" t="s">
        <v>908</v>
      </c>
      <c r="C1056" t="s">
        <v>60</v>
      </c>
      <c r="D1056" t="s">
        <v>910</v>
      </c>
      <c r="E1056" t="str">
        <f>HYPERLINK("/pdf/2024_10.1109_ict4da62874.2024.10777078_Long_Short-Term_Memory_and_Synthetic_Minority_Over_Sampling_Technique-Based_Network_Traffic_Classification.pdf","open")</f>
        <v>open</v>
      </c>
      <c r="F1056" t="s">
        <v>7119</v>
      </c>
      <c r="G1056" t="s">
        <v>9115</v>
      </c>
      <c r="H1056" t="s">
        <v>9116</v>
      </c>
      <c r="I1056" t="s">
        <v>9117</v>
      </c>
    </row>
    <row r="1057" spans="1:9" x14ac:dyDescent="0.2">
      <c r="A1057" t="s">
        <v>907</v>
      </c>
      <c r="B1057" t="s">
        <v>908</v>
      </c>
      <c r="C1057" t="s">
        <v>60</v>
      </c>
      <c r="D1057" t="s">
        <v>910</v>
      </c>
      <c r="E1057" t="str">
        <f>HYPERLINK("/pdf/2024_10.1109_ict4da62874.2024.10777078_Long_Short-Term_Memory_and_Synthetic_Minority_Over_Sampling_Technique-Based_Network_Traffic_Classification.pdf","open")</f>
        <v>open</v>
      </c>
      <c r="F1057" t="s">
        <v>7130</v>
      </c>
      <c r="G1057" t="s">
        <v>8053</v>
      </c>
      <c r="I1057" t="s">
        <v>7178</v>
      </c>
    </row>
    <row r="1058" spans="1:9" x14ac:dyDescent="0.2">
      <c r="A1058" t="s">
        <v>907</v>
      </c>
      <c r="B1058" t="s">
        <v>908</v>
      </c>
      <c r="C1058" t="s">
        <v>60</v>
      </c>
      <c r="D1058" t="s">
        <v>910</v>
      </c>
      <c r="E1058" t="str">
        <f>HYPERLINK("/pdf/2024_10.1109_ict4da62874.2024.10777078_Long_Short-Term_Memory_and_Synthetic_Minority_Over_Sampling_Technique-Based_Network_Traffic_Classification.pdf","open")</f>
        <v>open</v>
      </c>
      <c r="F1058" t="s">
        <v>7130</v>
      </c>
      <c r="G1058" t="s">
        <v>9118</v>
      </c>
      <c r="I1058" t="s">
        <v>9119</v>
      </c>
    </row>
    <row r="1059" spans="1:9" x14ac:dyDescent="0.2">
      <c r="A1059" t="s">
        <v>912</v>
      </c>
      <c r="B1059" t="s">
        <v>913</v>
      </c>
      <c r="C1059" t="s">
        <v>25</v>
      </c>
      <c r="D1059" t="s">
        <v>912</v>
      </c>
      <c r="E1059" t="str">
        <f>HYPERLINK("/pdf/2023_10.1109_cosite60233.2023.10249650_Evaluation_of_CyPACH__A_Cyber_Privacy_Advisor_Chatbot.pdf","open")</f>
        <v>open</v>
      </c>
      <c r="F1059" t="s">
        <v>7119</v>
      </c>
      <c r="G1059" t="s">
        <v>9120</v>
      </c>
      <c r="H1059" t="s">
        <v>9121</v>
      </c>
      <c r="I1059" t="s">
        <v>9122</v>
      </c>
    </row>
    <row r="1060" spans="1:9" x14ac:dyDescent="0.2">
      <c r="A1060" t="s">
        <v>912</v>
      </c>
      <c r="B1060" t="s">
        <v>913</v>
      </c>
      <c r="C1060" t="s">
        <v>25</v>
      </c>
      <c r="D1060" t="s">
        <v>912</v>
      </c>
      <c r="E1060" t="str">
        <f>HYPERLINK("/pdf/2023_10.1109_cosite60233.2023.10249650_Evaluation_of_CyPACH__A_Cyber_Privacy_Advisor_Chatbot.pdf","open")</f>
        <v>open</v>
      </c>
      <c r="F1060" t="s">
        <v>7119</v>
      </c>
      <c r="G1060" t="s">
        <v>9123</v>
      </c>
      <c r="H1060" t="s">
        <v>9124</v>
      </c>
      <c r="I1060" t="s">
        <v>9122</v>
      </c>
    </row>
    <row r="1061" spans="1:9" x14ac:dyDescent="0.2">
      <c r="A1061" t="s">
        <v>912</v>
      </c>
      <c r="B1061" t="s">
        <v>913</v>
      </c>
      <c r="C1061" t="s">
        <v>25</v>
      </c>
      <c r="D1061" t="s">
        <v>912</v>
      </c>
      <c r="E1061" t="str">
        <f>HYPERLINK("/pdf/2023_10.1109_cosite60233.2023.10249650_Evaluation_of_CyPACH__A_Cyber_Privacy_Advisor_Chatbot.pdf","open")</f>
        <v>open</v>
      </c>
      <c r="F1061" t="s">
        <v>7130</v>
      </c>
      <c r="G1061" t="s">
        <v>1597</v>
      </c>
      <c r="I1061" t="s">
        <v>9125</v>
      </c>
    </row>
    <row r="1062" spans="1:9" x14ac:dyDescent="0.2">
      <c r="B1062" t="s">
        <v>916</v>
      </c>
      <c r="C1062" t="s">
        <v>100</v>
      </c>
      <c r="D1062" t="s">
        <v>918</v>
      </c>
      <c r="E1062" t="str">
        <f>HYPERLINK("/pdf/2022_10.1109_ipsn54338.2022.00055_Demo_Abstract__A_Distributed_Power_Side-channel_Auditing_System_for_Online_loT_Intrusion_Detection.pdf","open")</f>
        <v>open</v>
      </c>
      <c r="F1062" t="s">
        <v>7119</v>
      </c>
      <c r="G1062" t="s">
        <v>9126</v>
      </c>
      <c r="H1062" t="s">
        <v>9127</v>
      </c>
      <c r="I1062" t="s">
        <v>9128</v>
      </c>
    </row>
    <row r="1063" spans="1:9" x14ac:dyDescent="0.2">
      <c r="B1063" t="s">
        <v>916</v>
      </c>
      <c r="C1063" t="s">
        <v>100</v>
      </c>
      <c r="D1063" t="s">
        <v>918</v>
      </c>
      <c r="E1063" t="str">
        <f>HYPERLINK("/pdf/2022_10.1109_ipsn54338.2022.00055_Demo_Abstract__A_Distributed_Power_Side-channel_Auditing_System_for_Online_loT_Intrusion_Detection.pdf","open")</f>
        <v>open</v>
      </c>
      <c r="F1063" t="s">
        <v>7119</v>
      </c>
      <c r="G1063" t="s">
        <v>9129</v>
      </c>
      <c r="H1063" t="s">
        <v>9130</v>
      </c>
      <c r="I1063" t="s">
        <v>7650</v>
      </c>
    </row>
    <row r="1064" spans="1:9" x14ac:dyDescent="0.2">
      <c r="B1064" t="s">
        <v>916</v>
      </c>
      <c r="C1064" t="s">
        <v>100</v>
      </c>
      <c r="D1064" t="s">
        <v>918</v>
      </c>
      <c r="E1064" t="str">
        <f>HYPERLINK("/pdf/2022_10.1109_ipsn54338.2022.00055_Demo_Abstract__A_Distributed_Power_Side-channel_Auditing_System_for_Online_loT_Intrusion_Detection.pdf","open")</f>
        <v>open</v>
      </c>
      <c r="F1064" t="s">
        <v>7130</v>
      </c>
      <c r="G1064" t="s">
        <v>3989</v>
      </c>
      <c r="I1064" t="s">
        <v>9131</v>
      </c>
    </row>
    <row r="1065" spans="1:9" x14ac:dyDescent="0.2">
      <c r="A1065" t="s">
        <v>920</v>
      </c>
      <c r="B1065" t="s">
        <v>921</v>
      </c>
      <c r="C1065" t="s">
        <v>60</v>
      </c>
      <c r="D1065" t="s">
        <v>923</v>
      </c>
      <c r="E1065" t="str">
        <f t="shared" ref="E1065:E1071" si="89">HYPERLINK("/pdf/2024_10.1016_j.prime.2024.100590_An_empirical_assessment_of_ML_models_for_5G_network_intrusion_detection__A_data_leakage-free_approach.pdf","open")</f>
        <v>open</v>
      </c>
      <c r="F1065" t="s">
        <v>7119</v>
      </c>
      <c r="G1065" t="s">
        <v>9132</v>
      </c>
      <c r="H1065" t="s">
        <v>9133</v>
      </c>
      <c r="I1065" t="s">
        <v>9134</v>
      </c>
    </row>
    <row r="1066" spans="1:9" x14ac:dyDescent="0.2">
      <c r="A1066" t="s">
        <v>920</v>
      </c>
      <c r="B1066" t="s">
        <v>921</v>
      </c>
      <c r="C1066" t="s">
        <v>60</v>
      </c>
      <c r="D1066" t="s">
        <v>923</v>
      </c>
      <c r="E1066" t="str">
        <f t="shared" si="89"/>
        <v>open</v>
      </c>
      <c r="F1066" t="s">
        <v>7119</v>
      </c>
      <c r="G1066" t="s">
        <v>9135</v>
      </c>
      <c r="H1066" t="s">
        <v>9136</v>
      </c>
      <c r="I1066" t="s">
        <v>9134</v>
      </c>
    </row>
    <row r="1067" spans="1:9" x14ac:dyDescent="0.2">
      <c r="A1067" t="s">
        <v>920</v>
      </c>
      <c r="B1067" t="s">
        <v>921</v>
      </c>
      <c r="C1067" t="s">
        <v>60</v>
      </c>
      <c r="D1067" t="s">
        <v>923</v>
      </c>
      <c r="E1067" t="str">
        <f t="shared" si="89"/>
        <v>open</v>
      </c>
      <c r="F1067" t="s">
        <v>7119</v>
      </c>
      <c r="G1067" t="s">
        <v>9137</v>
      </c>
      <c r="H1067" t="s">
        <v>9138</v>
      </c>
      <c r="I1067" t="s">
        <v>9134</v>
      </c>
    </row>
    <row r="1068" spans="1:9" x14ac:dyDescent="0.2">
      <c r="A1068" t="s">
        <v>920</v>
      </c>
      <c r="B1068" t="s">
        <v>921</v>
      </c>
      <c r="C1068" t="s">
        <v>60</v>
      </c>
      <c r="D1068" t="s">
        <v>923</v>
      </c>
      <c r="E1068" t="str">
        <f t="shared" si="89"/>
        <v>open</v>
      </c>
      <c r="F1068" t="s">
        <v>7119</v>
      </c>
      <c r="G1068" t="s">
        <v>9139</v>
      </c>
      <c r="H1068" t="s">
        <v>9140</v>
      </c>
      <c r="I1068" t="s">
        <v>9141</v>
      </c>
    </row>
    <row r="1069" spans="1:9" x14ac:dyDescent="0.2">
      <c r="A1069" t="s">
        <v>920</v>
      </c>
      <c r="B1069" t="s">
        <v>921</v>
      </c>
      <c r="C1069" t="s">
        <v>60</v>
      </c>
      <c r="D1069" t="s">
        <v>923</v>
      </c>
      <c r="E1069" t="str">
        <f t="shared" si="89"/>
        <v>open</v>
      </c>
      <c r="F1069" t="s">
        <v>7130</v>
      </c>
      <c r="G1069" t="s">
        <v>1583</v>
      </c>
      <c r="I1069" t="s">
        <v>9142</v>
      </c>
    </row>
    <row r="1070" spans="1:9" x14ac:dyDescent="0.2">
      <c r="A1070" t="s">
        <v>920</v>
      </c>
      <c r="B1070" t="s">
        <v>921</v>
      </c>
      <c r="C1070" t="s">
        <v>60</v>
      </c>
      <c r="D1070" t="s">
        <v>923</v>
      </c>
      <c r="E1070" t="str">
        <f t="shared" si="89"/>
        <v>open</v>
      </c>
      <c r="F1070" t="s">
        <v>7130</v>
      </c>
      <c r="G1070" t="s">
        <v>1584</v>
      </c>
      <c r="I1070" t="s">
        <v>9143</v>
      </c>
    </row>
    <row r="1071" spans="1:9" x14ac:dyDescent="0.2">
      <c r="A1071" t="s">
        <v>920</v>
      </c>
      <c r="B1071" t="s">
        <v>921</v>
      </c>
      <c r="C1071" t="s">
        <v>60</v>
      </c>
      <c r="D1071" t="s">
        <v>923</v>
      </c>
      <c r="E1071" t="str">
        <f t="shared" si="89"/>
        <v>open</v>
      </c>
      <c r="F1071" t="s">
        <v>7130</v>
      </c>
      <c r="G1071" t="s">
        <v>1601</v>
      </c>
      <c r="I1071" t="s">
        <v>9144</v>
      </c>
    </row>
    <row r="1072" spans="1:9" x14ac:dyDescent="0.2">
      <c r="A1072" t="s">
        <v>925</v>
      </c>
      <c r="B1072" t="s">
        <v>926</v>
      </c>
      <c r="C1072" t="s">
        <v>268</v>
      </c>
      <c r="D1072" t="s">
        <v>148</v>
      </c>
      <c r="E1072" t="str">
        <f>HYPERLINK("/pdf/2010_10_14778_1920841_1920849_building_disclosure_risk_aware_query_optimizers_for_relational_databases.pdf","open")</f>
        <v>open</v>
      </c>
      <c r="F1072" t="s">
        <v>7119</v>
      </c>
      <c r="G1072" t="s">
        <v>9145</v>
      </c>
      <c r="H1072" t="s">
        <v>9146</v>
      </c>
      <c r="I1072" t="s">
        <v>9147</v>
      </c>
    </row>
    <row r="1073" spans="1:9" x14ac:dyDescent="0.2">
      <c r="A1073" t="s">
        <v>925</v>
      </c>
      <c r="B1073" t="s">
        <v>926</v>
      </c>
      <c r="C1073" t="s">
        <v>268</v>
      </c>
      <c r="D1073" t="s">
        <v>148</v>
      </c>
      <c r="E1073" t="str">
        <f>HYPERLINK("/pdf/2010_10_14778_1920841_1920849_building_disclosure_risk_aware_query_optimizers_for_relational_databases.pdf","open")</f>
        <v>open</v>
      </c>
      <c r="F1073" t="s">
        <v>7119</v>
      </c>
      <c r="G1073" t="s">
        <v>9148</v>
      </c>
      <c r="H1073" t="s">
        <v>9149</v>
      </c>
      <c r="I1073" t="s">
        <v>9150</v>
      </c>
    </row>
    <row r="1074" spans="1:9" x14ac:dyDescent="0.2">
      <c r="A1074" t="s">
        <v>925</v>
      </c>
      <c r="B1074" t="s">
        <v>926</v>
      </c>
      <c r="C1074" t="s">
        <v>268</v>
      </c>
      <c r="D1074" t="s">
        <v>148</v>
      </c>
      <c r="E1074" t="str">
        <f>HYPERLINK("/pdf/2010_10_14778_1920841_1920849_building_disclosure_risk_aware_query_optimizers_for_relational_databases.pdf","open")</f>
        <v>open</v>
      </c>
      <c r="F1074" t="s">
        <v>7130</v>
      </c>
      <c r="G1074" t="s">
        <v>1573</v>
      </c>
      <c r="I1074" t="s">
        <v>9147</v>
      </c>
    </row>
    <row r="1075" spans="1:9" x14ac:dyDescent="0.2">
      <c r="A1075" t="s">
        <v>925</v>
      </c>
      <c r="B1075" t="s">
        <v>926</v>
      </c>
      <c r="C1075" t="s">
        <v>268</v>
      </c>
      <c r="D1075" t="s">
        <v>148</v>
      </c>
      <c r="E1075" t="str">
        <f>HYPERLINK("/pdf/2010_10_14778_1920841_1920849_building_disclosure_risk_aware_query_optimizers_for_relational_databases.pdf","open")</f>
        <v>open</v>
      </c>
      <c r="F1075" t="s">
        <v>7130</v>
      </c>
      <c r="G1075" t="s">
        <v>1597</v>
      </c>
      <c r="I1075" t="s">
        <v>9151</v>
      </c>
    </row>
    <row r="1076" spans="1:9" x14ac:dyDescent="0.2">
      <c r="A1076" t="s">
        <v>929</v>
      </c>
      <c r="B1076" t="s">
        <v>930</v>
      </c>
      <c r="C1076" t="s">
        <v>48</v>
      </c>
      <c r="D1076" t="s">
        <v>929</v>
      </c>
      <c r="E1076" t="str">
        <f>HYPERLINK("/pdf/2026_10.1109_tcss.2025.3642006_A_Verifiable_Federated_Learning_Mechanism_for_Digital_Museum_Collection_Based_on_Homomorphic_Proxy_Re-Authenti.pdf","open")</f>
        <v>open</v>
      </c>
      <c r="F1076" t="s">
        <v>7119</v>
      </c>
      <c r="G1076" t="s">
        <v>9152</v>
      </c>
      <c r="H1076" t="s">
        <v>9153</v>
      </c>
      <c r="I1076" t="s">
        <v>9154</v>
      </c>
    </row>
    <row r="1077" spans="1:9" x14ac:dyDescent="0.2">
      <c r="A1077" t="s">
        <v>929</v>
      </c>
      <c r="B1077" t="s">
        <v>930</v>
      </c>
      <c r="C1077" t="s">
        <v>48</v>
      </c>
      <c r="D1077" t="s">
        <v>929</v>
      </c>
      <c r="E1077" t="str">
        <f>HYPERLINK("/pdf/2026_10.1109_tcss.2025.3642006_A_Verifiable_Federated_Learning_Mechanism_for_Digital_Museum_Collection_Based_on_Homomorphic_Proxy_Re-Authenti.pdf","open")</f>
        <v>open</v>
      </c>
      <c r="F1077" t="s">
        <v>7119</v>
      </c>
      <c r="G1077" t="s">
        <v>9155</v>
      </c>
      <c r="H1077" t="s">
        <v>9156</v>
      </c>
      <c r="I1077" t="s">
        <v>9154</v>
      </c>
    </row>
    <row r="1078" spans="1:9" x14ac:dyDescent="0.2">
      <c r="A1078" t="s">
        <v>929</v>
      </c>
      <c r="B1078" t="s">
        <v>930</v>
      </c>
      <c r="C1078" t="s">
        <v>48</v>
      </c>
      <c r="D1078" t="s">
        <v>929</v>
      </c>
      <c r="E1078" t="str">
        <f>HYPERLINK("/pdf/2026_10.1109_tcss.2025.3642006_A_Verifiable_Federated_Learning_Mechanism_for_Digital_Museum_Collection_Based_on_Homomorphic_Proxy_Re-Authenti.pdf","open")</f>
        <v>open</v>
      </c>
      <c r="F1078" t="s">
        <v>7130</v>
      </c>
      <c r="G1078" t="s">
        <v>1584</v>
      </c>
      <c r="I1078" t="s">
        <v>9157</v>
      </c>
    </row>
    <row r="1079" spans="1:9" x14ac:dyDescent="0.2">
      <c r="A1079" t="s">
        <v>929</v>
      </c>
      <c r="B1079" t="s">
        <v>930</v>
      </c>
      <c r="C1079" t="s">
        <v>48</v>
      </c>
      <c r="D1079" t="s">
        <v>929</v>
      </c>
      <c r="E1079" t="str">
        <f>HYPERLINK("/pdf/2026_10.1109_tcss.2025.3642006_A_Verifiable_Federated_Learning_Mechanism_for_Digital_Museum_Collection_Based_on_Homomorphic_Proxy_Re-Authenti.pdf","open")</f>
        <v>open</v>
      </c>
      <c r="F1079" t="s">
        <v>7130</v>
      </c>
      <c r="G1079" t="s">
        <v>1597</v>
      </c>
      <c r="I1079" t="s">
        <v>9157</v>
      </c>
    </row>
    <row r="1080" spans="1:9" x14ac:dyDescent="0.2">
      <c r="A1080" t="s">
        <v>933</v>
      </c>
      <c r="B1080" t="s">
        <v>934</v>
      </c>
      <c r="C1080" t="s">
        <v>19</v>
      </c>
      <c r="D1080" t="s">
        <v>936</v>
      </c>
      <c r="E1080" t="str">
        <f>HYPERLINK("/pdf/2025_10.1007_s11227-025-07116-x_GDT-IDS__graph-based_decision_tree_intrusion_detection_system_for_controller_area_network.pdf.pdf","open")</f>
        <v>open</v>
      </c>
      <c r="F1080" t="s">
        <v>7119</v>
      </c>
      <c r="G1080" t="s">
        <v>9158</v>
      </c>
      <c r="H1080" t="s">
        <v>9159</v>
      </c>
      <c r="I1080" t="s">
        <v>9160</v>
      </c>
    </row>
    <row r="1081" spans="1:9" x14ac:dyDescent="0.2">
      <c r="A1081" t="s">
        <v>933</v>
      </c>
      <c r="B1081" t="s">
        <v>934</v>
      </c>
      <c r="C1081" t="s">
        <v>19</v>
      </c>
      <c r="D1081" t="s">
        <v>936</v>
      </c>
      <c r="E1081" t="str">
        <f>HYPERLINK("/pdf/2025_10.1007_s11227-025-07116-x_GDT-IDS__graph-based_decision_tree_intrusion_detection_system_for_controller_area_network.pdf.pdf","open")</f>
        <v>open</v>
      </c>
      <c r="F1081" t="s">
        <v>7119</v>
      </c>
      <c r="G1081" t="s">
        <v>9161</v>
      </c>
      <c r="H1081" t="s">
        <v>9162</v>
      </c>
      <c r="I1081" t="s">
        <v>9163</v>
      </c>
    </row>
    <row r="1082" spans="1:9" x14ac:dyDescent="0.2">
      <c r="A1082" t="s">
        <v>933</v>
      </c>
      <c r="B1082" t="s">
        <v>934</v>
      </c>
      <c r="C1082" t="s">
        <v>19</v>
      </c>
      <c r="D1082" t="s">
        <v>936</v>
      </c>
      <c r="E1082" t="str">
        <f>HYPERLINK("/pdf/2025_10.1007_s11227-025-07116-x_GDT-IDS__graph-based_decision_tree_intrusion_detection_system_for_controller_area_network.pdf.pdf","open")</f>
        <v>open</v>
      </c>
      <c r="F1082" t="s">
        <v>7119</v>
      </c>
      <c r="G1082" t="s">
        <v>9164</v>
      </c>
      <c r="H1082" t="s">
        <v>9165</v>
      </c>
      <c r="I1082" t="s">
        <v>9166</v>
      </c>
    </row>
    <row r="1083" spans="1:9" x14ac:dyDescent="0.2">
      <c r="A1083" t="s">
        <v>933</v>
      </c>
      <c r="B1083" t="s">
        <v>934</v>
      </c>
      <c r="C1083" t="s">
        <v>19</v>
      </c>
      <c r="D1083" t="s">
        <v>936</v>
      </c>
      <c r="E1083" t="str">
        <f>HYPERLINK("/pdf/2025_10.1007_s11227-025-07116-x_GDT-IDS__graph-based_decision_tree_intrusion_detection_system_for_controller_area_network.pdf.pdf","open")</f>
        <v>open</v>
      </c>
      <c r="F1083" t="s">
        <v>7130</v>
      </c>
      <c r="G1083" t="s">
        <v>1584</v>
      </c>
      <c r="I1083" t="s">
        <v>9167</v>
      </c>
    </row>
    <row r="1084" spans="1:9" x14ac:dyDescent="0.2">
      <c r="A1084" t="s">
        <v>933</v>
      </c>
      <c r="B1084" t="s">
        <v>934</v>
      </c>
      <c r="C1084" t="s">
        <v>19</v>
      </c>
      <c r="D1084" t="s">
        <v>936</v>
      </c>
      <c r="E1084" t="str">
        <f>HYPERLINK("/pdf/2025_10.1007_s11227-025-07116-x_GDT-IDS__graph-based_decision_tree_intrusion_detection_system_for_controller_area_network.pdf.pdf","open")</f>
        <v>open</v>
      </c>
      <c r="F1084" t="s">
        <v>7130</v>
      </c>
      <c r="G1084" t="s">
        <v>1597</v>
      </c>
      <c r="I1084" t="s">
        <v>9168</v>
      </c>
    </row>
    <row r="1085" spans="1:9" x14ac:dyDescent="0.2">
      <c r="A1085" t="s">
        <v>938</v>
      </c>
      <c r="B1085" t="s">
        <v>939</v>
      </c>
      <c r="C1085" t="s">
        <v>940</v>
      </c>
      <c r="D1085" t="s">
        <v>148</v>
      </c>
      <c r="E1085" t="str">
        <f>HYPERLINK("/pdf/2011_Towards_next-generation_intrusion_detection.pdf","open")</f>
        <v>open</v>
      </c>
      <c r="F1085" t="s">
        <v>7119</v>
      </c>
      <c r="G1085" t="s">
        <v>9169</v>
      </c>
      <c r="H1085" t="s">
        <v>9170</v>
      </c>
      <c r="I1085" t="s">
        <v>9134</v>
      </c>
    </row>
    <row r="1086" spans="1:9" x14ac:dyDescent="0.2">
      <c r="A1086" t="s">
        <v>938</v>
      </c>
      <c r="B1086" t="s">
        <v>939</v>
      </c>
      <c r="C1086" t="s">
        <v>940</v>
      </c>
      <c r="D1086" t="s">
        <v>148</v>
      </c>
      <c r="E1086" t="str">
        <f>HYPERLINK("/pdf/2011_Towards_next-generation_intrusion_detection.pdf","open")</f>
        <v>open</v>
      </c>
      <c r="F1086" t="s">
        <v>7119</v>
      </c>
      <c r="G1086" t="s">
        <v>9171</v>
      </c>
      <c r="H1086" t="s">
        <v>9172</v>
      </c>
      <c r="I1086" t="s">
        <v>9141</v>
      </c>
    </row>
    <row r="1087" spans="1:9" x14ac:dyDescent="0.2">
      <c r="A1087" t="s">
        <v>938</v>
      </c>
      <c r="B1087" t="s">
        <v>939</v>
      </c>
      <c r="C1087" t="s">
        <v>940</v>
      </c>
      <c r="D1087" t="s">
        <v>148</v>
      </c>
      <c r="E1087" t="str">
        <f>HYPERLINK("/pdf/2011_Towards_next-generation_intrusion_detection.pdf","open")</f>
        <v>open</v>
      </c>
      <c r="F1087" t="s">
        <v>7119</v>
      </c>
      <c r="G1087" t="s">
        <v>9173</v>
      </c>
      <c r="H1087" t="s">
        <v>9174</v>
      </c>
      <c r="I1087" t="s">
        <v>9141</v>
      </c>
    </row>
    <row r="1088" spans="1:9" x14ac:dyDescent="0.2">
      <c r="A1088" t="s">
        <v>938</v>
      </c>
      <c r="B1088" t="s">
        <v>939</v>
      </c>
      <c r="C1088" t="s">
        <v>940</v>
      </c>
      <c r="D1088" t="s">
        <v>148</v>
      </c>
      <c r="E1088" t="str">
        <f>HYPERLINK("/pdf/2011_Towards_next-generation_intrusion_detection.pdf","open")</f>
        <v>open</v>
      </c>
      <c r="F1088" t="s">
        <v>7130</v>
      </c>
      <c r="G1088" t="s">
        <v>3989</v>
      </c>
      <c r="I1088" t="s">
        <v>9175</v>
      </c>
    </row>
    <row r="1089" spans="1:9" x14ac:dyDescent="0.2">
      <c r="A1089" t="s">
        <v>938</v>
      </c>
      <c r="B1089" t="s">
        <v>939</v>
      </c>
      <c r="C1089" t="s">
        <v>940</v>
      </c>
      <c r="D1089" t="s">
        <v>148</v>
      </c>
      <c r="E1089" t="str">
        <f>HYPERLINK("/pdf/2011_Towards_next-generation_intrusion_detection.pdf","open")</f>
        <v>open</v>
      </c>
      <c r="F1089" t="s">
        <v>7130</v>
      </c>
      <c r="G1089" t="s">
        <v>5650</v>
      </c>
      <c r="I1089" t="s">
        <v>9176</v>
      </c>
    </row>
    <row r="1090" spans="1:9" x14ac:dyDescent="0.2">
      <c r="A1090" t="s">
        <v>943</v>
      </c>
      <c r="B1090" t="s">
        <v>944</v>
      </c>
      <c r="C1090" t="s">
        <v>100</v>
      </c>
      <c r="D1090" t="s">
        <v>946</v>
      </c>
      <c r="E1090" t="str">
        <f>HYPERLINK("/pdf/2022_10.1109_tce.2021.3129155_Fortified-NoC__A_Robust_Approach_for_Trojan-Resilient_Network-on-Chips_to_Fortify_Multicore-Based_Consumer_Ele.pdf","open")</f>
        <v>open</v>
      </c>
      <c r="F1090" t="s">
        <v>7119</v>
      </c>
      <c r="G1090" t="s">
        <v>9177</v>
      </c>
      <c r="H1090" t="s">
        <v>9178</v>
      </c>
      <c r="I1090" t="s">
        <v>9179</v>
      </c>
    </row>
    <row r="1091" spans="1:9" x14ac:dyDescent="0.2">
      <c r="A1091" t="s">
        <v>943</v>
      </c>
      <c r="B1091" t="s">
        <v>944</v>
      </c>
      <c r="C1091" t="s">
        <v>100</v>
      </c>
      <c r="D1091" t="s">
        <v>946</v>
      </c>
      <c r="E1091" t="str">
        <f>HYPERLINK("/pdf/2022_10.1109_tce.2021.3129155_Fortified-NoC__A_Robust_Approach_for_Trojan-Resilient_Network-on-Chips_to_Fortify_Multicore-Based_Consumer_Ele.pdf","open")</f>
        <v>open</v>
      </c>
      <c r="F1091" t="s">
        <v>7119</v>
      </c>
      <c r="G1091" t="s">
        <v>9180</v>
      </c>
      <c r="H1091" t="s">
        <v>9181</v>
      </c>
      <c r="I1091" t="s">
        <v>9182</v>
      </c>
    </row>
    <row r="1092" spans="1:9" x14ac:dyDescent="0.2">
      <c r="A1092" t="s">
        <v>943</v>
      </c>
      <c r="B1092" t="s">
        <v>944</v>
      </c>
      <c r="C1092" t="s">
        <v>100</v>
      </c>
      <c r="D1092" t="s">
        <v>946</v>
      </c>
      <c r="E1092" t="str">
        <f>HYPERLINK("/pdf/2022_10.1109_tce.2021.3129155_Fortified-NoC__A_Robust_Approach_for_Trojan-Resilient_Network-on-Chips_to_Fortify_Multicore-Based_Consumer_Ele.pdf","open")</f>
        <v>open</v>
      </c>
      <c r="F1092" t="s">
        <v>7130</v>
      </c>
      <c r="G1092" t="s">
        <v>1597</v>
      </c>
      <c r="I1092" t="s">
        <v>9183</v>
      </c>
    </row>
    <row r="1093" spans="1:9" x14ac:dyDescent="0.2">
      <c r="A1093" t="s">
        <v>943</v>
      </c>
      <c r="B1093" t="s">
        <v>944</v>
      </c>
      <c r="C1093" t="s">
        <v>100</v>
      </c>
      <c r="D1093" t="s">
        <v>946</v>
      </c>
      <c r="E1093" t="str">
        <f>HYPERLINK("/pdf/2022_10.1109_tce.2021.3129155_Fortified-NoC__A_Robust_Approach_for_Trojan-Resilient_Network-on-Chips_to_Fortify_Multicore-Based_Consumer_Ele.pdf","open")</f>
        <v>open</v>
      </c>
      <c r="F1093" t="s">
        <v>7130</v>
      </c>
      <c r="G1093" t="s">
        <v>7131</v>
      </c>
      <c r="I1093" t="s">
        <v>9184</v>
      </c>
    </row>
    <row r="1094" spans="1:9" x14ac:dyDescent="0.2">
      <c r="A1094" t="s">
        <v>948</v>
      </c>
      <c r="B1094" t="s">
        <v>949</v>
      </c>
      <c r="C1094" t="s">
        <v>363</v>
      </c>
      <c r="D1094" t="s">
        <v>951</v>
      </c>
      <c r="E1094" t="str">
        <f>HYPERLINK("/pdf/2016_10.1145_2897073.2897077_Cognitive_mobile_security.pdf","open")</f>
        <v>open</v>
      </c>
      <c r="F1094" t="s">
        <v>7119</v>
      </c>
      <c r="G1094" t="s">
        <v>9185</v>
      </c>
      <c r="H1094" t="s">
        <v>9186</v>
      </c>
      <c r="I1094" t="s">
        <v>9187</v>
      </c>
    </row>
    <row r="1095" spans="1:9" x14ac:dyDescent="0.2">
      <c r="A1095" t="s">
        <v>948</v>
      </c>
      <c r="B1095" t="s">
        <v>949</v>
      </c>
      <c r="C1095" t="s">
        <v>363</v>
      </c>
      <c r="D1095" t="s">
        <v>951</v>
      </c>
      <c r="E1095" t="str">
        <f>HYPERLINK("/pdf/2016_10.1145_2897073.2897077_Cognitive_mobile_security.pdf","open")</f>
        <v>open</v>
      </c>
      <c r="F1095" t="s">
        <v>7119</v>
      </c>
      <c r="G1095" t="s">
        <v>9188</v>
      </c>
      <c r="H1095" t="s">
        <v>9189</v>
      </c>
      <c r="I1095" t="s">
        <v>9190</v>
      </c>
    </row>
    <row r="1096" spans="1:9" x14ac:dyDescent="0.2">
      <c r="A1096" t="s">
        <v>948</v>
      </c>
      <c r="B1096" t="s">
        <v>949</v>
      </c>
      <c r="C1096" t="s">
        <v>363</v>
      </c>
      <c r="D1096" t="s">
        <v>951</v>
      </c>
      <c r="E1096" t="str">
        <f>HYPERLINK("/pdf/2016_10.1145_2897073.2897077_Cognitive_mobile_security.pdf","open")</f>
        <v>open</v>
      </c>
      <c r="F1096" t="s">
        <v>7130</v>
      </c>
      <c r="G1096" t="s">
        <v>1575</v>
      </c>
      <c r="I1096" t="s">
        <v>9191</v>
      </c>
    </row>
    <row r="1097" spans="1:9" x14ac:dyDescent="0.2">
      <c r="A1097" t="s">
        <v>948</v>
      </c>
      <c r="B1097" t="s">
        <v>949</v>
      </c>
      <c r="C1097" t="s">
        <v>363</v>
      </c>
      <c r="D1097" t="s">
        <v>951</v>
      </c>
      <c r="E1097" t="str">
        <f>HYPERLINK("/pdf/2016_10.1145_2897073.2897077_Cognitive_mobile_security.pdf","open")</f>
        <v>open</v>
      </c>
      <c r="F1097" t="s">
        <v>7130</v>
      </c>
      <c r="G1097" t="s">
        <v>1578</v>
      </c>
      <c r="I1097" t="s">
        <v>9192</v>
      </c>
    </row>
    <row r="1098" spans="1:9" x14ac:dyDescent="0.2">
      <c r="A1098" t="s">
        <v>953</v>
      </c>
      <c r="B1098" t="s">
        <v>954</v>
      </c>
      <c r="C1098" t="s">
        <v>19</v>
      </c>
      <c r="D1098" t="s">
        <v>956</v>
      </c>
      <c r="E1098" t="str">
        <f>HYPERLINK("/pdf/2025_10.1109_icoa66896.2025.11236897_Federated_Learning_for_Privacy-Preserving_Intrusion_Detection_in_IoT_using_Edge_and_Cloud_Infrastructure.pdf","open")</f>
        <v>open</v>
      </c>
      <c r="F1098" t="s">
        <v>7119</v>
      </c>
      <c r="G1098" t="s">
        <v>9193</v>
      </c>
      <c r="H1098" t="s">
        <v>9194</v>
      </c>
      <c r="I1098" t="s">
        <v>9195</v>
      </c>
    </row>
    <row r="1099" spans="1:9" x14ac:dyDescent="0.2">
      <c r="A1099" t="s">
        <v>953</v>
      </c>
      <c r="B1099" t="s">
        <v>954</v>
      </c>
      <c r="C1099" t="s">
        <v>19</v>
      </c>
      <c r="D1099" t="s">
        <v>956</v>
      </c>
      <c r="E1099" t="str">
        <f>HYPERLINK("/pdf/2025_10.1109_icoa66896.2025.11236897_Federated_Learning_for_Privacy-Preserving_Intrusion_Detection_in_IoT_using_Edge_and_Cloud_Infrastructure.pdf","open")</f>
        <v>open</v>
      </c>
      <c r="F1099" t="s">
        <v>7119</v>
      </c>
      <c r="G1099" t="s">
        <v>9196</v>
      </c>
      <c r="H1099" t="s">
        <v>9197</v>
      </c>
      <c r="I1099" t="s">
        <v>9198</v>
      </c>
    </row>
    <row r="1100" spans="1:9" x14ac:dyDescent="0.2">
      <c r="A1100" t="s">
        <v>953</v>
      </c>
      <c r="B1100" t="s">
        <v>954</v>
      </c>
      <c r="C1100" t="s">
        <v>19</v>
      </c>
      <c r="D1100" t="s">
        <v>956</v>
      </c>
      <c r="E1100" t="str">
        <f>HYPERLINK("/pdf/2025_10.1109_icoa66896.2025.11236897_Federated_Learning_for_Privacy-Preserving_Intrusion_Detection_in_IoT_using_Edge_and_Cloud_Infrastructure.pdf","open")</f>
        <v>open</v>
      </c>
      <c r="F1100" t="s">
        <v>7119</v>
      </c>
      <c r="G1100" t="s">
        <v>9199</v>
      </c>
      <c r="H1100" t="s">
        <v>9200</v>
      </c>
      <c r="I1100" t="s">
        <v>9201</v>
      </c>
    </row>
    <row r="1101" spans="1:9" x14ac:dyDescent="0.2">
      <c r="A1101" t="s">
        <v>953</v>
      </c>
      <c r="B1101" t="s">
        <v>954</v>
      </c>
      <c r="C1101" t="s">
        <v>19</v>
      </c>
      <c r="D1101" t="s">
        <v>956</v>
      </c>
      <c r="E1101" t="str">
        <f>HYPERLINK("/pdf/2025_10.1109_icoa66896.2025.11236897_Federated_Learning_for_Privacy-Preserving_Intrusion_Detection_in_IoT_using_Edge_and_Cloud_Infrastructure.pdf","open")</f>
        <v>open</v>
      </c>
      <c r="F1101" t="s">
        <v>7130</v>
      </c>
      <c r="G1101" t="s">
        <v>9106</v>
      </c>
      <c r="I1101" t="s">
        <v>9202</v>
      </c>
    </row>
    <row r="1102" spans="1:9" x14ac:dyDescent="0.2">
      <c r="A1102" t="s">
        <v>953</v>
      </c>
      <c r="B1102" t="s">
        <v>954</v>
      </c>
      <c r="C1102" t="s">
        <v>19</v>
      </c>
      <c r="D1102" t="s">
        <v>956</v>
      </c>
      <c r="E1102" t="str">
        <f>HYPERLINK("/pdf/2025_10.1109_icoa66896.2025.11236897_Federated_Learning_for_Privacy-Preserving_Intrusion_Detection_in_IoT_using_Edge_and_Cloud_Infrastructure.pdf","open")</f>
        <v>open</v>
      </c>
      <c r="F1102" t="s">
        <v>7130</v>
      </c>
      <c r="G1102" t="s">
        <v>7651</v>
      </c>
      <c r="I1102" t="s">
        <v>9203</v>
      </c>
    </row>
    <row r="1103" spans="1:9" x14ac:dyDescent="0.2">
      <c r="A1103" t="s">
        <v>959</v>
      </c>
      <c r="B1103" t="s">
        <v>960</v>
      </c>
      <c r="C1103" t="s">
        <v>12</v>
      </c>
      <c r="D1103" t="s">
        <v>962</v>
      </c>
      <c r="E1103" t="str">
        <f>HYPERLINK("/pdf/2018_10.1109_qrs.2018.00029_Hypervisor-based_sensitive_data_leakage_detector.pdf","open")</f>
        <v>open</v>
      </c>
      <c r="F1103" t="s">
        <v>7119</v>
      </c>
      <c r="G1103" t="s">
        <v>9204</v>
      </c>
      <c r="H1103" t="s">
        <v>9205</v>
      </c>
      <c r="I1103" t="s">
        <v>9206</v>
      </c>
    </row>
    <row r="1104" spans="1:9" x14ac:dyDescent="0.2">
      <c r="A1104" t="s">
        <v>959</v>
      </c>
      <c r="B1104" t="s">
        <v>960</v>
      </c>
      <c r="C1104" t="s">
        <v>12</v>
      </c>
      <c r="D1104" t="s">
        <v>962</v>
      </c>
      <c r="E1104" t="str">
        <f>HYPERLINK("/pdf/2018_10.1109_qrs.2018.00029_Hypervisor-based_sensitive_data_leakage_detector.pdf","open")</f>
        <v>open</v>
      </c>
      <c r="F1104" t="s">
        <v>7119</v>
      </c>
      <c r="G1104" t="s">
        <v>9207</v>
      </c>
      <c r="H1104" t="s">
        <v>9208</v>
      </c>
      <c r="I1104" t="s">
        <v>9209</v>
      </c>
    </row>
    <row r="1105" spans="1:9" x14ac:dyDescent="0.2">
      <c r="A1105" t="s">
        <v>959</v>
      </c>
      <c r="B1105" t="s">
        <v>960</v>
      </c>
      <c r="C1105" t="s">
        <v>12</v>
      </c>
      <c r="D1105" t="s">
        <v>962</v>
      </c>
      <c r="E1105" t="str">
        <f>HYPERLINK("/pdf/2018_10.1109_qrs.2018.00029_Hypervisor-based_sensitive_data_leakage_detector.pdf","open")</f>
        <v>open</v>
      </c>
      <c r="F1105" t="s">
        <v>7130</v>
      </c>
      <c r="G1105" t="s">
        <v>1597</v>
      </c>
      <c r="I1105" t="s">
        <v>9210</v>
      </c>
    </row>
    <row r="1106" spans="1:9" x14ac:dyDescent="0.2">
      <c r="A1106" t="s">
        <v>959</v>
      </c>
      <c r="B1106" t="s">
        <v>960</v>
      </c>
      <c r="C1106" t="s">
        <v>12</v>
      </c>
      <c r="D1106" t="s">
        <v>962</v>
      </c>
      <c r="E1106" t="str">
        <f>HYPERLINK("/pdf/2018_10.1109_qrs.2018.00029_Hypervisor-based_sensitive_data_leakage_detector.pdf","open")</f>
        <v>open</v>
      </c>
      <c r="F1106" t="s">
        <v>7130</v>
      </c>
      <c r="G1106" t="s">
        <v>1571</v>
      </c>
      <c r="I1106" t="s">
        <v>9211</v>
      </c>
    </row>
    <row r="1107" spans="1:9" x14ac:dyDescent="0.2">
      <c r="A1107" t="s">
        <v>964</v>
      </c>
      <c r="B1107" t="s">
        <v>965</v>
      </c>
      <c r="C1107" t="s">
        <v>100</v>
      </c>
      <c r="D1107" t="s">
        <v>148</v>
      </c>
      <c r="E1107" t="str">
        <f>HYPERLINK("/pdf/2022_Data_Leakage_Detection_in_Cloud_Computing_Environment_Using_Classification_Based_on_Deep_Learning_Architecture.pdf","open")</f>
        <v>open</v>
      </c>
      <c r="F1107" t="s">
        <v>7119</v>
      </c>
      <c r="G1107" t="s">
        <v>9212</v>
      </c>
      <c r="H1107" t="s">
        <v>9213</v>
      </c>
      <c r="I1107" t="s">
        <v>9214</v>
      </c>
    </row>
    <row r="1108" spans="1:9" x14ac:dyDescent="0.2">
      <c r="A1108" t="s">
        <v>964</v>
      </c>
      <c r="B1108" t="s">
        <v>965</v>
      </c>
      <c r="C1108" t="s">
        <v>100</v>
      </c>
      <c r="D1108" t="s">
        <v>148</v>
      </c>
      <c r="E1108" t="str">
        <f>HYPERLINK("/pdf/2022_Data_Leakage_Detection_in_Cloud_Computing_Environment_Using_Classification_Based_on_Deep_Learning_Architecture.pdf","open")</f>
        <v>open</v>
      </c>
      <c r="F1108" t="s">
        <v>7119</v>
      </c>
      <c r="G1108" t="s">
        <v>9215</v>
      </c>
      <c r="H1108" t="s">
        <v>9216</v>
      </c>
      <c r="I1108" t="s">
        <v>9217</v>
      </c>
    </row>
    <row r="1109" spans="1:9" x14ac:dyDescent="0.2">
      <c r="A1109" t="s">
        <v>964</v>
      </c>
      <c r="B1109" t="s">
        <v>965</v>
      </c>
      <c r="C1109" t="s">
        <v>100</v>
      </c>
      <c r="D1109" t="s">
        <v>148</v>
      </c>
      <c r="E1109" t="str">
        <f>HYPERLINK("/pdf/2022_Data_Leakage_Detection_in_Cloud_Computing_Environment_Using_Classification_Based_on_Deep_Learning_Architecture.pdf","open")</f>
        <v>open</v>
      </c>
      <c r="F1109" t="s">
        <v>7130</v>
      </c>
      <c r="G1109" t="s">
        <v>1584</v>
      </c>
      <c r="I1109" t="s">
        <v>9214</v>
      </c>
    </row>
    <row r="1110" spans="1:9" x14ac:dyDescent="0.2">
      <c r="A1110" t="s">
        <v>968</v>
      </c>
      <c r="B1110" t="s">
        <v>969</v>
      </c>
      <c r="C1110" t="s">
        <v>25</v>
      </c>
      <c r="D1110" t="s">
        <v>971</v>
      </c>
      <c r="E1110" t="str">
        <f>HYPERLINK("/pdf/2023_10.1109_smc53992.2023.10393972_A_New_Federated_Learning_Model_for_Host_Intrusion_Detection_System_Under_Non-IID_Data.pdf","open")</f>
        <v>open</v>
      </c>
      <c r="F1110" t="s">
        <v>7119</v>
      </c>
      <c r="G1110" t="s">
        <v>9218</v>
      </c>
      <c r="H1110" t="s">
        <v>9219</v>
      </c>
      <c r="I1110" t="s">
        <v>9220</v>
      </c>
    </row>
    <row r="1111" spans="1:9" x14ac:dyDescent="0.2">
      <c r="A1111" t="s">
        <v>968</v>
      </c>
      <c r="B1111" t="s">
        <v>969</v>
      </c>
      <c r="C1111" t="s">
        <v>25</v>
      </c>
      <c r="D1111" t="s">
        <v>971</v>
      </c>
      <c r="E1111" t="str">
        <f>HYPERLINK("/pdf/2023_10.1109_smc53992.2023.10393972_A_New_Federated_Learning_Model_for_Host_Intrusion_Detection_System_Under_Non-IID_Data.pdf","open")</f>
        <v>open</v>
      </c>
      <c r="F1111" t="s">
        <v>7119</v>
      </c>
      <c r="G1111" t="s">
        <v>9221</v>
      </c>
      <c r="H1111" t="s">
        <v>9222</v>
      </c>
      <c r="I1111" t="s">
        <v>7379</v>
      </c>
    </row>
    <row r="1112" spans="1:9" x14ac:dyDescent="0.2">
      <c r="A1112" t="s">
        <v>968</v>
      </c>
      <c r="B1112" t="s">
        <v>969</v>
      </c>
      <c r="C1112" t="s">
        <v>25</v>
      </c>
      <c r="D1112" t="s">
        <v>971</v>
      </c>
      <c r="E1112" t="str">
        <f>HYPERLINK("/pdf/2023_10.1109_smc53992.2023.10393972_A_New_Federated_Learning_Model_for_Host_Intrusion_Detection_System_Under_Non-IID_Data.pdf","open")</f>
        <v>open</v>
      </c>
      <c r="F1112" t="s">
        <v>7119</v>
      </c>
      <c r="G1112" t="s">
        <v>9223</v>
      </c>
      <c r="H1112" t="s">
        <v>9224</v>
      </c>
      <c r="I1112" t="s">
        <v>9225</v>
      </c>
    </row>
    <row r="1113" spans="1:9" x14ac:dyDescent="0.2">
      <c r="A1113" t="s">
        <v>968</v>
      </c>
      <c r="B1113" t="s">
        <v>969</v>
      </c>
      <c r="C1113" t="s">
        <v>25</v>
      </c>
      <c r="D1113" t="s">
        <v>971</v>
      </c>
      <c r="E1113" t="str">
        <f>HYPERLINK("/pdf/2023_10.1109_smc53992.2023.10393972_A_New_Federated_Learning_Model_for_Host_Intrusion_Detection_System_Under_Non-IID_Data.pdf","open")</f>
        <v>open</v>
      </c>
      <c r="F1113" t="s">
        <v>7130</v>
      </c>
      <c r="G1113" t="s">
        <v>1584</v>
      </c>
      <c r="I1113" t="s">
        <v>9226</v>
      </c>
    </row>
    <row r="1114" spans="1:9" x14ac:dyDescent="0.2">
      <c r="A1114" t="s">
        <v>968</v>
      </c>
      <c r="B1114" t="s">
        <v>969</v>
      </c>
      <c r="C1114" t="s">
        <v>25</v>
      </c>
      <c r="D1114" t="s">
        <v>971</v>
      </c>
      <c r="E1114" t="str">
        <f>HYPERLINK("/pdf/2023_10.1109_smc53992.2023.10393972_A_New_Federated_Learning_Model_for_Host_Intrusion_Detection_System_Under_Non-IID_Data.pdf","open")</f>
        <v>open</v>
      </c>
      <c r="F1114" t="s">
        <v>7130</v>
      </c>
      <c r="G1114" t="s">
        <v>1589</v>
      </c>
      <c r="I1114" t="s">
        <v>9227</v>
      </c>
    </row>
    <row r="1115" spans="1:9" x14ac:dyDescent="0.2">
      <c r="A1115" t="s">
        <v>973</v>
      </c>
      <c r="B1115" t="s">
        <v>974</v>
      </c>
      <c r="C1115" t="s">
        <v>598</v>
      </c>
      <c r="D1115" t="s">
        <v>976</v>
      </c>
      <c r="E1115" t="str">
        <f>HYPERLINK("/pdf/2012_10.1109_eidwt.2012.43_A_proposed_framework_for_the_active_detection_of_security_vulnerabilities_in_multi-tenancy_cloud_systems.pdf","open")</f>
        <v>open</v>
      </c>
      <c r="F1115" t="s">
        <v>7119</v>
      </c>
      <c r="G1115" t="s">
        <v>9228</v>
      </c>
      <c r="H1115" t="s">
        <v>9229</v>
      </c>
      <c r="I1115" t="s">
        <v>9230</v>
      </c>
    </row>
    <row r="1116" spans="1:9" x14ac:dyDescent="0.2">
      <c r="A1116" t="s">
        <v>973</v>
      </c>
      <c r="B1116" t="s">
        <v>974</v>
      </c>
      <c r="C1116" t="s">
        <v>598</v>
      </c>
      <c r="D1116" t="s">
        <v>976</v>
      </c>
      <c r="E1116" t="str">
        <f>HYPERLINK("/pdf/2012_10.1109_eidwt.2012.43_A_proposed_framework_for_the_active_detection_of_security_vulnerabilities_in_multi-tenancy_cloud_systems.pdf","open")</f>
        <v>open</v>
      </c>
      <c r="F1116" t="s">
        <v>7119</v>
      </c>
      <c r="G1116" t="s">
        <v>9231</v>
      </c>
      <c r="H1116" t="s">
        <v>9232</v>
      </c>
      <c r="I1116" t="s">
        <v>9233</v>
      </c>
    </row>
    <row r="1117" spans="1:9" x14ac:dyDescent="0.2">
      <c r="A1117" t="s">
        <v>973</v>
      </c>
      <c r="B1117" t="s">
        <v>974</v>
      </c>
      <c r="C1117" t="s">
        <v>598</v>
      </c>
      <c r="D1117" t="s">
        <v>976</v>
      </c>
      <c r="E1117" t="str">
        <f>HYPERLINK("/pdf/2012_10.1109_eidwt.2012.43_A_proposed_framework_for_the_active_detection_of_security_vulnerabilities_in_multi-tenancy_cloud_systems.pdf","open")</f>
        <v>open</v>
      </c>
      <c r="F1117" t="s">
        <v>7119</v>
      </c>
      <c r="G1117" t="s">
        <v>9234</v>
      </c>
      <c r="H1117" t="s">
        <v>9235</v>
      </c>
      <c r="I1117" t="s">
        <v>9236</v>
      </c>
    </row>
    <row r="1118" spans="1:9" x14ac:dyDescent="0.2">
      <c r="A1118" t="s">
        <v>973</v>
      </c>
      <c r="B1118" t="s">
        <v>974</v>
      </c>
      <c r="C1118" t="s">
        <v>598</v>
      </c>
      <c r="D1118" t="s">
        <v>976</v>
      </c>
      <c r="E1118" t="str">
        <f>HYPERLINK("/pdf/2012_10.1109_eidwt.2012.43_A_proposed_framework_for_the_active_detection_of_security_vulnerabilities_in_multi-tenancy_cloud_systems.pdf","open")</f>
        <v>open</v>
      </c>
      <c r="F1118" t="s">
        <v>7130</v>
      </c>
      <c r="G1118" t="s">
        <v>3989</v>
      </c>
      <c r="I1118" t="s">
        <v>9237</v>
      </c>
    </row>
    <row r="1119" spans="1:9" x14ac:dyDescent="0.2">
      <c r="A1119" t="s">
        <v>978</v>
      </c>
      <c r="B1119" t="s">
        <v>979</v>
      </c>
      <c r="C1119" t="s">
        <v>12</v>
      </c>
      <c r="D1119" t="s">
        <v>148</v>
      </c>
      <c r="E1119" t="str">
        <f>HYPERLINK("/pdf/2021_10_1109_tcc_2019_2905605_a_game_theoretic_framework_for_the_virtual_machines_migration_timing_problem.pdf","open")</f>
        <v>open</v>
      </c>
      <c r="F1119" t="s">
        <v>7119</v>
      </c>
      <c r="G1119" t="s">
        <v>9238</v>
      </c>
      <c r="H1119" t="s">
        <v>9239</v>
      </c>
      <c r="I1119" t="s">
        <v>9240</v>
      </c>
    </row>
    <row r="1120" spans="1:9" x14ac:dyDescent="0.2">
      <c r="A1120" t="s">
        <v>978</v>
      </c>
      <c r="B1120" t="s">
        <v>979</v>
      </c>
      <c r="C1120" t="s">
        <v>12</v>
      </c>
      <c r="D1120" t="s">
        <v>148</v>
      </c>
      <c r="E1120" t="str">
        <f>HYPERLINK("/pdf/2021_10_1109_tcc_2019_2905605_a_game_theoretic_framework_for_the_virtual_machines_migration_timing_problem.pdf","open")</f>
        <v>open</v>
      </c>
      <c r="F1120" t="s">
        <v>7119</v>
      </c>
      <c r="G1120" t="s">
        <v>9241</v>
      </c>
      <c r="H1120" t="s">
        <v>9242</v>
      </c>
      <c r="I1120" t="s">
        <v>9243</v>
      </c>
    </row>
    <row r="1121" spans="1:9" x14ac:dyDescent="0.2">
      <c r="A1121" t="s">
        <v>978</v>
      </c>
      <c r="B1121" t="s">
        <v>979</v>
      </c>
      <c r="C1121" t="s">
        <v>12</v>
      </c>
      <c r="D1121" t="s">
        <v>148</v>
      </c>
      <c r="E1121" t="str">
        <f>HYPERLINK("/pdf/2021_10_1109_tcc_2019_2905605_a_game_theoretic_framework_for_the_virtual_machines_migration_timing_problem.pdf","open")</f>
        <v>open</v>
      </c>
      <c r="F1121" t="s">
        <v>7130</v>
      </c>
      <c r="G1121" t="s">
        <v>9244</v>
      </c>
      <c r="I1121" t="s">
        <v>9245</v>
      </c>
    </row>
    <row r="1122" spans="1:9" x14ac:dyDescent="0.2">
      <c r="A1122" t="s">
        <v>978</v>
      </c>
      <c r="B1122" t="s">
        <v>979</v>
      </c>
      <c r="C1122" t="s">
        <v>12</v>
      </c>
      <c r="D1122" t="s">
        <v>148</v>
      </c>
      <c r="E1122" t="str">
        <f>HYPERLINK("/pdf/2021_10_1109_tcc_2019_2905605_a_game_theoretic_framework_for_the_virtual_machines_migration_timing_problem.pdf","open")</f>
        <v>open</v>
      </c>
      <c r="F1122" t="s">
        <v>7130</v>
      </c>
      <c r="G1122" t="s">
        <v>7322</v>
      </c>
      <c r="I1122" t="s">
        <v>9246</v>
      </c>
    </row>
    <row r="1123" spans="1:9" x14ac:dyDescent="0.2">
      <c r="A1123" t="s">
        <v>981</v>
      </c>
      <c r="B1123" t="s">
        <v>982</v>
      </c>
      <c r="C1123" t="s">
        <v>19</v>
      </c>
      <c r="D1123" t="s">
        <v>984</v>
      </c>
      <c r="E1123" t="str">
        <f>HYPERLINK("/pdf/2025_10_3390_jcp5040092_hashing_in_the_fight_against_csam_technology_at_the_crossroads_of_law_and_ethics.pdf","open")</f>
        <v>open</v>
      </c>
      <c r="F1123" t="s">
        <v>7119</v>
      </c>
      <c r="G1123" t="s">
        <v>9247</v>
      </c>
      <c r="H1123" t="s">
        <v>9248</v>
      </c>
      <c r="I1123" t="s">
        <v>9134</v>
      </c>
    </row>
    <row r="1124" spans="1:9" x14ac:dyDescent="0.2">
      <c r="A1124" t="s">
        <v>981</v>
      </c>
      <c r="B1124" t="s">
        <v>982</v>
      </c>
      <c r="C1124" t="s">
        <v>19</v>
      </c>
      <c r="D1124" t="s">
        <v>984</v>
      </c>
      <c r="E1124" t="str">
        <f>HYPERLINK("/pdf/2025_10_3390_jcp5040092_hashing_in_the_fight_against_csam_technology_at_the_crossroads_of_law_and_ethics.pdf","open")</f>
        <v>open</v>
      </c>
      <c r="F1124" t="s">
        <v>7119</v>
      </c>
      <c r="G1124" t="s">
        <v>9249</v>
      </c>
      <c r="H1124" t="s">
        <v>9250</v>
      </c>
      <c r="I1124" t="s">
        <v>9251</v>
      </c>
    </row>
    <row r="1125" spans="1:9" x14ac:dyDescent="0.2">
      <c r="A1125" t="s">
        <v>981</v>
      </c>
      <c r="B1125" t="s">
        <v>982</v>
      </c>
      <c r="C1125" t="s">
        <v>19</v>
      </c>
      <c r="D1125" t="s">
        <v>984</v>
      </c>
      <c r="E1125" t="str">
        <f>HYPERLINK("/pdf/2025_10_3390_jcp5040092_hashing_in_the_fight_against_csam_technology_at_the_crossroads_of_law_and_ethics.pdf","open")</f>
        <v>open</v>
      </c>
      <c r="F1125" t="s">
        <v>7130</v>
      </c>
      <c r="G1125" t="s">
        <v>1601</v>
      </c>
      <c r="I1125" t="s">
        <v>9252</v>
      </c>
    </row>
    <row r="1126" spans="1:9" x14ac:dyDescent="0.2">
      <c r="A1126" t="s">
        <v>981</v>
      </c>
      <c r="B1126" t="s">
        <v>982</v>
      </c>
      <c r="C1126" t="s">
        <v>19</v>
      </c>
      <c r="D1126" t="s">
        <v>984</v>
      </c>
      <c r="E1126" t="str">
        <f>HYPERLINK("/pdf/2025_10_3390_jcp5040092_hashing_in_the_fight_against_csam_technology_at_the_crossroads_of_law_and_ethics.pdf","open")</f>
        <v>open</v>
      </c>
      <c r="F1126" t="s">
        <v>7130</v>
      </c>
      <c r="G1126" t="s">
        <v>1573</v>
      </c>
      <c r="I1126" t="s">
        <v>9253</v>
      </c>
    </row>
    <row r="1127" spans="1:9" x14ac:dyDescent="0.2">
      <c r="A1127" t="s">
        <v>986</v>
      </c>
      <c r="B1127" t="s">
        <v>319</v>
      </c>
      <c r="C1127" t="s">
        <v>25</v>
      </c>
      <c r="D1127" t="s">
        <v>321</v>
      </c>
      <c r="E1127" t="str">
        <f>HYPERLINK("/pdf/2023_10_1007_s40747_021_00456_0_deep_learning_framework_for_handling_concept_drift_and_class_imbalanced_complex.pdf","open")</f>
        <v>open</v>
      </c>
      <c r="F1127" t="s">
        <v>7119</v>
      </c>
      <c r="G1127" t="s">
        <v>9254</v>
      </c>
      <c r="H1127" t="s">
        <v>7786</v>
      </c>
      <c r="I1127" t="s">
        <v>9255</v>
      </c>
    </row>
    <row r="1128" spans="1:9" x14ac:dyDescent="0.2">
      <c r="A1128" t="s">
        <v>986</v>
      </c>
      <c r="B1128" t="s">
        <v>319</v>
      </c>
      <c r="C1128" t="s">
        <v>25</v>
      </c>
      <c r="D1128" t="s">
        <v>321</v>
      </c>
      <c r="E1128" t="str">
        <f>HYPERLINK("/pdf/2023_10_1007_s40747_021_00456_0_deep_learning_framework_for_handling_concept_drift_and_class_imbalanced_complex.pdf","open")</f>
        <v>open</v>
      </c>
      <c r="F1128" t="s">
        <v>7119</v>
      </c>
      <c r="G1128" t="s">
        <v>9256</v>
      </c>
      <c r="H1128" t="s">
        <v>9257</v>
      </c>
      <c r="I1128" t="s">
        <v>7151</v>
      </c>
    </row>
    <row r="1129" spans="1:9" x14ac:dyDescent="0.2">
      <c r="A1129" t="s">
        <v>986</v>
      </c>
      <c r="B1129" t="s">
        <v>319</v>
      </c>
      <c r="C1129" t="s">
        <v>25</v>
      </c>
      <c r="D1129" t="s">
        <v>321</v>
      </c>
      <c r="E1129" t="str">
        <f>HYPERLINK("/pdf/2023_10_1007_s40747_021_00456_0_deep_learning_framework_for_handling_concept_drift_and_class_imbalanced_complex.pdf","open")</f>
        <v>open</v>
      </c>
      <c r="F1129" t="s">
        <v>7130</v>
      </c>
      <c r="G1129" t="s">
        <v>1584</v>
      </c>
      <c r="I1129" t="s">
        <v>9258</v>
      </c>
    </row>
    <row r="1130" spans="1:9" x14ac:dyDescent="0.2">
      <c r="A1130" t="s">
        <v>986</v>
      </c>
      <c r="B1130" t="s">
        <v>319</v>
      </c>
      <c r="C1130" t="s">
        <v>25</v>
      </c>
      <c r="D1130" t="s">
        <v>321</v>
      </c>
      <c r="E1130" t="str">
        <f>HYPERLINK("/pdf/2023_10_1007_s40747_021_00456_0_deep_learning_framework_for_handling_concept_drift_and_class_imbalanced_complex.pdf","open")</f>
        <v>open</v>
      </c>
      <c r="F1130" t="s">
        <v>7130</v>
      </c>
      <c r="G1130" t="s">
        <v>1589</v>
      </c>
      <c r="I1130" t="s">
        <v>9259</v>
      </c>
    </row>
    <row r="1131" spans="1:9" x14ac:dyDescent="0.2">
      <c r="A1131" t="s">
        <v>988</v>
      </c>
      <c r="B1131" t="s">
        <v>989</v>
      </c>
      <c r="C1131" t="s">
        <v>60</v>
      </c>
      <c r="D1131" t="s">
        <v>990</v>
      </c>
      <c r="E1131" t="str">
        <f>HYPERLINK("/pdf/2024_10.1109_sces61914.2024.10652285_Detecting_Deceptive_URLs__Exploring_Logistic_Regression_and_Decision_Tree_Models.pdf","open")</f>
        <v>open</v>
      </c>
      <c r="F1131" t="s">
        <v>7119</v>
      </c>
      <c r="G1131" t="s">
        <v>9260</v>
      </c>
      <c r="H1131" t="s">
        <v>9261</v>
      </c>
      <c r="I1131" t="s">
        <v>9262</v>
      </c>
    </row>
    <row r="1132" spans="1:9" x14ac:dyDescent="0.2">
      <c r="A1132" t="s">
        <v>988</v>
      </c>
      <c r="B1132" t="s">
        <v>989</v>
      </c>
      <c r="C1132" t="s">
        <v>60</v>
      </c>
      <c r="D1132" t="s">
        <v>990</v>
      </c>
      <c r="E1132" t="str">
        <f>HYPERLINK("/pdf/2024_10.1109_sces61914.2024.10652285_Detecting_Deceptive_URLs__Exploring_Logistic_Regression_and_Decision_Tree_Models.pdf","open")</f>
        <v>open</v>
      </c>
      <c r="F1132" t="s">
        <v>7119</v>
      </c>
      <c r="G1132" t="s">
        <v>9263</v>
      </c>
      <c r="H1132" t="s">
        <v>9264</v>
      </c>
      <c r="I1132" t="s">
        <v>9265</v>
      </c>
    </row>
    <row r="1133" spans="1:9" x14ac:dyDescent="0.2">
      <c r="A1133" t="s">
        <v>988</v>
      </c>
      <c r="B1133" t="s">
        <v>989</v>
      </c>
      <c r="C1133" t="s">
        <v>60</v>
      </c>
      <c r="D1133" t="s">
        <v>990</v>
      </c>
      <c r="E1133" t="str">
        <f>HYPERLINK("/pdf/2024_10.1109_sces61914.2024.10652285_Detecting_Deceptive_URLs__Exploring_Logistic_Regression_and_Decision_Tree_Models.pdf","open")</f>
        <v>open</v>
      </c>
      <c r="F1133" t="s">
        <v>7119</v>
      </c>
      <c r="G1133" t="s">
        <v>9266</v>
      </c>
      <c r="H1133" t="s">
        <v>9267</v>
      </c>
      <c r="I1133" t="s">
        <v>9268</v>
      </c>
    </row>
    <row r="1134" spans="1:9" x14ac:dyDescent="0.2">
      <c r="A1134" t="s">
        <v>988</v>
      </c>
      <c r="B1134" t="s">
        <v>989</v>
      </c>
      <c r="C1134" t="s">
        <v>60</v>
      </c>
      <c r="D1134" t="s">
        <v>990</v>
      </c>
      <c r="E1134" t="str">
        <f>HYPERLINK("/pdf/2024_10.1109_sces61914.2024.10652285_Detecting_Deceptive_URLs__Exploring_Logistic_Regression_and_Decision_Tree_Models.pdf","open")</f>
        <v>open</v>
      </c>
      <c r="F1134" t="s">
        <v>7130</v>
      </c>
      <c r="G1134" t="s">
        <v>1583</v>
      </c>
      <c r="I1134" t="s">
        <v>9269</v>
      </c>
    </row>
    <row r="1135" spans="1:9" x14ac:dyDescent="0.2">
      <c r="A1135" t="s">
        <v>988</v>
      </c>
      <c r="B1135" t="s">
        <v>989</v>
      </c>
      <c r="C1135" t="s">
        <v>60</v>
      </c>
      <c r="D1135" t="s">
        <v>990</v>
      </c>
      <c r="E1135" t="str">
        <f>HYPERLINK("/pdf/2024_10.1109_sces61914.2024.10652285_Detecting_Deceptive_URLs__Exploring_Logistic_Regression_and_Decision_Tree_Models.pdf","open")</f>
        <v>open</v>
      </c>
      <c r="F1135" t="s">
        <v>7130</v>
      </c>
      <c r="G1135" t="s">
        <v>1601</v>
      </c>
      <c r="I1135" t="s">
        <v>9270</v>
      </c>
    </row>
    <row r="1136" spans="1:9" x14ac:dyDescent="0.2">
      <c r="A1136" t="s">
        <v>992</v>
      </c>
      <c r="B1136" t="s">
        <v>993</v>
      </c>
      <c r="C1136" t="s">
        <v>60</v>
      </c>
      <c r="D1136" t="s">
        <v>994</v>
      </c>
      <c r="E1136" t="str">
        <f>HYPERLINK("/pdf/2025_10.1007_s11042-024-19916-z_Towards_robust_and_efficient_intrusion_detection_in_IoMT__a_deep_learning_approach_addressing_data_leakage_and.pdf","open")</f>
        <v>open</v>
      </c>
      <c r="F1136" t="s">
        <v>7119</v>
      </c>
      <c r="G1136" t="s">
        <v>9271</v>
      </c>
      <c r="H1136" t="s">
        <v>9272</v>
      </c>
      <c r="I1136" t="s">
        <v>9273</v>
      </c>
    </row>
    <row r="1137" spans="1:9" x14ac:dyDescent="0.2">
      <c r="A1137" t="s">
        <v>992</v>
      </c>
      <c r="B1137" t="s">
        <v>993</v>
      </c>
      <c r="C1137" t="s">
        <v>60</v>
      </c>
      <c r="D1137" t="s">
        <v>994</v>
      </c>
      <c r="E1137" t="str">
        <f>HYPERLINK("/pdf/2025_10.1007_s11042-024-19916-z_Towards_robust_and_efficient_intrusion_detection_in_IoMT__a_deep_learning_approach_addressing_data_leakage_and.pdf","open")</f>
        <v>open</v>
      </c>
      <c r="F1137" t="s">
        <v>7119</v>
      </c>
      <c r="G1137" t="s">
        <v>9274</v>
      </c>
      <c r="H1137" t="s">
        <v>9275</v>
      </c>
      <c r="I1137" t="s">
        <v>9273</v>
      </c>
    </row>
    <row r="1138" spans="1:9" x14ac:dyDescent="0.2">
      <c r="A1138" t="s">
        <v>992</v>
      </c>
      <c r="B1138" t="s">
        <v>993</v>
      </c>
      <c r="C1138" t="s">
        <v>60</v>
      </c>
      <c r="D1138" t="s">
        <v>994</v>
      </c>
      <c r="E1138" t="str">
        <f>HYPERLINK("/pdf/2025_10.1007_s11042-024-19916-z_Towards_robust_and_efficient_intrusion_detection_in_IoMT__a_deep_learning_approach_addressing_data_leakage_and.pdf","open")</f>
        <v>open</v>
      </c>
      <c r="F1138" t="s">
        <v>7130</v>
      </c>
      <c r="G1138" t="s">
        <v>1583</v>
      </c>
      <c r="I1138" t="s">
        <v>9276</v>
      </c>
    </row>
    <row r="1139" spans="1:9" x14ac:dyDescent="0.2">
      <c r="A1139" t="s">
        <v>992</v>
      </c>
      <c r="B1139" t="s">
        <v>993</v>
      </c>
      <c r="C1139" t="s">
        <v>60</v>
      </c>
      <c r="D1139" t="s">
        <v>994</v>
      </c>
      <c r="E1139" t="str">
        <f>HYPERLINK("/pdf/2025_10.1007_s11042-024-19916-z_Towards_robust_and_efficient_intrusion_detection_in_IoMT__a_deep_learning_approach_addressing_data_leakage_and.pdf","open")</f>
        <v>open</v>
      </c>
      <c r="F1139" t="s">
        <v>7130</v>
      </c>
      <c r="G1139" t="s">
        <v>5650</v>
      </c>
      <c r="I1139" t="s">
        <v>9277</v>
      </c>
    </row>
    <row r="1140" spans="1:9" x14ac:dyDescent="0.2">
      <c r="A1140" t="s">
        <v>996</v>
      </c>
      <c r="B1140" t="s">
        <v>603</v>
      </c>
      <c r="C1140" t="s">
        <v>19</v>
      </c>
      <c r="D1140" t="s">
        <v>605</v>
      </c>
      <c r="E1140" t="str">
        <f>HYPERLINK("/pdf/2025_10_1007_s43926_025_00185_7_a_feature_level_ensemble_machine_learning_approach_for_attack_detection_in_iot_n.pdf","open")</f>
        <v>open</v>
      </c>
      <c r="F1140" t="s">
        <v>7119</v>
      </c>
      <c r="G1140" t="s">
        <v>9278</v>
      </c>
      <c r="H1140" t="s">
        <v>9279</v>
      </c>
      <c r="I1140" t="s">
        <v>9280</v>
      </c>
    </row>
    <row r="1141" spans="1:9" x14ac:dyDescent="0.2">
      <c r="A1141" t="s">
        <v>996</v>
      </c>
      <c r="B1141" t="s">
        <v>603</v>
      </c>
      <c r="C1141" t="s">
        <v>19</v>
      </c>
      <c r="D1141" t="s">
        <v>605</v>
      </c>
      <c r="E1141" t="str">
        <f>HYPERLINK("/pdf/2025_10_1007_s43926_025_00185_7_a_feature_level_ensemble_machine_learning_approach_for_attack_detection_in_iot_n.pdf","open")</f>
        <v>open</v>
      </c>
      <c r="F1141" t="s">
        <v>7130</v>
      </c>
      <c r="G1141" t="s">
        <v>1584</v>
      </c>
      <c r="I1141" t="s">
        <v>9281</v>
      </c>
    </row>
    <row r="1142" spans="1:9" x14ac:dyDescent="0.2">
      <c r="A1142" t="s">
        <v>998</v>
      </c>
      <c r="B1142" t="s">
        <v>999</v>
      </c>
      <c r="C1142" t="s">
        <v>19</v>
      </c>
      <c r="D1142" t="s">
        <v>1000</v>
      </c>
      <c r="E1142" t="str">
        <f>HYPERLINK("/pdf/2025_10_1038_s41598_025_89794_4_revolutionary_hybrid_ensembled_deep_learning_model_for_accurate_and_robust_side.pdf","open")</f>
        <v>open</v>
      </c>
      <c r="F1142" t="s">
        <v>7119</v>
      </c>
      <c r="G1142" t="s">
        <v>9282</v>
      </c>
      <c r="H1142" t="s">
        <v>9283</v>
      </c>
      <c r="I1142" t="s">
        <v>9284</v>
      </c>
    </row>
    <row r="1143" spans="1:9" x14ac:dyDescent="0.2">
      <c r="A1143" t="s">
        <v>998</v>
      </c>
      <c r="B1143" t="s">
        <v>999</v>
      </c>
      <c r="C1143" t="s">
        <v>19</v>
      </c>
      <c r="D1143" t="s">
        <v>1000</v>
      </c>
      <c r="E1143" t="str">
        <f>HYPERLINK("/pdf/2025_10_1038_s41598_025_89794_4_revolutionary_hybrid_ensembled_deep_learning_model_for_accurate_and_robust_side.pdf","open")</f>
        <v>open</v>
      </c>
      <c r="F1143" t="s">
        <v>7119</v>
      </c>
      <c r="G1143" t="s">
        <v>9285</v>
      </c>
      <c r="H1143" t="s">
        <v>9286</v>
      </c>
      <c r="I1143" t="s">
        <v>9287</v>
      </c>
    </row>
    <row r="1144" spans="1:9" x14ac:dyDescent="0.2">
      <c r="A1144" t="s">
        <v>998</v>
      </c>
      <c r="B1144" t="s">
        <v>999</v>
      </c>
      <c r="C1144" t="s">
        <v>19</v>
      </c>
      <c r="D1144" t="s">
        <v>1000</v>
      </c>
      <c r="E1144" t="str">
        <f>HYPERLINK("/pdf/2025_10_1038_s41598_025_89794_4_revolutionary_hybrid_ensembled_deep_learning_model_for_accurate_and_robust_side.pdf","open")</f>
        <v>open</v>
      </c>
      <c r="F1144" t="s">
        <v>7130</v>
      </c>
      <c r="G1144" t="s">
        <v>1584</v>
      </c>
      <c r="I1144" t="s">
        <v>9288</v>
      </c>
    </row>
    <row r="1145" spans="1:9" x14ac:dyDescent="0.2">
      <c r="A1145" t="s">
        <v>998</v>
      </c>
      <c r="B1145" t="s">
        <v>999</v>
      </c>
      <c r="C1145" t="s">
        <v>19</v>
      </c>
      <c r="D1145" t="s">
        <v>1000</v>
      </c>
      <c r="E1145" t="str">
        <f>HYPERLINK("/pdf/2025_10_1038_s41598_025_89794_4_revolutionary_hybrid_ensembled_deep_learning_model_for_accurate_and_robust_side.pdf","open")</f>
        <v>open</v>
      </c>
      <c r="F1145" t="s">
        <v>7130</v>
      </c>
      <c r="G1145" t="s">
        <v>9289</v>
      </c>
      <c r="I1145" t="s">
        <v>9290</v>
      </c>
    </row>
    <row r="1146" spans="1:9" x14ac:dyDescent="0.2">
      <c r="A1146" t="s">
        <v>1002</v>
      </c>
      <c r="B1146" t="s">
        <v>1003</v>
      </c>
      <c r="C1146" t="s">
        <v>25</v>
      </c>
      <c r="D1146" t="s">
        <v>1005</v>
      </c>
      <c r="E1146" t="str">
        <f>HYPERLINK("/pdf/2023_10.1109_taes.2023.3306336_ADS-Bchain__A_Blockchain-Based_Trusted_Service_Scheme_for_Automatic_Dependent_Surveillance_Broadcast.pdf","open")</f>
        <v>open</v>
      </c>
      <c r="F1146" t="s">
        <v>7119</v>
      </c>
      <c r="G1146" t="s">
        <v>9291</v>
      </c>
      <c r="H1146" t="s">
        <v>9292</v>
      </c>
      <c r="I1146" t="s">
        <v>9293</v>
      </c>
    </row>
    <row r="1147" spans="1:9" x14ac:dyDescent="0.2">
      <c r="A1147" t="s">
        <v>1002</v>
      </c>
      <c r="B1147" t="s">
        <v>1003</v>
      </c>
      <c r="C1147" t="s">
        <v>25</v>
      </c>
      <c r="D1147" t="s">
        <v>1005</v>
      </c>
      <c r="E1147" t="str">
        <f>HYPERLINK("/pdf/2023_10.1109_taes.2023.3306336_ADS-Bchain__A_Blockchain-Based_Trusted_Service_Scheme_for_Automatic_Dependent_Surveillance_Broadcast.pdf","open")</f>
        <v>open</v>
      </c>
      <c r="F1147" t="s">
        <v>7119</v>
      </c>
      <c r="G1147" t="s">
        <v>9294</v>
      </c>
      <c r="H1147" t="s">
        <v>9295</v>
      </c>
      <c r="I1147" t="s">
        <v>9296</v>
      </c>
    </row>
    <row r="1148" spans="1:9" x14ac:dyDescent="0.2">
      <c r="A1148" t="s">
        <v>1002</v>
      </c>
      <c r="B1148" t="s">
        <v>1003</v>
      </c>
      <c r="C1148" t="s">
        <v>25</v>
      </c>
      <c r="D1148" t="s">
        <v>1005</v>
      </c>
      <c r="E1148" t="str">
        <f>HYPERLINK("/pdf/2023_10.1109_taes.2023.3306336_ADS-Bchain__A_Blockchain-Based_Trusted_Service_Scheme_for_Automatic_Dependent_Surveillance_Broadcast.pdf","open")</f>
        <v>open</v>
      </c>
      <c r="F1148" t="s">
        <v>7130</v>
      </c>
      <c r="G1148" t="s">
        <v>1592</v>
      </c>
      <c r="I1148" t="s">
        <v>9297</v>
      </c>
    </row>
    <row r="1149" spans="1:9" x14ac:dyDescent="0.2">
      <c r="A1149" t="s">
        <v>1002</v>
      </c>
      <c r="B1149" t="s">
        <v>1003</v>
      </c>
      <c r="C1149" t="s">
        <v>25</v>
      </c>
      <c r="D1149" t="s">
        <v>1005</v>
      </c>
      <c r="E1149" t="str">
        <f>HYPERLINK("/pdf/2023_10.1109_taes.2023.3306336_ADS-Bchain__A_Blockchain-Based_Trusted_Service_Scheme_for_Automatic_Dependent_Surveillance_Broadcast.pdf","open")</f>
        <v>open</v>
      </c>
      <c r="F1149" t="s">
        <v>7130</v>
      </c>
      <c r="G1149" t="s">
        <v>5650</v>
      </c>
      <c r="I1149" t="s">
        <v>9298</v>
      </c>
    </row>
    <row r="1150" spans="1:9" x14ac:dyDescent="0.2">
      <c r="A1150" t="s">
        <v>1007</v>
      </c>
      <c r="B1150" t="s">
        <v>1008</v>
      </c>
      <c r="C1150" t="s">
        <v>19</v>
      </c>
      <c r="D1150" t="s">
        <v>1007</v>
      </c>
      <c r="E1150" t="str">
        <f>HYPERLINK("/pdf/2025_10.1109_iciccs65191.2025.10984995_SDN_based_Firewall_with_Real_Time_Policy_Updates.pdf","open")</f>
        <v>open</v>
      </c>
      <c r="F1150" t="s">
        <v>7119</v>
      </c>
      <c r="G1150" t="s">
        <v>9299</v>
      </c>
      <c r="H1150" t="s">
        <v>9300</v>
      </c>
      <c r="I1150" t="s">
        <v>7574</v>
      </c>
    </row>
    <row r="1151" spans="1:9" x14ac:dyDescent="0.2">
      <c r="A1151" t="s">
        <v>1007</v>
      </c>
      <c r="B1151" t="s">
        <v>1008</v>
      </c>
      <c r="C1151" t="s">
        <v>19</v>
      </c>
      <c r="D1151" t="s">
        <v>1007</v>
      </c>
      <c r="E1151" t="str">
        <f>HYPERLINK("/pdf/2025_10.1109_iciccs65191.2025.10984995_SDN_based_Firewall_with_Real_Time_Policy_Updates.pdf","open")</f>
        <v>open</v>
      </c>
      <c r="F1151" t="s">
        <v>7119</v>
      </c>
      <c r="G1151" t="s">
        <v>7183</v>
      </c>
      <c r="H1151" t="s">
        <v>9301</v>
      </c>
      <c r="I1151" t="s">
        <v>7574</v>
      </c>
    </row>
    <row r="1152" spans="1:9" x14ac:dyDescent="0.2">
      <c r="A1152" t="s">
        <v>1007</v>
      </c>
      <c r="B1152" t="s">
        <v>1008</v>
      </c>
      <c r="C1152" t="s">
        <v>19</v>
      </c>
      <c r="D1152" t="s">
        <v>1007</v>
      </c>
      <c r="E1152" t="str">
        <f>HYPERLINK("/pdf/2025_10.1109_iciccs65191.2025.10984995_SDN_based_Firewall_with_Real_Time_Policy_Updates.pdf","open")</f>
        <v>open</v>
      </c>
      <c r="F1152" t="s">
        <v>7119</v>
      </c>
      <c r="G1152" t="s">
        <v>7131</v>
      </c>
      <c r="H1152" t="s">
        <v>9302</v>
      </c>
      <c r="I1152" t="s">
        <v>9303</v>
      </c>
    </row>
    <row r="1153" spans="1:9" x14ac:dyDescent="0.2">
      <c r="A1153" t="s">
        <v>1007</v>
      </c>
      <c r="B1153" t="s">
        <v>1008</v>
      </c>
      <c r="C1153" t="s">
        <v>19</v>
      </c>
      <c r="D1153" t="s">
        <v>1007</v>
      </c>
      <c r="E1153" t="str">
        <f>HYPERLINK("/pdf/2025_10.1109_iciccs65191.2025.10984995_SDN_based_Firewall_with_Real_Time_Policy_Updates.pdf","open")</f>
        <v>open</v>
      </c>
      <c r="F1153" t="s">
        <v>7130</v>
      </c>
      <c r="G1153" t="s">
        <v>1592</v>
      </c>
      <c r="I1153" t="s">
        <v>9304</v>
      </c>
    </row>
    <row r="1154" spans="1:9" x14ac:dyDescent="0.2">
      <c r="A1154" t="s">
        <v>1007</v>
      </c>
      <c r="B1154" t="s">
        <v>1008</v>
      </c>
      <c r="C1154" t="s">
        <v>19</v>
      </c>
      <c r="D1154" t="s">
        <v>1007</v>
      </c>
      <c r="E1154" t="str">
        <f>HYPERLINK("/pdf/2025_10.1109_iciccs65191.2025.10984995_SDN_based_Firewall_with_Real_Time_Policy_Updates.pdf","open")</f>
        <v>open</v>
      </c>
      <c r="F1154" t="s">
        <v>7130</v>
      </c>
      <c r="G1154" t="s">
        <v>1597</v>
      </c>
      <c r="I1154" t="s">
        <v>9304</v>
      </c>
    </row>
    <row r="1155" spans="1:9" x14ac:dyDescent="0.2">
      <c r="A1155" t="s">
        <v>1011</v>
      </c>
      <c r="B1155" t="s">
        <v>1012</v>
      </c>
      <c r="C1155" t="s">
        <v>25</v>
      </c>
      <c r="D1155" t="s">
        <v>1014</v>
      </c>
      <c r="E1155" t="str">
        <f>HYPERLINK("/pdf/2023_10_3390_app13031977_ai_assisted_security_alert_data_analysis_with_imbalanced_learning_methods.pdf","open")</f>
        <v>open</v>
      </c>
      <c r="F1155" t="s">
        <v>7119</v>
      </c>
      <c r="G1155" t="s">
        <v>9305</v>
      </c>
      <c r="H1155" t="s">
        <v>9306</v>
      </c>
      <c r="I1155" t="s">
        <v>9307</v>
      </c>
    </row>
    <row r="1156" spans="1:9" x14ac:dyDescent="0.2">
      <c r="A1156" t="s">
        <v>1011</v>
      </c>
      <c r="B1156" t="s">
        <v>1012</v>
      </c>
      <c r="C1156" t="s">
        <v>25</v>
      </c>
      <c r="D1156" t="s">
        <v>1014</v>
      </c>
      <c r="E1156" t="str">
        <f>HYPERLINK("/pdf/2023_10_3390_app13031977_ai_assisted_security_alert_data_analysis_with_imbalanced_learning_methods.pdf","open")</f>
        <v>open</v>
      </c>
      <c r="F1156" t="s">
        <v>7119</v>
      </c>
      <c r="G1156" t="s">
        <v>9308</v>
      </c>
      <c r="H1156" t="s">
        <v>9309</v>
      </c>
      <c r="I1156" t="s">
        <v>9310</v>
      </c>
    </row>
    <row r="1157" spans="1:9" x14ac:dyDescent="0.2">
      <c r="A1157" t="s">
        <v>1011</v>
      </c>
      <c r="B1157" t="s">
        <v>1012</v>
      </c>
      <c r="C1157" t="s">
        <v>25</v>
      </c>
      <c r="D1157" t="s">
        <v>1014</v>
      </c>
      <c r="E1157" t="str">
        <f>HYPERLINK("/pdf/2023_10_3390_app13031977_ai_assisted_security_alert_data_analysis_with_imbalanced_learning_methods.pdf","open")</f>
        <v>open</v>
      </c>
      <c r="F1157" t="s">
        <v>7119</v>
      </c>
      <c r="G1157" t="s">
        <v>9311</v>
      </c>
      <c r="H1157" t="s">
        <v>9312</v>
      </c>
      <c r="I1157" t="s">
        <v>9313</v>
      </c>
    </row>
    <row r="1158" spans="1:9" x14ac:dyDescent="0.2">
      <c r="A1158" t="s">
        <v>1011</v>
      </c>
      <c r="B1158" t="s">
        <v>1012</v>
      </c>
      <c r="C1158" t="s">
        <v>25</v>
      </c>
      <c r="D1158" t="s">
        <v>1014</v>
      </c>
      <c r="E1158" t="str">
        <f>HYPERLINK("/pdf/2023_10_3390_app13031977_ai_assisted_security_alert_data_analysis_with_imbalanced_learning_methods.pdf","open")</f>
        <v>open</v>
      </c>
      <c r="F1158" t="s">
        <v>7130</v>
      </c>
      <c r="G1158" t="s">
        <v>1584</v>
      </c>
      <c r="I1158" t="s">
        <v>9314</v>
      </c>
    </row>
    <row r="1159" spans="1:9" x14ac:dyDescent="0.2">
      <c r="A1159" t="s">
        <v>1011</v>
      </c>
      <c r="B1159" t="s">
        <v>1012</v>
      </c>
      <c r="C1159" t="s">
        <v>25</v>
      </c>
      <c r="D1159" t="s">
        <v>1014</v>
      </c>
      <c r="E1159" t="str">
        <f>HYPERLINK("/pdf/2023_10_3390_app13031977_ai_assisted_security_alert_data_analysis_with_imbalanced_learning_methods.pdf","open")</f>
        <v>open</v>
      </c>
      <c r="F1159" t="s">
        <v>7130</v>
      </c>
      <c r="G1159" t="s">
        <v>1589</v>
      </c>
      <c r="I1159" t="s">
        <v>9315</v>
      </c>
    </row>
    <row r="1160" spans="1:9" x14ac:dyDescent="0.2">
      <c r="A1160" t="s">
        <v>1016</v>
      </c>
      <c r="B1160" t="s">
        <v>1017</v>
      </c>
      <c r="C1160" t="s">
        <v>215</v>
      </c>
      <c r="D1160" t="s">
        <v>1019</v>
      </c>
      <c r="E1160" t="str">
        <f>HYPERLINK("/pdf/2014_10.1145_2656434.2656448_Analysis_of_mobile_malware_based_on_user_awareness.pdf","open")</f>
        <v>open</v>
      </c>
      <c r="F1160" t="s">
        <v>7119</v>
      </c>
      <c r="G1160" t="s">
        <v>9316</v>
      </c>
      <c r="H1160" t="s">
        <v>9317</v>
      </c>
      <c r="I1160" t="s">
        <v>7172</v>
      </c>
    </row>
    <row r="1161" spans="1:9" x14ac:dyDescent="0.2">
      <c r="A1161" t="s">
        <v>1016</v>
      </c>
      <c r="B1161" t="s">
        <v>1017</v>
      </c>
      <c r="C1161" t="s">
        <v>215</v>
      </c>
      <c r="D1161" t="s">
        <v>1019</v>
      </c>
      <c r="E1161" t="str">
        <f>HYPERLINK("/pdf/2014_10.1145_2656434.2656448_Analysis_of_mobile_malware_based_on_user_awareness.pdf","open")</f>
        <v>open</v>
      </c>
      <c r="F1161" t="s">
        <v>7119</v>
      </c>
      <c r="G1161" t="s">
        <v>9318</v>
      </c>
      <c r="H1161" t="s">
        <v>9319</v>
      </c>
      <c r="I1161" t="s">
        <v>7172</v>
      </c>
    </row>
    <row r="1162" spans="1:9" x14ac:dyDescent="0.2">
      <c r="A1162" t="s">
        <v>1016</v>
      </c>
      <c r="B1162" t="s">
        <v>1017</v>
      </c>
      <c r="C1162" t="s">
        <v>215</v>
      </c>
      <c r="D1162" t="s">
        <v>1019</v>
      </c>
      <c r="E1162" t="str">
        <f>HYPERLINK("/pdf/2014_10.1145_2656434.2656448_Analysis_of_mobile_malware_based_on_user_awareness.pdf","open")</f>
        <v>open</v>
      </c>
      <c r="F1162" t="s">
        <v>7130</v>
      </c>
      <c r="G1162" t="s">
        <v>9106</v>
      </c>
      <c r="I1162" t="s">
        <v>9320</v>
      </c>
    </row>
    <row r="1163" spans="1:9" x14ac:dyDescent="0.2">
      <c r="A1163" t="s">
        <v>1021</v>
      </c>
      <c r="B1163" t="s">
        <v>1022</v>
      </c>
      <c r="C1163" t="s">
        <v>12</v>
      </c>
      <c r="D1163" t="s">
        <v>1024</v>
      </c>
      <c r="E1163" t="str">
        <f>HYPERLINK("/pdf/2018_10_1109_noms_2018_8406122_synaptic_a_formal_checker_for_sdn_based_security_policies.pdf","open")</f>
        <v>open</v>
      </c>
      <c r="F1163" t="s">
        <v>7119</v>
      </c>
      <c r="G1163" t="s">
        <v>9321</v>
      </c>
      <c r="H1163" t="s">
        <v>9322</v>
      </c>
      <c r="I1163" t="s">
        <v>9323</v>
      </c>
    </row>
    <row r="1164" spans="1:9" x14ac:dyDescent="0.2">
      <c r="A1164" t="s">
        <v>1021</v>
      </c>
      <c r="B1164" t="s">
        <v>1022</v>
      </c>
      <c r="C1164" t="s">
        <v>12</v>
      </c>
      <c r="D1164" t="s">
        <v>1024</v>
      </c>
      <c r="E1164" t="str">
        <f>HYPERLINK("/pdf/2018_10_1109_noms_2018_8406122_synaptic_a_formal_checker_for_sdn_based_security_policies.pdf","open")</f>
        <v>open</v>
      </c>
      <c r="F1164" t="s">
        <v>7130</v>
      </c>
      <c r="G1164" t="s">
        <v>1578</v>
      </c>
      <c r="I1164" t="s">
        <v>7709</v>
      </c>
    </row>
    <row r="1165" spans="1:9" x14ac:dyDescent="0.2">
      <c r="A1165" t="s">
        <v>1021</v>
      </c>
      <c r="B1165" t="s">
        <v>1022</v>
      </c>
      <c r="C1165" t="s">
        <v>12</v>
      </c>
      <c r="D1165" t="s">
        <v>1024</v>
      </c>
      <c r="E1165" t="str">
        <f>HYPERLINK("/pdf/2018_10_1109_noms_2018_8406122_synaptic_a_formal_checker_for_sdn_based_security_policies.pdf","open")</f>
        <v>open</v>
      </c>
      <c r="F1165" t="s">
        <v>7130</v>
      </c>
      <c r="G1165" t="s">
        <v>1597</v>
      </c>
      <c r="I1165" t="s">
        <v>9324</v>
      </c>
    </row>
    <row r="1166" spans="1:9" x14ac:dyDescent="0.2">
      <c r="A1166" t="s">
        <v>1026</v>
      </c>
      <c r="B1166" t="s">
        <v>1027</v>
      </c>
      <c r="C1166" t="s">
        <v>136</v>
      </c>
      <c r="D1166" t="s">
        <v>148</v>
      </c>
      <c r="E1166" t="str">
        <f>HYPERLINK("/pdf/2019_Automated_factorization_of_security_chains_in_software-defined_networks.pdf","open")</f>
        <v>open</v>
      </c>
      <c r="F1166" t="s">
        <v>7119</v>
      </c>
      <c r="G1166" t="s">
        <v>9325</v>
      </c>
      <c r="H1166" t="s">
        <v>9326</v>
      </c>
      <c r="I1166" t="s">
        <v>7307</v>
      </c>
    </row>
    <row r="1167" spans="1:9" x14ac:dyDescent="0.2">
      <c r="A1167" t="s">
        <v>1026</v>
      </c>
      <c r="B1167" t="s">
        <v>1027</v>
      </c>
      <c r="C1167" t="s">
        <v>136</v>
      </c>
      <c r="D1167" t="s">
        <v>148</v>
      </c>
      <c r="E1167" t="str">
        <f>HYPERLINK("/pdf/2019_Automated_factorization_of_security_chains_in_software-defined_networks.pdf","open")</f>
        <v>open</v>
      </c>
      <c r="F1167" t="s">
        <v>7119</v>
      </c>
      <c r="G1167" t="s">
        <v>9327</v>
      </c>
      <c r="H1167" t="s">
        <v>9328</v>
      </c>
      <c r="I1167" t="s">
        <v>9329</v>
      </c>
    </row>
    <row r="1168" spans="1:9" x14ac:dyDescent="0.2">
      <c r="A1168" t="s">
        <v>1026</v>
      </c>
      <c r="B1168" t="s">
        <v>1027</v>
      </c>
      <c r="C1168" t="s">
        <v>136</v>
      </c>
      <c r="D1168" t="s">
        <v>148</v>
      </c>
      <c r="E1168" t="str">
        <f>HYPERLINK("/pdf/2019_Automated_factorization_of_security_chains_in_software-defined_networks.pdf","open")</f>
        <v>open</v>
      </c>
      <c r="F1168" t="s">
        <v>7130</v>
      </c>
      <c r="G1168" t="s">
        <v>1575</v>
      </c>
      <c r="I1168" t="s">
        <v>9330</v>
      </c>
    </row>
    <row r="1169" spans="1:9" x14ac:dyDescent="0.2">
      <c r="A1169" t="s">
        <v>1026</v>
      </c>
      <c r="B1169" t="s">
        <v>1027</v>
      </c>
      <c r="C1169" t="s">
        <v>136</v>
      </c>
      <c r="D1169" t="s">
        <v>148</v>
      </c>
      <c r="E1169" t="str">
        <f>HYPERLINK("/pdf/2019_Automated_factorization_of_security_chains_in_software-defined_networks.pdf","open")</f>
        <v>open</v>
      </c>
      <c r="F1169" t="s">
        <v>7130</v>
      </c>
      <c r="G1169" t="s">
        <v>1584</v>
      </c>
      <c r="I1169" t="s">
        <v>9331</v>
      </c>
    </row>
    <row r="1170" spans="1:9" x14ac:dyDescent="0.2">
      <c r="A1170" t="s">
        <v>1030</v>
      </c>
      <c r="B1170" t="s">
        <v>1031</v>
      </c>
      <c r="C1170" t="s">
        <v>100</v>
      </c>
      <c r="D1170" t="s">
        <v>148</v>
      </c>
      <c r="E1170" t="str">
        <f>HYPERLINK("/pdf/2023_10_1109_icc45041_2023_10278951_a_lightweight_moving_target_defense_framework_for_multi_purpose_malware_affecting_iot_devi.pdf","open")</f>
        <v>open</v>
      </c>
      <c r="F1170" t="s">
        <v>7119</v>
      </c>
      <c r="G1170" t="s">
        <v>9332</v>
      </c>
      <c r="H1170" t="s">
        <v>9333</v>
      </c>
      <c r="I1170" t="s">
        <v>8684</v>
      </c>
    </row>
    <row r="1171" spans="1:9" x14ac:dyDescent="0.2">
      <c r="A1171" t="s">
        <v>1030</v>
      </c>
      <c r="B1171" t="s">
        <v>1031</v>
      </c>
      <c r="C1171" t="s">
        <v>100</v>
      </c>
      <c r="D1171" t="s">
        <v>148</v>
      </c>
      <c r="E1171" t="str">
        <f>HYPERLINK("/pdf/2023_10_1109_icc45041_2023_10278951_a_lightweight_moving_target_defense_framework_for_multi_purpose_malware_affecting_iot_devi.pdf","open")</f>
        <v>open</v>
      </c>
      <c r="F1171" t="s">
        <v>7119</v>
      </c>
      <c r="G1171" t="s">
        <v>9334</v>
      </c>
      <c r="H1171" t="s">
        <v>9335</v>
      </c>
      <c r="I1171" t="s">
        <v>8684</v>
      </c>
    </row>
    <row r="1172" spans="1:9" x14ac:dyDescent="0.2">
      <c r="A1172" t="s">
        <v>1030</v>
      </c>
      <c r="B1172" t="s">
        <v>1031</v>
      </c>
      <c r="C1172" t="s">
        <v>100</v>
      </c>
      <c r="D1172" t="s">
        <v>148</v>
      </c>
      <c r="E1172" t="str">
        <f>HYPERLINK("/pdf/2023_10_1109_icc45041_2023_10278951_a_lightweight_moving_target_defense_framework_for_multi_purpose_malware_affecting_iot_devi.pdf","open")</f>
        <v>open</v>
      </c>
      <c r="F1172" t="s">
        <v>7119</v>
      </c>
      <c r="G1172" t="s">
        <v>9336</v>
      </c>
      <c r="H1172" t="s">
        <v>9337</v>
      </c>
      <c r="I1172" t="s">
        <v>7310</v>
      </c>
    </row>
    <row r="1173" spans="1:9" x14ac:dyDescent="0.2">
      <c r="A1173" t="s">
        <v>1030</v>
      </c>
      <c r="B1173" t="s">
        <v>1031</v>
      </c>
      <c r="C1173" t="s">
        <v>100</v>
      </c>
      <c r="D1173" t="s">
        <v>148</v>
      </c>
      <c r="E1173" t="str">
        <f>HYPERLINK("/pdf/2023_10_1109_icc45041_2023_10278951_a_lightweight_moving_target_defense_framework_for_multi_purpose_malware_affecting_iot_devi.pdf","open")</f>
        <v>open</v>
      </c>
      <c r="F1173" t="s">
        <v>7130</v>
      </c>
      <c r="G1173" t="s">
        <v>1584</v>
      </c>
      <c r="I1173" t="s">
        <v>9338</v>
      </c>
    </row>
    <row r="1174" spans="1:9" x14ac:dyDescent="0.2">
      <c r="A1174" t="s">
        <v>1030</v>
      </c>
      <c r="B1174" t="s">
        <v>1031</v>
      </c>
      <c r="C1174" t="s">
        <v>100</v>
      </c>
      <c r="D1174" t="s">
        <v>148</v>
      </c>
      <c r="E1174" t="str">
        <f>HYPERLINK("/pdf/2023_10_1109_icc45041_2023_10278951_a_lightweight_moving_target_defense_framework_for_multi_purpose_malware_affecting_iot_devi.pdf","open")</f>
        <v>open</v>
      </c>
      <c r="F1174" t="s">
        <v>7130</v>
      </c>
      <c r="G1174" t="s">
        <v>1597</v>
      </c>
      <c r="I1174" t="s">
        <v>9339</v>
      </c>
    </row>
    <row r="1175" spans="1:9" x14ac:dyDescent="0.2">
      <c r="A1175" t="s">
        <v>1033</v>
      </c>
      <c r="B1175" t="s">
        <v>1034</v>
      </c>
      <c r="C1175" t="s">
        <v>100</v>
      </c>
      <c r="D1175" t="s">
        <v>1036</v>
      </c>
      <c r="E1175" t="str">
        <f>HYPERLINK("/pdf/2022_10.1016_j.knosys.2022.109557_A_FKPCA-GWO_WDBiLSTM_classifier_for_intrusion_detection_system_in_cloud_environments.pdf","open")</f>
        <v>open</v>
      </c>
      <c r="F1175" t="s">
        <v>7119</v>
      </c>
      <c r="G1175" t="s">
        <v>9340</v>
      </c>
      <c r="H1175" t="s">
        <v>9341</v>
      </c>
      <c r="I1175" t="s">
        <v>9342</v>
      </c>
    </row>
    <row r="1176" spans="1:9" x14ac:dyDescent="0.2">
      <c r="A1176" t="s">
        <v>1033</v>
      </c>
      <c r="B1176" t="s">
        <v>1034</v>
      </c>
      <c r="C1176" t="s">
        <v>100</v>
      </c>
      <c r="D1176" t="s">
        <v>1036</v>
      </c>
      <c r="E1176" t="str">
        <f>HYPERLINK("/pdf/2022_10.1016_j.knosys.2022.109557_A_FKPCA-GWO_WDBiLSTM_classifier_for_intrusion_detection_system_in_cloud_environments.pdf","open")</f>
        <v>open</v>
      </c>
      <c r="F1176" t="s">
        <v>7119</v>
      </c>
      <c r="G1176" t="s">
        <v>9343</v>
      </c>
      <c r="H1176" t="s">
        <v>9344</v>
      </c>
      <c r="I1176" t="s">
        <v>9342</v>
      </c>
    </row>
    <row r="1177" spans="1:9" x14ac:dyDescent="0.2">
      <c r="A1177" t="s">
        <v>1033</v>
      </c>
      <c r="B1177" t="s">
        <v>1034</v>
      </c>
      <c r="C1177" t="s">
        <v>100</v>
      </c>
      <c r="D1177" t="s">
        <v>1036</v>
      </c>
      <c r="E1177" t="str">
        <f>HYPERLINK("/pdf/2022_10.1016_j.knosys.2022.109557_A_FKPCA-GWO_WDBiLSTM_classifier_for_intrusion_detection_system_in_cloud_environments.pdf","open")</f>
        <v>open</v>
      </c>
      <c r="F1177" t="s">
        <v>7119</v>
      </c>
      <c r="G1177" t="s">
        <v>7131</v>
      </c>
      <c r="H1177" t="s">
        <v>6592</v>
      </c>
      <c r="I1177" t="s">
        <v>9030</v>
      </c>
    </row>
    <row r="1178" spans="1:9" x14ac:dyDescent="0.2">
      <c r="A1178" t="s">
        <v>1033</v>
      </c>
      <c r="B1178" t="s">
        <v>1034</v>
      </c>
      <c r="C1178" t="s">
        <v>100</v>
      </c>
      <c r="D1178" t="s">
        <v>1036</v>
      </c>
      <c r="E1178" t="str">
        <f>HYPERLINK("/pdf/2022_10.1016_j.knosys.2022.109557_A_FKPCA-GWO_WDBiLSTM_classifier_for_intrusion_detection_system_in_cloud_environments.pdf","open")</f>
        <v>open</v>
      </c>
      <c r="F1178" t="s">
        <v>7130</v>
      </c>
      <c r="G1178" t="s">
        <v>1584</v>
      </c>
      <c r="I1178" t="s">
        <v>9345</v>
      </c>
    </row>
    <row r="1179" spans="1:9" x14ac:dyDescent="0.2">
      <c r="A1179" t="s">
        <v>1033</v>
      </c>
      <c r="B1179" t="s">
        <v>1034</v>
      </c>
      <c r="C1179" t="s">
        <v>100</v>
      </c>
      <c r="D1179" t="s">
        <v>1036</v>
      </c>
      <c r="E1179" t="str">
        <f>HYPERLINK("/pdf/2022_10.1016_j.knosys.2022.109557_A_FKPCA-GWO_WDBiLSTM_classifier_for_intrusion_detection_system_in_cloud_environments.pdf","open")</f>
        <v>open</v>
      </c>
      <c r="F1179" t="s">
        <v>7130</v>
      </c>
      <c r="G1179" t="s">
        <v>1592</v>
      </c>
      <c r="I1179" t="s">
        <v>9345</v>
      </c>
    </row>
    <row r="1180" spans="1:9" x14ac:dyDescent="0.2">
      <c r="A1180" t="s">
        <v>1038</v>
      </c>
      <c r="B1180" t="s">
        <v>1039</v>
      </c>
      <c r="C1180" t="s">
        <v>268</v>
      </c>
      <c r="D1180" t="s">
        <v>148</v>
      </c>
      <c r="E1180" t="str">
        <f>HYPERLINK("/pdf/2010_10.1109_glocom.2010.5683165_Skip_finite_automaton__A_content_scanning_engine_to_secure_enterprise_networks.pdf","open")</f>
        <v>open</v>
      </c>
      <c r="F1180" t="s">
        <v>7119</v>
      </c>
      <c r="G1180" t="s">
        <v>9346</v>
      </c>
      <c r="H1180" t="s">
        <v>9347</v>
      </c>
      <c r="I1180" t="s">
        <v>8225</v>
      </c>
    </row>
    <row r="1181" spans="1:9" x14ac:dyDescent="0.2">
      <c r="A1181" t="s">
        <v>1038</v>
      </c>
      <c r="B1181" t="s">
        <v>1039</v>
      </c>
      <c r="C1181" t="s">
        <v>268</v>
      </c>
      <c r="D1181" t="s">
        <v>148</v>
      </c>
      <c r="E1181" t="str">
        <f>HYPERLINK("/pdf/2010_10.1109_glocom.2010.5683165_Skip_finite_automaton__A_content_scanning_engine_to_secure_enterprise_networks.pdf","open")</f>
        <v>open</v>
      </c>
      <c r="F1181" t="s">
        <v>7119</v>
      </c>
      <c r="G1181" t="s">
        <v>9348</v>
      </c>
      <c r="H1181" t="s">
        <v>9349</v>
      </c>
      <c r="I1181" t="s">
        <v>7151</v>
      </c>
    </row>
    <row r="1182" spans="1:9" x14ac:dyDescent="0.2">
      <c r="A1182" t="s">
        <v>1038</v>
      </c>
      <c r="B1182" t="s">
        <v>1039</v>
      </c>
      <c r="C1182" t="s">
        <v>268</v>
      </c>
      <c r="D1182" t="s">
        <v>148</v>
      </c>
      <c r="E1182" t="str">
        <f>HYPERLINK("/pdf/2010_10.1109_glocom.2010.5683165_Skip_finite_automaton__A_content_scanning_engine_to_secure_enterprise_networks.pdf","open")</f>
        <v>open</v>
      </c>
      <c r="F1182" t="s">
        <v>7130</v>
      </c>
      <c r="G1182" t="s">
        <v>1597</v>
      </c>
      <c r="I1182" t="s">
        <v>9350</v>
      </c>
    </row>
    <row r="1183" spans="1:9" x14ac:dyDescent="0.2">
      <c r="A1183" t="s">
        <v>1042</v>
      </c>
      <c r="B1183" t="s">
        <v>1043</v>
      </c>
      <c r="C1183" t="s">
        <v>210</v>
      </c>
      <c r="D1183" t="s">
        <v>148</v>
      </c>
      <c r="E1183" t="str">
        <f>HYPERLINK("/pdf/2016_10.1007_978-981-10-0557-2_68_Android_security_analysis_based_on_inter-application_relationships.pdf","open")</f>
        <v>open</v>
      </c>
      <c r="F1183" t="s">
        <v>7119</v>
      </c>
      <c r="G1183" t="s">
        <v>9351</v>
      </c>
      <c r="H1183" t="s">
        <v>9352</v>
      </c>
      <c r="I1183" t="s">
        <v>7178</v>
      </c>
    </row>
    <row r="1184" spans="1:9" x14ac:dyDescent="0.2">
      <c r="A1184" t="s">
        <v>1042</v>
      </c>
      <c r="B1184" t="s">
        <v>1043</v>
      </c>
      <c r="C1184" t="s">
        <v>210</v>
      </c>
      <c r="D1184" t="s">
        <v>148</v>
      </c>
      <c r="E1184" t="str">
        <f>HYPERLINK("/pdf/2016_10.1007_978-981-10-0557-2_68_Android_security_analysis_based_on_inter-application_relationships.pdf","open")</f>
        <v>open</v>
      </c>
      <c r="F1184" t="s">
        <v>7119</v>
      </c>
      <c r="G1184" t="s">
        <v>9353</v>
      </c>
      <c r="H1184" t="s">
        <v>9354</v>
      </c>
      <c r="I1184" t="s">
        <v>9355</v>
      </c>
    </row>
    <row r="1185" spans="1:9" x14ac:dyDescent="0.2">
      <c r="A1185" t="s">
        <v>1042</v>
      </c>
      <c r="B1185" t="s">
        <v>1043</v>
      </c>
      <c r="C1185" t="s">
        <v>210</v>
      </c>
      <c r="D1185" t="s">
        <v>148</v>
      </c>
      <c r="E1185" t="str">
        <f>HYPERLINK("/pdf/2016_10.1007_978-981-10-0557-2_68_Android_security_analysis_based_on_inter-application_relationships.pdf","open")</f>
        <v>open</v>
      </c>
      <c r="F1185" t="s">
        <v>7130</v>
      </c>
      <c r="G1185" t="s">
        <v>1572</v>
      </c>
      <c r="I1185" t="s">
        <v>9356</v>
      </c>
    </row>
    <row r="1186" spans="1:9" x14ac:dyDescent="0.2">
      <c r="A1186" t="s">
        <v>1042</v>
      </c>
      <c r="B1186" t="s">
        <v>1043</v>
      </c>
      <c r="C1186" t="s">
        <v>210</v>
      </c>
      <c r="D1186" t="s">
        <v>148</v>
      </c>
      <c r="E1186" t="str">
        <f>HYPERLINK("/pdf/2016_10.1007_978-981-10-0557-2_68_Android_security_analysis_based_on_inter-application_relationships.pdf","open")</f>
        <v>open</v>
      </c>
      <c r="F1186" t="s">
        <v>7130</v>
      </c>
      <c r="G1186" t="s">
        <v>5650</v>
      </c>
      <c r="I1186" t="s">
        <v>9355</v>
      </c>
    </row>
    <row r="1187" spans="1:9" x14ac:dyDescent="0.2">
      <c r="A1187" t="s">
        <v>1046</v>
      </c>
      <c r="B1187" t="s">
        <v>1047</v>
      </c>
      <c r="C1187" t="s">
        <v>25</v>
      </c>
      <c r="D1187" t="s">
        <v>148</v>
      </c>
      <c r="E1187" t="str">
        <f>HYPERLINK("/pdf/2023_10_1109_lanman58293_2023_10189424_federated_learning_based_vehicle_trajectory_prediction_against_cyberattacks.pdf","open")</f>
        <v>open</v>
      </c>
      <c r="F1187" t="s">
        <v>7119</v>
      </c>
      <c r="G1187" t="s">
        <v>9357</v>
      </c>
      <c r="H1187" t="s">
        <v>9358</v>
      </c>
      <c r="I1187" t="s">
        <v>9359</v>
      </c>
    </row>
    <row r="1188" spans="1:9" x14ac:dyDescent="0.2">
      <c r="A1188" t="s">
        <v>1046</v>
      </c>
      <c r="B1188" t="s">
        <v>1047</v>
      </c>
      <c r="C1188" t="s">
        <v>25</v>
      </c>
      <c r="D1188" t="s">
        <v>148</v>
      </c>
      <c r="E1188" t="str">
        <f>HYPERLINK("/pdf/2023_10_1109_lanman58293_2023_10189424_federated_learning_based_vehicle_trajectory_prediction_against_cyberattacks.pdf","open")</f>
        <v>open</v>
      </c>
      <c r="F1188" t="s">
        <v>7119</v>
      </c>
      <c r="G1188" t="s">
        <v>9360</v>
      </c>
      <c r="H1188" t="s">
        <v>6604</v>
      </c>
      <c r="I1188" t="s">
        <v>9298</v>
      </c>
    </row>
    <row r="1189" spans="1:9" x14ac:dyDescent="0.2">
      <c r="A1189" t="s">
        <v>1046</v>
      </c>
      <c r="B1189" t="s">
        <v>1047</v>
      </c>
      <c r="C1189" t="s">
        <v>25</v>
      </c>
      <c r="D1189" t="s">
        <v>148</v>
      </c>
      <c r="E1189" t="str">
        <f>HYPERLINK("/pdf/2023_10_1109_lanman58293_2023_10189424_federated_learning_based_vehicle_trajectory_prediction_against_cyberattacks.pdf","open")</f>
        <v>open</v>
      </c>
      <c r="F1189" t="s">
        <v>7130</v>
      </c>
      <c r="G1189" t="s">
        <v>8470</v>
      </c>
      <c r="I1189" t="s">
        <v>9361</v>
      </c>
    </row>
    <row r="1190" spans="1:9" x14ac:dyDescent="0.2">
      <c r="B1190" t="s">
        <v>1050</v>
      </c>
      <c r="C1190" t="s">
        <v>100</v>
      </c>
      <c r="D1190" t="s">
        <v>1052</v>
      </c>
      <c r="E1190" t="str">
        <f>HYPERLINK("/pdf/2022_10.1109_iccci55554.2022.9850265_Analyzing_SocialArks_Data_Leak_-_A_Brute_Force_Web_Login_Attack.pdf","open")</f>
        <v>open</v>
      </c>
      <c r="F1190" t="s">
        <v>7119</v>
      </c>
      <c r="G1190" t="s">
        <v>9362</v>
      </c>
      <c r="H1190" t="s">
        <v>9363</v>
      </c>
      <c r="I1190" t="s">
        <v>9364</v>
      </c>
    </row>
    <row r="1191" spans="1:9" x14ac:dyDescent="0.2">
      <c r="B1191" t="s">
        <v>1050</v>
      </c>
      <c r="C1191" t="s">
        <v>100</v>
      </c>
      <c r="D1191" t="s">
        <v>1052</v>
      </c>
      <c r="E1191" t="str">
        <f>HYPERLINK("/pdf/2022_10.1109_iccci55554.2022.9850265_Analyzing_SocialArks_Data_Leak_-_A_Brute_Force_Web_Login_Attack.pdf","open")</f>
        <v>open</v>
      </c>
      <c r="F1191" t="s">
        <v>7130</v>
      </c>
      <c r="G1191" t="s">
        <v>1573</v>
      </c>
      <c r="I1191" t="s">
        <v>9365</v>
      </c>
    </row>
    <row r="1192" spans="1:9" x14ac:dyDescent="0.2">
      <c r="A1192" t="s">
        <v>1054</v>
      </c>
      <c r="B1192" t="s">
        <v>1055</v>
      </c>
      <c r="C1192" t="s">
        <v>148</v>
      </c>
      <c r="D1192" t="s">
        <v>148</v>
      </c>
      <c r="E1192" t="str">
        <f>HYPERLINK("/pdf/2021_10.1049_icp.2021.2407_Management_Challenges_in_the_Implementation_of_an_Email_Boundary_Control_for_Data_Leakage_Prevention.pdf","open")</f>
        <v>open</v>
      </c>
      <c r="F1192" t="s">
        <v>7119</v>
      </c>
      <c r="G1192" t="s">
        <v>9366</v>
      </c>
      <c r="H1192" t="s">
        <v>9367</v>
      </c>
      <c r="I1192" t="s">
        <v>9368</v>
      </c>
    </row>
    <row r="1193" spans="1:9" x14ac:dyDescent="0.2">
      <c r="A1193" t="s">
        <v>1054</v>
      </c>
      <c r="B1193" t="s">
        <v>1055</v>
      </c>
      <c r="C1193" t="s">
        <v>148</v>
      </c>
      <c r="D1193" t="s">
        <v>148</v>
      </c>
      <c r="E1193" t="str">
        <f>HYPERLINK("/pdf/2021_10.1049_icp.2021.2407_Management_Challenges_in_the_Implementation_of_an_Email_Boundary_Control_for_Data_Leakage_Prevention.pdf","open")</f>
        <v>open</v>
      </c>
      <c r="F1193" t="s">
        <v>7119</v>
      </c>
      <c r="G1193" t="s">
        <v>9369</v>
      </c>
      <c r="H1193" t="s">
        <v>9370</v>
      </c>
      <c r="I1193" t="s">
        <v>7151</v>
      </c>
    </row>
    <row r="1194" spans="1:9" x14ac:dyDescent="0.2">
      <c r="A1194" t="s">
        <v>1054</v>
      </c>
      <c r="B1194" t="s">
        <v>1055</v>
      </c>
      <c r="C1194" t="s">
        <v>148</v>
      </c>
      <c r="D1194" t="s">
        <v>148</v>
      </c>
      <c r="E1194" t="str">
        <f>HYPERLINK("/pdf/2021_10.1049_icp.2021.2407_Management_Challenges_in_the_Implementation_of_an_Email_Boundary_Control_for_Data_Leakage_Prevention.pdf","open")</f>
        <v>open</v>
      </c>
      <c r="F1194" t="s">
        <v>7130</v>
      </c>
      <c r="G1194" t="s">
        <v>1571</v>
      </c>
      <c r="I1194" t="s">
        <v>9371</v>
      </c>
    </row>
    <row r="1195" spans="1:9" x14ac:dyDescent="0.2">
      <c r="A1195" t="s">
        <v>1057</v>
      </c>
      <c r="B1195" t="s">
        <v>1058</v>
      </c>
      <c r="C1195" t="s">
        <v>19</v>
      </c>
      <c r="D1195" t="s">
        <v>1060</v>
      </c>
      <c r="E1195" t="str">
        <f>HYPERLINK("/pdf/2025_10.1016_j.eij.2025.100684_Towards_lightweight_model_using_non-local-based_graph_convolution_neural_network_for_SQL_injection_detection.pdf","open")</f>
        <v>open</v>
      </c>
      <c r="F1195" t="s">
        <v>7119</v>
      </c>
      <c r="G1195" t="s">
        <v>9372</v>
      </c>
      <c r="H1195" t="s">
        <v>9373</v>
      </c>
      <c r="I1195" t="s">
        <v>9374</v>
      </c>
    </row>
    <row r="1196" spans="1:9" x14ac:dyDescent="0.2">
      <c r="A1196" t="s">
        <v>1057</v>
      </c>
      <c r="B1196" t="s">
        <v>1058</v>
      </c>
      <c r="C1196" t="s">
        <v>19</v>
      </c>
      <c r="D1196" t="s">
        <v>1060</v>
      </c>
      <c r="E1196" t="str">
        <f>HYPERLINK("/pdf/2025_10.1016_j.eij.2025.100684_Towards_lightweight_model_using_non-local-based_graph_convolution_neural_network_for_SQL_injection_detection.pdf","open")</f>
        <v>open</v>
      </c>
      <c r="F1196" t="s">
        <v>7119</v>
      </c>
      <c r="G1196" t="s">
        <v>9375</v>
      </c>
      <c r="H1196" t="s">
        <v>9376</v>
      </c>
      <c r="I1196" t="s">
        <v>9377</v>
      </c>
    </row>
    <row r="1197" spans="1:9" x14ac:dyDescent="0.2">
      <c r="A1197" t="s">
        <v>1057</v>
      </c>
      <c r="B1197" t="s">
        <v>1058</v>
      </c>
      <c r="C1197" t="s">
        <v>19</v>
      </c>
      <c r="D1197" t="s">
        <v>1060</v>
      </c>
      <c r="E1197" t="str">
        <f>HYPERLINK("/pdf/2025_10.1016_j.eij.2025.100684_Towards_lightweight_model_using_non-local-based_graph_convolution_neural_network_for_SQL_injection_detection.pdf","open")</f>
        <v>open</v>
      </c>
      <c r="F1197" t="s">
        <v>7130</v>
      </c>
      <c r="G1197" t="s">
        <v>1584</v>
      </c>
      <c r="I1197" t="s">
        <v>9378</v>
      </c>
    </row>
    <row r="1198" spans="1:9" x14ac:dyDescent="0.2">
      <c r="A1198" t="s">
        <v>1057</v>
      </c>
      <c r="B1198" t="s">
        <v>1058</v>
      </c>
      <c r="C1198" t="s">
        <v>19</v>
      </c>
      <c r="D1198" t="s">
        <v>1060</v>
      </c>
      <c r="E1198" t="str">
        <f>HYPERLINK("/pdf/2025_10.1016_j.eij.2025.100684_Towards_lightweight_model_using_non-local-based_graph_convolution_neural_network_for_SQL_injection_detection.pdf","open")</f>
        <v>open</v>
      </c>
      <c r="F1198" t="s">
        <v>7130</v>
      </c>
      <c r="G1198" t="s">
        <v>1597</v>
      </c>
      <c r="I1198" t="s">
        <v>9379</v>
      </c>
    </row>
    <row r="1199" spans="1:9" x14ac:dyDescent="0.2">
      <c r="A1199" t="s">
        <v>1062</v>
      </c>
      <c r="B1199" t="s">
        <v>1063</v>
      </c>
      <c r="C1199" t="s">
        <v>54</v>
      </c>
      <c r="D1199" t="s">
        <v>1065</v>
      </c>
      <c r="E1199" t="str">
        <f>HYPERLINK("/pdf/2020_10.1109_bigdia51454.2020.00035_Analyzing_network_traffic_for_protocol_identification__An_ensemble_online_active_learning_method.pdf","open")</f>
        <v>open</v>
      </c>
      <c r="F1199" t="s">
        <v>7119</v>
      </c>
      <c r="G1199" t="s">
        <v>9380</v>
      </c>
      <c r="H1199" t="s">
        <v>9381</v>
      </c>
      <c r="I1199" t="s">
        <v>9382</v>
      </c>
    </row>
    <row r="1200" spans="1:9" x14ac:dyDescent="0.2">
      <c r="A1200" t="s">
        <v>1062</v>
      </c>
      <c r="B1200" t="s">
        <v>1063</v>
      </c>
      <c r="C1200" t="s">
        <v>54</v>
      </c>
      <c r="D1200" t="s">
        <v>1065</v>
      </c>
      <c r="E1200" t="str">
        <f>HYPERLINK("/pdf/2020_10.1109_bigdia51454.2020.00035_Analyzing_network_traffic_for_protocol_identification__An_ensemble_online_active_learning_method.pdf","open")</f>
        <v>open</v>
      </c>
      <c r="F1200" t="s">
        <v>7119</v>
      </c>
      <c r="G1200" t="s">
        <v>9383</v>
      </c>
      <c r="H1200" t="s">
        <v>9384</v>
      </c>
      <c r="I1200" t="s">
        <v>9385</v>
      </c>
    </row>
    <row r="1201" spans="1:9" x14ac:dyDescent="0.2">
      <c r="A1201" t="s">
        <v>1062</v>
      </c>
      <c r="B1201" t="s">
        <v>1063</v>
      </c>
      <c r="C1201" t="s">
        <v>54</v>
      </c>
      <c r="D1201" t="s">
        <v>1065</v>
      </c>
      <c r="E1201" t="str">
        <f>HYPERLINK("/pdf/2020_10.1109_bigdia51454.2020.00035_Analyzing_network_traffic_for_protocol_identification__An_ensemble_online_active_learning_method.pdf","open")</f>
        <v>open</v>
      </c>
      <c r="F1201" t="s">
        <v>7130</v>
      </c>
      <c r="G1201" t="s">
        <v>9386</v>
      </c>
      <c r="I1201" t="s">
        <v>9387</v>
      </c>
    </row>
    <row r="1202" spans="1:9" x14ac:dyDescent="0.2">
      <c r="A1202" t="s">
        <v>1062</v>
      </c>
      <c r="B1202" t="s">
        <v>1063</v>
      </c>
      <c r="C1202" t="s">
        <v>54</v>
      </c>
      <c r="D1202" t="s">
        <v>1065</v>
      </c>
      <c r="E1202" t="str">
        <f>HYPERLINK("/pdf/2020_10.1109_bigdia51454.2020.00035_Analyzing_network_traffic_for_protocol_identification__An_ensemble_online_active_learning_method.pdf","open")</f>
        <v>open</v>
      </c>
      <c r="F1202" t="s">
        <v>7130</v>
      </c>
      <c r="G1202" t="s">
        <v>9388</v>
      </c>
      <c r="I1202" t="s">
        <v>9389</v>
      </c>
    </row>
    <row r="1203" spans="1:9" x14ac:dyDescent="0.2">
      <c r="A1203" t="s">
        <v>1067</v>
      </c>
      <c r="B1203" t="s">
        <v>1068</v>
      </c>
      <c r="C1203" t="s">
        <v>363</v>
      </c>
      <c r="D1203" t="s">
        <v>1070</v>
      </c>
      <c r="E1203" t="str">
        <f>HYPERLINK("/pdf/2016_10.1145_2995959.2995967_Pragmatic_security__Modelling_it_security_management_responsibilities_for_SME_archetypes.pdf","open")</f>
        <v>open</v>
      </c>
      <c r="F1203" t="s">
        <v>7119</v>
      </c>
      <c r="G1203" t="s">
        <v>9390</v>
      </c>
      <c r="H1203" t="s">
        <v>9391</v>
      </c>
      <c r="I1203" t="s">
        <v>9392</v>
      </c>
    </row>
    <row r="1204" spans="1:9" x14ac:dyDescent="0.2">
      <c r="A1204" t="s">
        <v>1067</v>
      </c>
      <c r="B1204" t="s">
        <v>1068</v>
      </c>
      <c r="C1204" t="s">
        <v>363</v>
      </c>
      <c r="D1204" t="s">
        <v>1070</v>
      </c>
      <c r="E1204" t="str">
        <f>HYPERLINK("/pdf/2016_10.1145_2995959.2995967_Pragmatic_security__Modelling_it_security_management_responsibilities_for_SME_archetypes.pdf","open")</f>
        <v>open</v>
      </c>
      <c r="F1204" t="s">
        <v>7119</v>
      </c>
      <c r="G1204" t="s">
        <v>9393</v>
      </c>
      <c r="H1204" t="s">
        <v>9394</v>
      </c>
      <c r="I1204" t="s">
        <v>9395</v>
      </c>
    </row>
    <row r="1205" spans="1:9" x14ac:dyDescent="0.2">
      <c r="A1205" t="s">
        <v>1067</v>
      </c>
      <c r="B1205" t="s">
        <v>1068</v>
      </c>
      <c r="C1205" t="s">
        <v>363</v>
      </c>
      <c r="D1205" t="s">
        <v>1070</v>
      </c>
      <c r="E1205" t="str">
        <f>HYPERLINK("/pdf/2016_10.1145_2995959.2995967_Pragmatic_security__Modelling_it_security_management_responsibilities_for_SME_archetypes.pdf","open")</f>
        <v>open</v>
      </c>
      <c r="F1205" t="s">
        <v>7119</v>
      </c>
      <c r="G1205" t="s">
        <v>9396</v>
      </c>
      <c r="H1205" t="s">
        <v>9397</v>
      </c>
      <c r="I1205" t="s">
        <v>9398</v>
      </c>
    </row>
    <row r="1206" spans="1:9" x14ac:dyDescent="0.2">
      <c r="A1206" t="s">
        <v>1067</v>
      </c>
      <c r="B1206" t="s">
        <v>1068</v>
      </c>
      <c r="C1206" t="s">
        <v>363</v>
      </c>
      <c r="D1206" t="s">
        <v>1070</v>
      </c>
      <c r="E1206" t="str">
        <f>HYPERLINK("/pdf/2016_10.1145_2995959.2995967_Pragmatic_security__Modelling_it_security_management_responsibilities_for_SME_archetypes.pdf","open")</f>
        <v>open</v>
      </c>
      <c r="F1206" t="s">
        <v>7130</v>
      </c>
      <c r="G1206" t="s">
        <v>1573</v>
      </c>
      <c r="I1206" t="s">
        <v>9399</v>
      </c>
    </row>
    <row r="1207" spans="1:9" x14ac:dyDescent="0.2">
      <c r="A1207" t="s">
        <v>1067</v>
      </c>
      <c r="B1207" t="s">
        <v>1068</v>
      </c>
      <c r="C1207" t="s">
        <v>363</v>
      </c>
      <c r="D1207" t="s">
        <v>1070</v>
      </c>
      <c r="E1207" t="str">
        <f>HYPERLINK("/pdf/2016_10.1145_2995959.2995967_Pragmatic_security__Modelling_it_security_management_responsibilities_for_SME_archetypes.pdf","open")</f>
        <v>open</v>
      </c>
      <c r="F1207" t="s">
        <v>7130</v>
      </c>
      <c r="G1207" t="s">
        <v>1594</v>
      </c>
      <c r="I1207" t="s">
        <v>9400</v>
      </c>
    </row>
    <row r="1208" spans="1:9" x14ac:dyDescent="0.2">
      <c r="A1208" t="s">
        <v>538</v>
      </c>
      <c r="B1208" t="s">
        <v>536</v>
      </c>
      <c r="C1208" t="s">
        <v>25</v>
      </c>
      <c r="D1208" t="s">
        <v>538</v>
      </c>
      <c r="E1208" t="str">
        <f>HYPERLINK("/pdf/2023_10_32604_cmes_2023_044169_enhancing_healthcare_data_security_and_disease_detection_using_crossover_based_multilayer.pdf","open")</f>
        <v>open</v>
      </c>
      <c r="F1208" t="s">
        <v>7119</v>
      </c>
      <c r="G1208" t="s">
        <v>9401</v>
      </c>
      <c r="H1208" t="s">
        <v>9402</v>
      </c>
      <c r="I1208" t="s">
        <v>9154</v>
      </c>
    </row>
    <row r="1209" spans="1:9" x14ac:dyDescent="0.2">
      <c r="A1209" t="s">
        <v>538</v>
      </c>
      <c r="B1209" t="s">
        <v>536</v>
      </c>
      <c r="C1209" t="s">
        <v>25</v>
      </c>
      <c r="D1209" t="s">
        <v>538</v>
      </c>
      <c r="E1209" t="str">
        <f>HYPERLINK("/pdf/2023_10_32604_cmes_2023_044169_enhancing_healthcare_data_security_and_disease_detection_using_crossover_based_multilayer.pdf","open")</f>
        <v>open</v>
      </c>
      <c r="F1209" t="s">
        <v>7119</v>
      </c>
      <c r="G1209" t="s">
        <v>9403</v>
      </c>
      <c r="H1209" t="s">
        <v>9404</v>
      </c>
      <c r="I1209" t="s">
        <v>9405</v>
      </c>
    </row>
    <row r="1210" spans="1:9" x14ac:dyDescent="0.2">
      <c r="A1210" t="s">
        <v>538</v>
      </c>
      <c r="B1210" t="s">
        <v>536</v>
      </c>
      <c r="C1210" t="s">
        <v>25</v>
      </c>
      <c r="D1210" t="s">
        <v>538</v>
      </c>
      <c r="E1210" t="str">
        <f>HYPERLINK("/pdf/2023_10_32604_cmes_2023_044169_enhancing_healthcare_data_security_and_disease_detection_using_crossover_based_multilayer.pdf","open")</f>
        <v>open</v>
      </c>
      <c r="F1210" t="s">
        <v>7130</v>
      </c>
      <c r="G1210" t="s">
        <v>1584</v>
      </c>
      <c r="I1210" t="s">
        <v>9406</v>
      </c>
    </row>
    <row r="1211" spans="1:9" x14ac:dyDescent="0.2">
      <c r="A1211" t="s">
        <v>538</v>
      </c>
      <c r="B1211" t="s">
        <v>536</v>
      </c>
      <c r="C1211" t="s">
        <v>25</v>
      </c>
      <c r="D1211" t="s">
        <v>538</v>
      </c>
      <c r="E1211" t="str">
        <f>HYPERLINK("/pdf/2023_10_32604_cmes_2023_044169_enhancing_healthcare_data_security_and_disease_detection_using_crossover_based_multilayer.pdf","open")</f>
        <v>open</v>
      </c>
      <c r="F1211" t="s">
        <v>7130</v>
      </c>
      <c r="G1211" t="s">
        <v>1597</v>
      </c>
      <c r="I1211" t="s">
        <v>9407</v>
      </c>
    </row>
    <row r="1212" spans="1:9" x14ac:dyDescent="0.2">
      <c r="A1212" t="s">
        <v>1073</v>
      </c>
      <c r="B1212" t="s">
        <v>1074</v>
      </c>
      <c r="C1212" t="s">
        <v>210</v>
      </c>
      <c r="D1212" t="s">
        <v>148</v>
      </c>
      <c r="E1212" t="str">
        <f>HYPERLINK("/pdf/2015_10.1109_icscn.2015.7219827_Complex_Event_Processing_based_Hybrid_Intrusion_Detection_System.pdf","open")</f>
        <v>open</v>
      </c>
      <c r="F1212" t="s">
        <v>7119</v>
      </c>
      <c r="G1212" t="s">
        <v>9408</v>
      </c>
      <c r="H1212" t="s">
        <v>9409</v>
      </c>
      <c r="I1212" t="s">
        <v>9410</v>
      </c>
    </row>
    <row r="1213" spans="1:9" x14ac:dyDescent="0.2">
      <c r="A1213" t="s">
        <v>1073</v>
      </c>
      <c r="B1213" t="s">
        <v>1074</v>
      </c>
      <c r="C1213" t="s">
        <v>210</v>
      </c>
      <c r="D1213" t="s">
        <v>148</v>
      </c>
      <c r="E1213" t="str">
        <f>HYPERLINK("/pdf/2015_10.1109_icscn.2015.7219827_Complex_Event_Processing_based_Hybrid_Intrusion_Detection_System.pdf","open")</f>
        <v>open</v>
      </c>
      <c r="F1213" t="s">
        <v>7119</v>
      </c>
      <c r="G1213" t="s">
        <v>9411</v>
      </c>
      <c r="H1213" t="s">
        <v>9412</v>
      </c>
      <c r="I1213" t="s">
        <v>9410</v>
      </c>
    </row>
    <row r="1214" spans="1:9" x14ac:dyDescent="0.2">
      <c r="A1214" t="s">
        <v>1073</v>
      </c>
      <c r="B1214" t="s">
        <v>1074</v>
      </c>
      <c r="C1214" t="s">
        <v>210</v>
      </c>
      <c r="D1214" t="s">
        <v>148</v>
      </c>
      <c r="E1214" t="str">
        <f>HYPERLINK("/pdf/2015_10.1109_icscn.2015.7219827_Complex_Event_Processing_based_Hybrid_Intrusion_Detection_System.pdf","open")</f>
        <v>open</v>
      </c>
      <c r="F1214" t="s">
        <v>7130</v>
      </c>
      <c r="G1214" t="s">
        <v>9413</v>
      </c>
      <c r="I1214" t="s">
        <v>9414</v>
      </c>
    </row>
    <row r="1215" spans="1:9" x14ac:dyDescent="0.2">
      <c r="A1215" t="s">
        <v>1077</v>
      </c>
      <c r="B1215" t="s">
        <v>1078</v>
      </c>
      <c r="C1215" t="s">
        <v>190</v>
      </c>
      <c r="D1215" t="s">
        <v>1080</v>
      </c>
      <c r="E1215" t="str">
        <f>HYPERLINK("/pdf/2017_10.1007_s11277-017-4229-9_The_Vulnerability_Exploitation_Conveying_Digital_Data_Over_Mobile_Voice_Call_Channels.pdf","open")</f>
        <v>open</v>
      </c>
      <c r="F1215" t="s">
        <v>7119</v>
      </c>
      <c r="G1215" t="s">
        <v>9415</v>
      </c>
      <c r="H1215" t="s">
        <v>9416</v>
      </c>
      <c r="I1215" t="s">
        <v>9417</v>
      </c>
    </row>
    <row r="1216" spans="1:9" x14ac:dyDescent="0.2">
      <c r="A1216" t="s">
        <v>1077</v>
      </c>
      <c r="B1216" t="s">
        <v>1078</v>
      </c>
      <c r="C1216" t="s">
        <v>190</v>
      </c>
      <c r="D1216" t="s">
        <v>1080</v>
      </c>
      <c r="E1216" t="str">
        <f>HYPERLINK("/pdf/2017_10.1007_s11277-017-4229-9_The_Vulnerability_Exploitation_Conveying_Digital_Data_Over_Mobile_Voice_Call_Channels.pdf","open")</f>
        <v>open</v>
      </c>
      <c r="F1216" t="s">
        <v>7119</v>
      </c>
      <c r="G1216" t="s">
        <v>9418</v>
      </c>
      <c r="H1216" t="s">
        <v>9419</v>
      </c>
      <c r="I1216" t="s">
        <v>9420</v>
      </c>
    </row>
    <row r="1217" spans="1:9" x14ac:dyDescent="0.2">
      <c r="A1217" t="s">
        <v>1077</v>
      </c>
      <c r="B1217" t="s">
        <v>1078</v>
      </c>
      <c r="C1217" t="s">
        <v>190</v>
      </c>
      <c r="D1217" t="s">
        <v>1080</v>
      </c>
      <c r="E1217" t="str">
        <f>HYPERLINK("/pdf/2017_10.1007_s11277-017-4229-9_The_Vulnerability_Exploitation_Conveying_Digital_Data_Over_Mobile_Voice_Call_Channels.pdf","open")</f>
        <v>open</v>
      </c>
      <c r="F1217" t="s">
        <v>7130</v>
      </c>
      <c r="G1217" t="s">
        <v>1573</v>
      </c>
      <c r="I1217" t="s">
        <v>9421</v>
      </c>
    </row>
    <row r="1218" spans="1:9" x14ac:dyDescent="0.2">
      <c r="A1218" t="s">
        <v>1077</v>
      </c>
      <c r="B1218" t="s">
        <v>1078</v>
      </c>
      <c r="C1218" t="s">
        <v>190</v>
      </c>
      <c r="D1218" t="s">
        <v>1080</v>
      </c>
      <c r="E1218" t="str">
        <f>HYPERLINK("/pdf/2017_10.1007_s11277-017-4229-9_The_Vulnerability_Exploitation_Conveying_Digital_Data_Over_Mobile_Voice_Call_Channels.pdf","open")</f>
        <v>open</v>
      </c>
      <c r="F1218" t="s">
        <v>7130</v>
      </c>
      <c r="G1218" t="s">
        <v>1597</v>
      </c>
      <c r="I1218" t="s">
        <v>9422</v>
      </c>
    </row>
    <row r="1219" spans="1:9" x14ac:dyDescent="0.2">
      <c r="A1219" t="s">
        <v>1082</v>
      </c>
      <c r="B1219" t="s">
        <v>1083</v>
      </c>
      <c r="C1219" t="s">
        <v>25</v>
      </c>
      <c r="D1219" t="s">
        <v>1085</v>
      </c>
      <c r="E1219" t="str">
        <f>HYPERLINK("/pdf/2023_10.1109_comsci59259.2023.10315901_Zero-Trust_in_Instant_Messaging.pdf","open")</f>
        <v>open</v>
      </c>
      <c r="F1219" t="s">
        <v>7119</v>
      </c>
      <c r="G1219" t="s">
        <v>9423</v>
      </c>
      <c r="H1219" t="s">
        <v>9424</v>
      </c>
      <c r="I1219" t="s">
        <v>9425</v>
      </c>
    </row>
    <row r="1220" spans="1:9" x14ac:dyDescent="0.2">
      <c r="A1220" t="s">
        <v>1082</v>
      </c>
      <c r="B1220" t="s">
        <v>1083</v>
      </c>
      <c r="C1220" t="s">
        <v>25</v>
      </c>
      <c r="D1220" t="s">
        <v>1085</v>
      </c>
      <c r="E1220" t="str">
        <f>HYPERLINK("/pdf/2023_10.1109_comsci59259.2023.10315901_Zero-Trust_in_Instant_Messaging.pdf","open")</f>
        <v>open</v>
      </c>
      <c r="F1220" t="s">
        <v>7130</v>
      </c>
      <c r="G1220" t="s">
        <v>1573</v>
      </c>
      <c r="I1220" t="s">
        <v>9426</v>
      </c>
    </row>
    <row r="1221" spans="1:9" x14ac:dyDescent="0.2">
      <c r="A1221" t="s">
        <v>1087</v>
      </c>
      <c r="B1221" t="s">
        <v>1088</v>
      </c>
      <c r="C1221" t="s">
        <v>19</v>
      </c>
      <c r="D1221" t="s">
        <v>1087</v>
      </c>
      <c r="E1221" t="str">
        <f>HYPERLINK("/pdf/2025_10_11591_ijai_v14_i6_pp4913_4922_comparative_evaluation_of_machine_learning_models_for_intrusion_detection_in_wsns_using_th.pdf","open")</f>
        <v>open</v>
      </c>
      <c r="F1221" t="s">
        <v>7119</v>
      </c>
      <c r="G1221" t="s">
        <v>9427</v>
      </c>
      <c r="H1221" t="s">
        <v>9428</v>
      </c>
      <c r="I1221" t="s">
        <v>9429</v>
      </c>
    </row>
    <row r="1222" spans="1:9" x14ac:dyDescent="0.2">
      <c r="A1222" t="s">
        <v>1087</v>
      </c>
      <c r="B1222" t="s">
        <v>1088</v>
      </c>
      <c r="C1222" t="s">
        <v>19</v>
      </c>
      <c r="D1222" t="s">
        <v>1087</v>
      </c>
      <c r="E1222" t="str">
        <f>HYPERLINK("/pdf/2025_10_11591_ijai_v14_i6_pp4913_4922_comparative_evaluation_of_machine_learning_models_for_intrusion_detection_in_wsns_using_th.pdf","open")</f>
        <v>open</v>
      </c>
      <c r="F1222" t="s">
        <v>7119</v>
      </c>
      <c r="G1222" t="s">
        <v>9430</v>
      </c>
      <c r="H1222" t="s">
        <v>9431</v>
      </c>
      <c r="I1222" t="s">
        <v>9432</v>
      </c>
    </row>
    <row r="1223" spans="1:9" x14ac:dyDescent="0.2">
      <c r="A1223" t="s">
        <v>1087</v>
      </c>
      <c r="B1223" t="s">
        <v>1088</v>
      </c>
      <c r="C1223" t="s">
        <v>19</v>
      </c>
      <c r="D1223" t="s">
        <v>1087</v>
      </c>
      <c r="E1223" t="str">
        <f>HYPERLINK("/pdf/2025_10_11591_ijai_v14_i6_pp4913_4922_comparative_evaluation_of_machine_learning_models_for_intrusion_detection_in_wsns_using_th.pdf","open")</f>
        <v>open</v>
      </c>
      <c r="F1223" t="s">
        <v>7130</v>
      </c>
      <c r="G1223" t="s">
        <v>1583</v>
      </c>
      <c r="I1223" t="s">
        <v>9433</v>
      </c>
    </row>
    <row r="1224" spans="1:9" x14ac:dyDescent="0.2">
      <c r="A1224" t="s">
        <v>1087</v>
      </c>
      <c r="B1224" t="s">
        <v>1088</v>
      </c>
      <c r="C1224" t="s">
        <v>19</v>
      </c>
      <c r="D1224" t="s">
        <v>1087</v>
      </c>
      <c r="E1224" t="str">
        <f>HYPERLINK("/pdf/2025_10_11591_ijai_v14_i6_pp4913_4922_comparative_evaluation_of_machine_learning_models_for_intrusion_detection_in_wsns_using_th.pdf","open")</f>
        <v>open</v>
      </c>
      <c r="F1224" t="s">
        <v>7130</v>
      </c>
      <c r="G1224" t="s">
        <v>1601</v>
      </c>
      <c r="I1224" t="s">
        <v>9432</v>
      </c>
    </row>
    <row r="1225" spans="1:9" x14ac:dyDescent="0.2">
      <c r="A1225" t="s">
        <v>1091</v>
      </c>
      <c r="B1225" t="s">
        <v>1092</v>
      </c>
      <c r="C1225" t="s">
        <v>60</v>
      </c>
      <c r="D1225" t="s">
        <v>1094</v>
      </c>
      <c r="E1225" t="str">
        <f>HYPERLINK("/pdf/2025_10.1108_ics-03-2024-0059_Data_breach_announcements__evaluating_the_content_and_timing_of_breach_announcements_and_their_effect_on_firm_.pdf","open")</f>
        <v>open</v>
      </c>
      <c r="F1225" t="s">
        <v>7119</v>
      </c>
      <c r="G1225" t="s">
        <v>9434</v>
      </c>
      <c r="H1225" t="s">
        <v>9435</v>
      </c>
      <c r="I1225" t="s">
        <v>9134</v>
      </c>
    </row>
    <row r="1226" spans="1:9" x14ac:dyDescent="0.2">
      <c r="A1226" t="s">
        <v>1091</v>
      </c>
      <c r="B1226" t="s">
        <v>1092</v>
      </c>
      <c r="C1226" t="s">
        <v>60</v>
      </c>
      <c r="D1226" t="s">
        <v>1094</v>
      </c>
      <c r="E1226" t="str">
        <f>HYPERLINK("/pdf/2025_10.1108_ics-03-2024-0059_Data_breach_announcements__evaluating_the_content_and_timing_of_breach_announcements_and_their_effect_on_firm_.pdf","open")</f>
        <v>open</v>
      </c>
      <c r="F1226" t="s">
        <v>7119</v>
      </c>
      <c r="G1226" t="s">
        <v>9436</v>
      </c>
      <c r="H1226" t="s">
        <v>9437</v>
      </c>
      <c r="I1226" t="s">
        <v>9438</v>
      </c>
    </row>
    <row r="1227" spans="1:9" x14ac:dyDescent="0.2">
      <c r="A1227" t="s">
        <v>1091</v>
      </c>
      <c r="B1227" t="s">
        <v>1092</v>
      </c>
      <c r="C1227" t="s">
        <v>60</v>
      </c>
      <c r="D1227" t="s">
        <v>1094</v>
      </c>
      <c r="E1227" t="str">
        <f>HYPERLINK("/pdf/2025_10.1108_ics-03-2024-0059_Data_breach_announcements__evaluating_the_content_and_timing_of_breach_announcements_and_their_effect_on_firm_.pdf","open")</f>
        <v>open</v>
      </c>
      <c r="F1227" t="s">
        <v>7130</v>
      </c>
      <c r="G1227" t="s">
        <v>9439</v>
      </c>
      <c r="I1227" t="s">
        <v>9440</v>
      </c>
    </row>
    <row r="1228" spans="1:9" x14ac:dyDescent="0.2">
      <c r="A1228" t="s">
        <v>1091</v>
      </c>
      <c r="B1228" t="s">
        <v>1092</v>
      </c>
      <c r="C1228" t="s">
        <v>60</v>
      </c>
      <c r="D1228" t="s">
        <v>1094</v>
      </c>
      <c r="E1228" t="str">
        <f>HYPERLINK("/pdf/2025_10.1108_ics-03-2024-0059_Data_breach_announcements__evaluating_the_content_and_timing_of_breach_announcements_and_their_effect_on_firm_.pdf","open")</f>
        <v>open</v>
      </c>
      <c r="F1228" t="s">
        <v>7130</v>
      </c>
      <c r="G1228" t="s">
        <v>1592</v>
      </c>
      <c r="I1228" t="s">
        <v>9441</v>
      </c>
    </row>
    <row r="1229" spans="1:9" x14ac:dyDescent="0.2">
      <c r="A1229" t="s">
        <v>1096</v>
      </c>
      <c r="B1229" t="s">
        <v>1097</v>
      </c>
      <c r="C1229" t="s">
        <v>48</v>
      </c>
      <c r="D1229" t="s">
        <v>1099</v>
      </c>
      <c r="E1229" t="str">
        <f>HYPERLINK("/pdf/2026_10.1007_s12243-026-01154-z_Intrusion_detection_in_CAN_protocol_using_novel_spatial-temporal_deep_learning_model_for_secure_autonomous_veh.pdf","open")</f>
        <v>open</v>
      </c>
      <c r="F1229" t="s">
        <v>7119</v>
      </c>
      <c r="G1229" t="s">
        <v>9442</v>
      </c>
      <c r="H1229" t="s">
        <v>9443</v>
      </c>
      <c r="I1229" t="s">
        <v>9240</v>
      </c>
    </row>
    <row r="1230" spans="1:9" x14ac:dyDescent="0.2">
      <c r="A1230" t="s">
        <v>1096</v>
      </c>
      <c r="B1230" t="s">
        <v>1097</v>
      </c>
      <c r="C1230" t="s">
        <v>48</v>
      </c>
      <c r="D1230" t="s">
        <v>1099</v>
      </c>
      <c r="E1230" t="str">
        <f>HYPERLINK("/pdf/2026_10.1007_s12243-026-01154-z_Intrusion_detection_in_CAN_protocol_using_novel_spatial-temporal_deep_learning_model_for_secure_autonomous_veh.pdf","open")</f>
        <v>open</v>
      </c>
      <c r="F1230" t="s">
        <v>7119</v>
      </c>
      <c r="G1230" t="s">
        <v>9444</v>
      </c>
      <c r="H1230" t="s">
        <v>9445</v>
      </c>
      <c r="I1230" t="s">
        <v>9446</v>
      </c>
    </row>
    <row r="1231" spans="1:9" x14ac:dyDescent="0.2">
      <c r="A1231" t="s">
        <v>1096</v>
      </c>
      <c r="B1231" t="s">
        <v>1097</v>
      </c>
      <c r="C1231" t="s">
        <v>48</v>
      </c>
      <c r="D1231" t="s">
        <v>1099</v>
      </c>
      <c r="E1231" t="str">
        <f>HYPERLINK("/pdf/2026_10.1007_s12243-026-01154-z_Intrusion_detection_in_CAN_protocol_using_novel_spatial-temporal_deep_learning_model_for_secure_autonomous_veh.pdf","open")</f>
        <v>open</v>
      </c>
      <c r="F1231" t="s">
        <v>7119</v>
      </c>
      <c r="G1231" t="s">
        <v>9447</v>
      </c>
      <c r="H1231" t="s">
        <v>9448</v>
      </c>
      <c r="I1231" t="s">
        <v>9449</v>
      </c>
    </row>
    <row r="1232" spans="1:9" x14ac:dyDescent="0.2">
      <c r="A1232" t="s">
        <v>1096</v>
      </c>
      <c r="B1232" t="s">
        <v>1097</v>
      </c>
      <c r="C1232" t="s">
        <v>48</v>
      </c>
      <c r="D1232" t="s">
        <v>1099</v>
      </c>
      <c r="E1232" t="str">
        <f>HYPERLINK("/pdf/2026_10.1007_s12243-026-01154-z_Intrusion_detection_in_CAN_protocol_using_novel_spatial-temporal_deep_learning_model_for_secure_autonomous_veh.pdf","open")</f>
        <v>open</v>
      </c>
      <c r="F1232" t="s">
        <v>7130</v>
      </c>
      <c r="G1232" t="s">
        <v>9450</v>
      </c>
      <c r="I1232" t="s">
        <v>9451</v>
      </c>
    </row>
    <row r="1233" spans="1:9" x14ac:dyDescent="0.2">
      <c r="A1233" t="s">
        <v>1096</v>
      </c>
      <c r="B1233" t="s">
        <v>1097</v>
      </c>
      <c r="C1233" t="s">
        <v>48</v>
      </c>
      <c r="D1233" t="s">
        <v>1099</v>
      </c>
      <c r="E1233" t="str">
        <f>HYPERLINK("/pdf/2026_10.1007_s12243-026-01154-z_Intrusion_detection_in_CAN_protocol_using_novel_spatial-temporal_deep_learning_model_for_secure_autonomous_veh.pdf","open")</f>
        <v>open</v>
      </c>
      <c r="F1233" t="s">
        <v>7130</v>
      </c>
      <c r="G1233" t="s">
        <v>9452</v>
      </c>
      <c r="I1233" t="s">
        <v>9453</v>
      </c>
    </row>
    <row r="1234" spans="1:9" x14ac:dyDescent="0.2">
      <c r="A1234" t="s">
        <v>1101</v>
      </c>
      <c r="B1234" t="s">
        <v>1102</v>
      </c>
      <c r="C1234" t="s">
        <v>12</v>
      </c>
      <c r="D1234" t="s">
        <v>148</v>
      </c>
      <c r="E1234" t="str">
        <f>HYPERLINK("/pdf/2018_Propagation_misclassified_instances_to_handle_nonstationary_imbalanced_data_stream.pdf","open")</f>
        <v>open</v>
      </c>
      <c r="F1234" t="s">
        <v>7119</v>
      </c>
      <c r="G1234" t="s">
        <v>9454</v>
      </c>
      <c r="H1234" t="s">
        <v>9455</v>
      </c>
      <c r="I1234" t="s">
        <v>9456</v>
      </c>
    </row>
    <row r="1235" spans="1:9" x14ac:dyDescent="0.2">
      <c r="A1235" t="s">
        <v>1101</v>
      </c>
      <c r="B1235" t="s">
        <v>1102</v>
      </c>
      <c r="C1235" t="s">
        <v>12</v>
      </c>
      <c r="D1235" t="s">
        <v>148</v>
      </c>
      <c r="E1235" t="str">
        <f>HYPERLINK("/pdf/2018_Propagation_misclassified_instances_to_handle_nonstationary_imbalanced_data_stream.pdf","open")</f>
        <v>open</v>
      </c>
      <c r="F1235" t="s">
        <v>7119</v>
      </c>
      <c r="G1235" t="s">
        <v>9457</v>
      </c>
      <c r="H1235" t="s">
        <v>9458</v>
      </c>
      <c r="I1235" t="s">
        <v>9459</v>
      </c>
    </row>
    <row r="1236" spans="1:9" x14ac:dyDescent="0.2">
      <c r="A1236" t="s">
        <v>1101</v>
      </c>
      <c r="B1236" t="s">
        <v>1102</v>
      </c>
      <c r="C1236" t="s">
        <v>12</v>
      </c>
      <c r="D1236" t="s">
        <v>148</v>
      </c>
      <c r="E1236" t="str">
        <f>HYPERLINK("/pdf/2018_Propagation_misclassified_instances_to_handle_nonstationary_imbalanced_data_stream.pdf","open")</f>
        <v>open</v>
      </c>
      <c r="F1236" t="s">
        <v>7130</v>
      </c>
      <c r="G1236" t="s">
        <v>9460</v>
      </c>
      <c r="I1236" t="s">
        <v>9456</v>
      </c>
    </row>
    <row r="1237" spans="1:9" x14ac:dyDescent="0.2">
      <c r="A1237" t="s">
        <v>1101</v>
      </c>
      <c r="B1237" t="s">
        <v>1102</v>
      </c>
      <c r="C1237" t="s">
        <v>12</v>
      </c>
      <c r="D1237" t="s">
        <v>148</v>
      </c>
      <c r="E1237" t="str">
        <f>HYPERLINK("/pdf/2018_Propagation_misclassified_instances_to_handle_nonstationary_imbalanced_data_stream.pdf","open")</f>
        <v>open</v>
      </c>
      <c r="F1237" t="s">
        <v>7130</v>
      </c>
      <c r="G1237" t="s">
        <v>9461</v>
      </c>
      <c r="I1237" t="s">
        <v>9459</v>
      </c>
    </row>
    <row r="1238" spans="1:9" x14ac:dyDescent="0.2">
      <c r="A1238" t="s">
        <v>1105</v>
      </c>
      <c r="B1238" t="s">
        <v>1106</v>
      </c>
      <c r="C1238" t="s">
        <v>363</v>
      </c>
      <c r="D1238" t="s">
        <v>148</v>
      </c>
      <c r="E1238" t="str">
        <f>HYPERLINK("/pdf/2016_10.1109_uemcon.2016.7777821_A_hybrid_analysis_for_mobile_security_threat_detection.pdf","open")</f>
        <v>open</v>
      </c>
      <c r="F1238" t="s">
        <v>7119</v>
      </c>
      <c r="G1238" t="s">
        <v>9462</v>
      </c>
      <c r="H1238" t="s">
        <v>9463</v>
      </c>
      <c r="I1238" t="s">
        <v>7151</v>
      </c>
    </row>
    <row r="1239" spans="1:9" x14ac:dyDescent="0.2">
      <c r="A1239" t="s">
        <v>1105</v>
      </c>
      <c r="B1239" t="s">
        <v>1106</v>
      </c>
      <c r="C1239" t="s">
        <v>363</v>
      </c>
      <c r="D1239" t="s">
        <v>148</v>
      </c>
      <c r="E1239" t="str">
        <f>HYPERLINK("/pdf/2016_10.1109_uemcon.2016.7777821_A_hybrid_analysis_for_mobile_security_threat_detection.pdf","open")</f>
        <v>open</v>
      </c>
      <c r="F1239" t="s">
        <v>7119</v>
      </c>
      <c r="G1239" t="s">
        <v>9464</v>
      </c>
      <c r="H1239" t="s">
        <v>9465</v>
      </c>
      <c r="I1239" t="s">
        <v>7574</v>
      </c>
    </row>
    <row r="1240" spans="1:9" x14ac:dyDescent="0.2">
      <c r="A1240" t="s">
        <v>1105</v>
      </c>
      <c r="B1240" t="s">
        <v>1106</v>
      </c>
      <c r="C1240" t="s">
        <v>363</v>
      </c>
      <c r="D1240" t="s">
        <v>148</v>
      </c>
      <c r="E1240" t="str">
        <f>HYPERLINK("/pdf/2016_10.1109_uemcon.2016.7777821_A_hybrid_analysis_for_mobile_security_threat_detection.pdf","open")</f>
        <v>open</v>
      </c>
      <c r="F1240" t="s">
        <v>7130</v>
      </c>
      <c r="G1240" t="s">
        <v>9466</v>
      </c>
      <c r="I1240" t="s">
        <v>9467</v>
      </c>
    </row>
    <row r="1241" spans="1:9" x14ac:dyDescent="0.2">
      <c r="A1241" t="s">
        <v>1108</v>
      </c>
      <c r="B1241" t="s">
        <v>1109</v>
      </c>
      <c r="C1241" t="s">
        <v>190</v>
      </c>
      <c r="D1241" t="s">
        <v>1108</v>
      </c>
      <c r="E1241" t="str">
        <f>HYPERLINK("/pdf/2017_10.1155_2017_7397812_Selecting_Critical_Data_Flows_in_Android_Applications_for_Abnormal_Behavior_Detection.pdf","open")</f>
        <v>open</v>
      </c>
      <c r="F1241" t="s">
        <v>7119</v>
      </c>
      <c r="G1241" t="s">
        <v>9468</v>
      </c>
      <c r="H1241" t="s">
        <v>9469</v>
      </c>
      <c r="I1241" t="s">
        <v>9417</v>
      </c>
    </row>
    <row r="1242" spans="1:9" x14ac:dyDescent="0.2">
      <c r="A1242" t="s">
        <v>1108</v>
      </c>
      <c r="B1242" t="s">
        <v>1109</v>
      </c>
      <c r="C1242" t="s">
        <v>190</v>
      </c>
      <c r="D1242" t="s">
        <v>1108</v>
      </c>
      <c r="E1242" t="str">
        <f>HYPERLINK("/pdf/2017_10.1155_2017_7397812_Selecting_Critical_Data_Flows_in_Android_Applications_for_Abnormal_Behavior_Detection.pdf","open")</f>
        <v>open</v>
      </c>
      <c r="F1242" t="s">
        <v>7119</v>
      </c>
      <c r="G1242" t="s">
        <v>7124</v>
      </c>
      <c r="H1242" t="s">
        <v>9470</v>
      </c>
      <c r="I1242" t="s">
        <v>9438</v>
      </c>
    </row>
    <row r="1243" spans="1:9" x14ac:dyDescent="0.2">
      <c r="A1243" t="s">
        <v>1108</v>
      </c>
      <c r="B1243" t="s">
        <v>1109</v>
      </c>
      <c r="C1243" t="s">
        <v>190</v>
      </c>
      <c r="D1243" t="s">
        <v>1108</v>
      </c>
      <c r="E1243" t="str">
        <f>HYPERLINK("/pdf/2017_10.1155_2017_7397812_Selecting_Critical_Data_Flows_in_Android_Applications_for_Abnormal_Behavior_Detection.pdf","open")</f>
        <v>open</v>
      </c>
      <c r="F1243" t="s">
        <v>7119</v>
      </c>
      <c r="G1243" t="s">
        <v>9471</v>
      </c>
      <c r="H1243" t="s">
        <v>9472</v>
      </c>
      <c r="I1243" t="s">
        <v>9473</v>
      </c>
    </row>
    <row r="1244" spans="1:9" x14ac:dyDescent="0.2">
      <c r="A1244" t="s">
        <v>1108</v>
      </c>
      <c r="B1244" t="s">
        <v>1109</v>
      </c>
      <c r="C1244" t="s">
        <v>190</v>
      </c>
      <c r="D1244" t="s">
        <v>1108</v>
      </c>
      <c r="E1244" t="str">
        <f>HYPERLINK("/pdf/2017_10.1155_2017_7397812_Selecting_Critical_Data_Flows_in_Android_Applications_for_Abnormal_Behavior_Detection.pdf","open")</f>
        <v>open</v>
      </c>
      <c r="F1244" t="s">
        <v>7130</v>
      </c>
      <c r="G1244" t="s">
        <v>1584</v>
      </c>
      <c r="I1244" t="s">
        <v>9474</v>
      </c>
    </row>
    <row r="1245" spans="1:9" x14ac:dyDescent="0.2">
      <c r="A1245" t="s">
        <v>1108</v>
      </c>
      <c r="B1245" t="s">
        <v>1109</v>
      </c>
      <c r="C1245" t="s">
        <v>190</v>
      </c>
      <c r="D1245" t="s">
        <v>1108</v>
      </c>
      <c r="E1245" t="str">
        <f>HYPERLINK("/pdf/2017_10.1155_2017_7397812_Selecting_Critical_Data_Flows_in_Android_Applications_for_Abnormal_Behavior_Detection.pdf","open")</f>
        <v>open</v>
      </c>
      <c r="F1245" t="s">
        <v>7130</v>
      </c>
      <c r="G1245" t="s">
        <v>1597</v>
      </c>
      <c r="I1245" t="s">
        <v>9475</v>
      </c>
    </row>
    <row r="1246" spans="1:9" x14ac:dyDescent="0.2">
      <c r="A1246" t="s">
        <v>1112</v>
      </c>
      <c r="B1246" t="s">
        <v>1113</v>
      </c>
      <c r="C1246" t="s">
        <v>100</v>
      </c>
      <c r="D1246" t="s">
        <v>1115</v>
      </c>
      <c r="E1246" t="str">
        <f>HYPERLINK("/pdf/2022_10.1109_iccwamtip56608.2022.10016605_A_Novel_and_Efficient_Sequential_Learning-Based_Malware_Classification_Model.pdf","open")</f>
        <v>open</v>
      </c>
      <c r="F1246" t="s">
        <v>7119</v>
      </c>
      <c r="G1246" t="s">
        <v>9476</v>
      </c>
      <c r="H1246" t="s">
        <v>9477</v>
      </c>
      <c r="I1246" t="s">
        <v>9478</v>
      </c>
    </row>
    <row r="1247" spans="1:9" x14ac:dyDescent="0.2">
      <c r="A1247" t="s">
        <v>1112</v>
      </c>
      <c r="B1247" t="s">
        <v>1113</v>
      </c>
      <c r="C1247" t="s">
        <v>100</v>
      </c>
      <c r="D1247" t="s">
        <v>1115</v>
      </c>
      <c r="E1247" t="str">
        <f>HYPERLINK("/pdf/2022_10.1109_iccwamtip56608.2022.10016605_A_Novel_and_Efficient_Sequential_Learning-Based_Malware_Classification_Model.pdf","open")</f>
        <v>open</v>
      </c>
      <c r="F1247" t="s">
        <v>7119</v>
      </c>
      <c r="G1247" t="s">
        <v>9479</v>
      </c>
      <c r="H1247" t="s">
        <v>9480</v>
      </c>
      <c r="I1247" t="s">
        <v>9481</v>
      </c>
    </row>
    <row r="1248" spans="1:9" x14ac:dyDescent="0.2">
      <c r="A1248" t="s">
        <v>1112</v>
      </c>
      <c r="B1248" t="s">
        <v>1113</v>
      </c>
      <c r="C1248" t="s">
        <v>100</v>
      </c>
      <c r="D1248" t="s">
        <v>1115</v>
      </c>
      <c r="E1248" t="str">
        <f>HYPERLINK("/pdf/2022_10.1109_iccwamtip56608.2022.10016605_A_Novel_and_Efficient_Sequential_Learning-Based_Malware_Classification_Model.pdf","open")</f>
        <v>open</v>
      </c>
      <c r="F1248" t="s">
        <v>7119</v>
      </c>
      <c r="G1248" t="s">
        <v>9482</v>
      </c>
      <c r="H1248" t="s">
        <v>9483</v>
      </c>
      <c r="I1248" t="s">
        <v>9484</v>
      </c>
    </row>
    <row r="1249" spans="1:9" x14ac:dyDescent="0.2">
      <c r="A1249" t="s">
        <v>1112</v>
      </c>
      <c r="B1249" t="s">
        <v>1113</v>
      </c>
      <c r="C1249" t="s">
        <v>100</v>
      </c>
      <c r="D1249" t="s">
        <v>1115</v>
      </c>
      <c r="E1249" t="str">
        <f>HYPERLINK("/pdf/2022_10.1109_iccwamtip56608.2022.10016605_A_Novel_and_Efficient_Sequential_Learning-Based_Malware_Classification_Model.pdf","open")</f>
        <v>open</v>
      </c>
      <c r="F1249" t="s">
        <v>7130</v>
      </c>
      <c r="G1249" t="s">
        <v>1584</v>
      </c>
      <c r="I1249" t="s">
        <v>9485</v>
      </c>
    </row>
    <row r="1250" spans="1:9" x14ac:dyDescent="0.2">
      <c r="A1250" t="s">
        <v>1112</v>
      </c>
      <c r="B1250" t="s">
        <v>1113</v>
      </c>
      <c r="C1250" t="s">
        <v>100</v>
      </c>
      <c r="D1250" t="s">
        <v>1115</v>
      </c>
      <c r="E1250" t="str">
        <f>HYPERLINK("/pdf/2022_10.1109_iccwamtip56608.2022.10016605_A_Novel_and_Efficient_Sequential_Learning-Based_Malware_Classification_Model.pdf","open")</f>
        <v>open</v>
      </c>
      <c r="F1250" t="s">
        <v>7130</v>
      </c>
      <c r="G1250" t="s">
        <v>1599</v>
      </c>
      <c r="I1250" t="s">
        <v>9486</v>
      </c>
    </row>
    <row r="1251" spans="1:9" x14ac:dyDescent="0.2">
      <c r="A1251" t="s">
        <v>1117</v>
      </c>
      <c r="B1251" t="s">
        <v>1118</v>
      </c>
      <c r="C1251" t="s">
        <v>48</v>
      </c>
      <c r="D1251" t="s">
        <v>1120</v>
      </c>
      <c r="E1251" t="str">
        <f>HYPERLINK("/pdf/2026_10_30598_barekengvol20iss2pp1675_1692_a_comparative_study_of_pipeline_validated_machine_learning_classifiers_for_permission_base.pdf","open")</f>
        <v>open</v>
      </c>
      <c r="F1251" t="s">
        <v>7119</v>
      </c>
      <c r="G1251" t="s">
        <v>9487</v>
      </c>
      <c r="H1251" t="s">
        <v>9488</v>
      </c>
      <c r="I1251" t="s">
        <v>9489</v>
      </c>
    </row>
    <row r="1252" spans="1:9" x14ac:dyDescent="0.2">
      <c r="A1252" t="s">
        <v>1117</v>
      </c>
      <c r="B1252" t="s">
        <v>1118</v>
      </c>
      <c r="C1252" t="s">
        <v>48</v>
      </c>
      <c r="D1252" t="s">
        <v>1120</v>
      </c>
      <c r="E1252" t="str">
        <f>HYPERLINK("/pdf/2026_10_30598_barekengvol20iss2pp1675_1692_a_comparative_study_of_pipeline_validated_machine_learning_classifiers_for_permission_base.pdf","open")</f>
        <v>open</v>
      </c>
      <c r="F1252" t="s">
        <v>7119</v>
      </c>
      <c r="G1252" t="s">
        <v>9490</v>
      </c>
      <c r="H1252" t="s">
        <v>9491</v>
      </c>
      <c r="I1252" t="s">
        <v>9492</v>
      </c>
    </row>
    <row r="1253" spans="1:9" x14ac:dyDescent="0.2">
      <c r="A1253" t="s">
        <v>1117</v>
      </c>
      <c r="B1253" t="s">
        <v>1118</v>
      </c>
      <c r="C1253" t="s">
        <v>48</v>
      </c>
      <c r="D1253" t="s">
        <v>1120</v>
      </c>
      <c r="E1253" t="str">
        <f>HYPERLINK("/pdf/2026_10_30598_barekengvol20iss2pp1675_1692_a_comparative_study_of_pipeline_validated_machine_learning_classifiers_for_permission_base.pdf","open")</f>
        <v>open</v>
      </c>
      <c r="F1253" t="s">
        <v>7119</v>
      </c>
      <c r="G1253" t="s">
        <v>9493</v>
      </c>
      <c r="H1253" t="s">
        <v>9494</v>
      </c>
      <c r="I1253" t="s">
        <v>9495</v>
      </c>
    </row>
    <row r="1254" spans="1:9" x14ac:dyDescent="0.2">
      <c r="A1254" t="s">
        <v>1117</v>
      </c>
      <c r="B1254" t="s">
        <v>1118</v>
      </c>
      <c r="C1254" t="s">
        <v>48</v>
      </c>
      <c r="D1254" t="s">
        <v>1120</v>
      </c>
      <c r="E1254" t="str">
        <f>HYPERLINK("/pdf/2026_10_30598_barekengvol20iss2pp1675_1692_a_comparative_study_of_pipeline_validated_machine_learning_classifiers_for_permission_base.pdf","open")</f>
        <v>open</v>
      </c>
      <c r="F1254" t="s">
        <v>7130</v>
      </c>
      <c r="G1254" t="s">
        <v>1583</v>
      </c>
      <c r="I1254" t="s">
        <v>9496</v>
      </c>
    </row>
    <row r="1255" spans="1:9" x14ac:dyDescent="0.2">
      <c r="A1255" t="s">
        <v>1117</v>
      </c>
      <c r="B1255" t="s">
        <v>1118</v>
      </c>
      <c r="C1255" t="s">
        <v>48</v>
      </c>
      <c r="D1255" t="s">
        <v>1120</v>
      </c>
      <c r="E1255" t="str">
        <f>HYPERLINK("/pdf/2026_10_30598_barekengvol20iss2pp1675_1692_a_comparative_study_of_pipeline_validated_machine_learning_classifiers_for_permission_base.pdf","open")</f>
        <v>open</v>
      </c>
      <c r="F1255" t="s">
        <v>7130</v>
      </c>
      <c r="G1255" t="s">
        <v>1584</v>
      </c>
      <c r="I1255" t="s">
        <v>9497</v>
      </c>
    </row>
    <row r="1256" spans="1:9" x14ac:dyDescent="0.2">
      <c r="A1256" t="s">
        <v>1122</v>
      </c>
      <c r="B1256" t="s">
        <v>1123</v>
      </c>
      <c r="C1256" t="s">
        <v>19</v>
      </c>
      <c r="D1256" t="s">
        <v>148</v>
      </c>
      <c r="E1256" t="str">
        <f>HYPERLINK("/pdf/2025_10_34190_eccws_24_1_3542_cybersecurity_challenges_and_mitigations_for_llms_in_dod_applications.pdf","open")</f>
        <v>open</v>
      </c>
      <c r="F1256" t="s">
        <v>7119</v>
      </c>
      <c r="G1256" t="s">
        <v>9498</v>
      </c>
      <c r="H1256" t="s">
        <v>9499</v>
      </c>
      <c r="I1256" t="s">
        <v>9500</v>
      </c>
    </row>
    <row r="1257" spans="1:9" x14ac:dyDescent="0.2">
      <c r="A1257" t="s">
        <v>1122</v>
      </c>
      <c r="B1257" t="s">
        <v>1123</v>
      </c>
      <c r="C1257" t="s">
        <v>19</v>
      </c>
      <c r="D1257" t="s">
        <v>148</v>
      </c>
      <c r="E1257" t="str">
        <f>HYPERLINK("/pdf/2025_10_34190_eccws_24_1_3542_cybersecurity_challenges_and_mitigations_for_llms_in_dod_applications.pdf","open")</f>
        <v>open</v>
      </c>
      <c r="F1257" t="s">
        <v>7119</v>
      </c>
      <c r="G1257" t="s">
        <v>9501</v>
      </c>
      <c r="H1257" t="s">
        <v>9502</v>
      </c>
      <c r="I1257" t="s">
        <v>9503</v>
      </c>
    </row>
    <row r="1258" spans="1:9" x14ac:dyDescent="0.2">
      <c r="A1258" t="s">
        <v>1122</v>
      </c>
      <c r="B1258" t="s">
        <v>1123</v>
      </c>
      <c r="C1258" t="s">
        <v>19</v>
      </c>
      <c r="D1258" t="s">
        <v>148</v>
      </c>
      <c r="E1258" t="str">
        <f>HYPERLINK("/pdf/2025_10_34190_eccws_24_1_3542_cybersecurity_challenges_and_mitigations_for_llms_in_dod_applications.pdf","open")</f>
        <v>open</v>
      </c>
      <c r="F1258" t="s">
        <v>7130</v>
      </c>
      <c r="G1258" t="s">
        <v>9504</v>
      </c>
      <c r="I1258" t="s">
        <v>7397</v>
      </c>
    </row>
    <row r="1259" spans="1:9" x14ac:dyDescent="0.2">
      <c r="A1259" t="s">
        <v>1126</v>
      </c>
      <c r="B1259" t="s">
        <v>1127</v>
      </c>
      <c r="C1259" t="s">
        <v>25</v>
      </c>
      <c r="D1259" t="s">
        <v>1128</v>
      </c>
      <c r="E1259" t="str">
        <f>HYPERLINK("/pdf/2023_10_1007_978_3_031_33488_7_20_efficient_network_representation_for_gnn_based_intrusion_detection.pdf","open")</f>
        <v>open</v>
      </c>
      <c r="F1259" t="s">
        <v>7119</v>
      </c>
      <c r="G1259" t="s">
        <v>9505</v>
      </c>
      <c r="H1259" t="s">
        <v>9506</v>
      </c>
      <c r="I1259" t="s">
        <v>9507</v>
      </c>
    </row>
    <row r="1260" spans="1:9" x14ac:dyDescent="0.2">
      <c r="A1260" t="s">
        <v>1126</v>
      </c>
      <c r="B1260" t="s">
        <v>1127</v>
      </c>
      <c r="C1260" t="s">
        <v>25</v>
      </c>
      <c r="D1260" t="s">
        <v>1128</v>
      </c>
      <c r="E1260" t="str">
        <f>HYPERLINK("/pdf/2023_10_1007_978_3_031_33488_7_20_efficient_network_representation_for_gnn_based_intrusion_detection.pdf","open")</f>
        <v>open</v>
      </c>
      <c r="F1260" t="s">
        <v>7119</v>
      </c>
      <c r="G1260" t="s">
        <v>9508</v>
      </c>
      <c r="H1260" t="s">
        <v>9509</v>
      </c>
      <c r="I1260" t="s">
        <v>9510</v>
      </c>
    </row>
    <row r="1261" spans="1:9" x14ac:dyDescent="0.2">
      <c r="A1261" t="s">
        <v>1126</v>
      </c>
      <c r="B1261" t="s">
        <v>1127</v>
      </c>
      <c r="C1261" t="s">
        <v>25</v>
      </c>
      <c r="D1261" t="s">
        <v>1128</v>
      </c>
      <c r="E1261" t="str">
        <f>HYPERLINK("/pdf/2023_10_1007_978_3_031_33488_7_20_efficient_network_representation_for_gnn_based_intrusion_detection.pdf","open")</f>
        <v>open</v>
      </c>
      <c r="F1261" t="s">
        <v>7130</v>
      </c>
      <c r="G1261" t="s">
        <v>1583</v>
      </c>
      <c r="I1261" t="s">
        <v>9511</v>
      </c>
    </row>
    <row r="1262" spans="1:9" x14ac:dyDescent="0.2">
      <c r="A1262" t="s">
        <v>1126</v>
      </c>
      <c r="B1262" t="s">
        <v>1127</v>
      </c>
      <c r="C1262" t="s">
        <v>25</v>
      </c>
      <c r="D1262" t="s">
        <v>1128</v>
      </c>
      <c r="E1262" t="str">
        <f>HYPERLINK("/pdf/2023_10_1007_978_3_031_33488_7_20_efficient_network_representation_for_gnn_based_intrusion_detection.pdf","open")</f>
        <v>open</v>
      </c>
      <c r="F1262" t="s">
        <v>7130</v>
      </c>
      <c r="G1262" t="s">
        <v>3989</v>
      </c>
      <c r="I1262" t="s">
        <v>9512</v>
      </c>
    </row>
    <row r="1263" spans="1:9" x14ac:dyDescent="0.2">
      <c r="A1263" t="s">
        <v>1130</v>
      </c>
      <c r="B1263" t="s">
        <v>710</v>
      </c>
      <c r="C1263" t="s">
        <v>19</v>
      </c>
      <c r="D1263" t="s">
        <v>711</v>
      </c>
      <c r="E1263" t="str">
        <f>HYPERLINK("/pdf/2025_10_1038_s41598_025_17799_0_multi_resolution_transfer_learning_for_tampered_image_classification_using_se_enhanced_fus.pdf","open")</f>
        <v>open</v>
      </c>
      <c r="F1263" t="s">
        <v>7119</v>
      </c>
      <c r="G1263" t="s">
        <v>9513</v>
      </c>
      <c r="H1263" t="s">
        <v>8662</v>
      </c>
      <c r="I1263" t="s">
        <v>8663</v>
      </c>
    </row>
    <row r="1264" spans="1:9" x14ac:dyDescent="0.2">
      <c r="A1264" t="s">
        <v>1130</v>
      </c>
      <c r="B1264" t="s">
        <v>710</v>
      </c>
      <c r="C1264" t="s">
        <v>19</v>
      </c>
      <c r="D1264" t="s">
        <v>711</v>
      </c>
      <c r="E1264" t="str">
        <f>HYPERLINK("/pdf/2025_10_1038_s41598_025_17799_0_multi_resolution_transfer_learning_for_tampered_image_classification_using_se_enhanced_fus.pdf","open")</f>
        <v>open</v>
      </c>
      <c r="F1264" t="s">
        <v>7119</v>
      </c>
      <c r="G1264" t="s">
        <v>9514</v>
      </c>
      <c r="H1264" t="s">
        <v>9515</v>
      </c>
      <c r="I1264" t="s">
        <v>9516</v>
      </c>
    </row>
    <row r="1265" spans="1:9" x14ac:dyDescent="0.2">
      <c r="A1265" t="s">
        <v>1130</v>
      </c>
      <c r="B1265" t="s">
        <v>710</v>
      </c>
      <c r="C1265" t="s">
        <v>19</v>
      </c>
      <c r="D1265" t="s">
        <v>711</v>
      </c>
      <c r="E1265" t="str">
        <f>HYPERLINK("/pdf/2025_10_1038_s41598_025_17799_0_multi_resolution_transfer_learning_for_tampered_image_classification_using_se_enhanced_fus.pdf","open")</f>
        <v>open</v>
      </c>
      <c r="F1265" t="s">
        <v>7130</v>
      </c>
      <c r="G1265" t="s">
        <v>1584</v>
      </c>
      <c r="I1265" t="s">
        <v>9517</v>
      </c>
    </row>
    <row r="1266" spans="1:9" x14ac:dyDescent="0.2">
      <c r="A1266" t="s">
        <v>1130</v>
      </c>
      <c r="B1266" t="s">
        <v>710</v>
      </c>
      <c r="C1266" t="s">
        <v>19</v>
      </c>
      <c r="D1266" t="s">
        <v>711</v>
      </c>
      <c r="E1266" t="str">
        <f>HYPERLINK("/pdf/2025_10_1038_s41598_025_17799_0_multi_resolution_transfer_learning_for_tampered_image_classification_using_se_enhanced_fus.pdf","open")</f>
        <v>open</v>
      </c>
      <c r="F1266" t="s">
        <v>7130</v>
      </c>
      <c r="G1266" t="s">
        <v>1589</v>
      </c>
      <c r="I1266" t="s">
        <v>9518</v>
      </c>
    </row>
    <row r="1267" spans="1:9" x14ac:dyDescent="0.2">
      <c r="A1267" t="s">
        <v>1132</v>
      </c>
      <c r="B1267" t="s">
        <v>1133</v>
      </c>
      <c r="C1267" t="s">
        <v>363</v>
      </c>
      <c r="D1267" t="s">
        <v>1135</v>
      </c>
      <c r="E1267" t="str">
        <f>HYPERLINK("/pdf/2016_10.1016_j.infsof.2016.03.004_Effective_detection_of_android_malware_based_on_the_usage_of_data_flow_APIs_and_machine_learning.pdf","open")</f>
        <v>open</v>
      </c>
      <c r="F1267" t="s">
        <v>7119</v>
      </c>
      <c r="G1267" t="s">
        <v>9519</v>
      </c>
      <c r="H1267" t="s">
        <v>9520</v>
      </c>
      <c r="I1267" t="s">
        <v>9521</v>
      </c>
    </row>
    <row r="1268" spans="1:9" x14ac:dyDescent="0.2">
      <c r="A1268" t="s">
        <v>1132</v>
      </c>
      <c r="B1268" t="s">
        <v>1133</v>
      </c>
      <c r="C1268" t="s">
        <v>363</v>
      </c>
      <c r="D1268" t="s">
        <v>1135</v>
      </c>
      <c r="E1268" t="str">
        <f>HYPERLINK("/pdf/2016_10.1016_j.infsof.2016.03.004_Effective_detection_of_android_malware_based_on_the_usage_of_data_flow_APIs_and_machine_learning.pdf","open")</f>
        <v>open</v>
      </c>
      <c r="F1268" t="s">
        <v>7119</v>
      </c>
      <c r="G1268" t="s">
        <v>9522</v>
      </c>
      <c r="H1268" t="s">
        <v>9523</v>
      </c>
      <c r="I1268" t="s">
        <v>9524</v>
      </c>
    </row>
    <row r="1269" spans="1:9" x14ac:dyDescent="0.2">
      <c r="A1269" t="s">
        <v>1132</v>
      </c>
      <c r="B1269" t="s">
        <v>1133</v>
      </c>
      <c r="C1269" t="s">
        <v>363</v>
      </c>
      <c r="D1269" t="s">
        <v>1135</v>
      </c>
      <c r="E1269" t="str">
        <f>HYPERLINK("/pdf/2016_10.1016_j.infsof.2016.03.004_Effective_detection_of_android_malware_based_on_the_usage_of_data_flow_APIs_and_machine_learning.pdf","open")</f>
        <v>open</v>
      </c>
      <c r="F1269" t="s">
        <v>7119</v>
      </c>
      <c r="G1269" t="s">
        <v>9525</v>
      </c>
      <c r="H1269" t="s">
        <v>9526</v>
      </c>
      <c r="I1269" t="s">
        <v>9527</v>
      </c>
    </row>
    <row r="1270" spans="1:9" x14ac:dyDescent="0.2">
      <c r="A1270" t="s">
        <v>1132</v>
      </c>
      <c r="B1270" t="s">
        <v>1133</v>
      </c>
      <c r="C1270" t="s">
        <v>363</v>
      </c>
      <c r="D1270" t="s">
        <v>1135</v>
      </c>
      <c r="E1270" t="str">
        <f>HYPERLINK("/pdf/2016_10.1016_j.infsof.2016.03.004_Effective_detection_of_android_malware_based_on_the_usage_of_data_flow_APIs_and_machine_learning.pdf","open")</f>
        <v>open</v>
      </c>
      <c r="F1270" t="s">
        <v>7130</v>
      </c>
      <c r="G1270" t="s">
        <v>9528</v>
      </c>
      <c r="I1270" t="s">
        <v>9524</v>
      </c>
    </row>
    <row r="1271" spans="1:9" x14ac:dyDescent="0.2">
      <c r="A1271" t="s">
        <v>1132</v>
      </c>
      <c r="B1271" t="s">
        <v>1133</v>
      </c>
      <c r="C1271" t="s">
        <v>363</v>
      </c>
      <c r="D1271" t="s">
        <v>1135</v>
      </c>
      <c r="E1271" t="str">
        <f>HYPERLINK("/pdf/2016_10.1016_j.infsof.2016.03.004_Effective_detection_of_android_malware_based_on_the_usage_of_data_flow_APIs_and_machine_learning.pdf","open")</f>
        <v>open</v>
      </c>
      <c r="F1271" t="s">
        <v>7130</v>
      </c>
      <c r="G1271" t="s">
        <v>9529</v>
      </c>
      <c r="I1271" t="s">
        <v>9521</v>
      </c>
    </row>
    <row r="1272" spans="1:9" x14ac:dyDescent="0.2">
      <c r="A1272" t="s">
        <v>1137</v>
      </c>
      <c r="B1272" t="s">
        <v>1138</v>
      </c>
      <c r="C1272" t="s">
        <v>25</v>
      </c>
      <c r="D1272" t="s">
        <v>1140</v>
      </c>
      <c r="E1272" t="str">
        <f>HYPERLINK("/pdf/2023_10.1109_iceei59426.2023.10346644_Managing_Security_Hazards_in_BYOD__A_Comparative_Analysis_of_Artificial_Intelligent_Techniques.pdf","open")</f>
        <v>open</v>
      </c>
      <c r="F1272" t="s">
        <v>7119</v>
      </c>
      <c r="G1272" t="s">
        <v>9530</v>
      </c>
      <c r="H1272" t="s">
        <v>9531</v>
      </c>
      <c r="I1272" t="s">
        <v>9532</v>
      </c>
    </row>
    <row r="1273" spans="1:9" x14ac:dyDescent="0.2">
      <c r="A1273" t="s">
        <v>1137</v>
      </c>
      <c r="B1273" t="s">
        <v>1138</v>
      </c>
      <c r="C1273" t="s">
        <v>25</v>
      </c>
      <c r="D1273" t="s">
        <v>1140</v>
      </c>
      <c r="E1273" t="str">
        <f>HYPERLINK("/pdf/2023_10.1109_iceei59426.2023.10346644_Managing_Security_Hazards_in_BYOD__A_Comparative_Analysis_of_Artificial_Intelligent_Techniques.pdf","open")</f>
        <v>open</v>
      </c>
      <c r="F1273" t="s">
        <v>7119</v>
      </c>
      <c r="G1273" t="s">
        <v>9533</v>
      </c>
      <c r="H1273" t="s">
        <v>9534</v>
      </c>
      <c r="I1273" t="s">
        <v>9535</v>
      </c>
    </row>
    <row r="1274" spans="1:9" x14ac:dyDescent="0.2">
      <c r="A1274" t="s">
        <v>1137</v>
      </c>
      <c r="B1274" t="s">
        <v>1138</v>
      </c>
      <c r="C1274" t="s">
        <v>25</v>
      </c>
      <c r="D1274" t="s">
        <v>1140</v>
      </c>
      <c r="E1274" t="str">
        <f>HYPERLINK("/pdf/2023_10.1109_iceei59426.2023.10346644_Managing_Security_Hazards_in_BYOD__A_Comparative_Analysis_of_Artificial_Intelligent_Techniques.pdf","open")</f>
        <v>open</v>
      </c>
      <c r="F1274" t="s">
        <v>7130</v>
      </c>
      <c r="G1274" t="s">
        <v>9536</v>
      </c>
      <c r="I1274" t="s">
        <v>7158</v>
      </c>
    </row>
    <row r="1275" spans="1:9" x14ac:dyDescent="0.2">
      <c r="A1275" t="s">
        <v>1142</v>
      </c>
      <c r="B1275" t="s">
        <v>1143</v>
      </c>
      <c r="C1275" t="s">
        <v>25</v>
      </c>
      <c r="D1275" t="s">
        <v>1142</v>
      </c>
      <c r="E1275" t="str">
        <f>HYPERLINK("/pdf/2023_10.1145_3577923.3583650_Infotainment_System_Matters__Understanding_the_Impact_and_Implications_of_In-Vehicle_Infotainment_System_Hacki.pdf","open")</f>
        <v>open</v>
      </c>
      <c r="F1275" t="s">
        <v>7119</v>
      </c>
      <c r="G1275" t="s">
        <v>9537</v>
      </c>
      <c r="H1275" t="s">
        <v>9538</v>
      </c>
      <c r="I1275" t="s">
        <v>9539</v>
      </c>
    </row>
    <row r="1276" spans="1:9" x14ac:dyDescent="0.2">
      <c r="A1276" t="s">
        <v>1142</v>
      </c>
      <c r="B1276" t="s">
        <v>1143</v>
      </c>
      <c r="C1276" t="s">
        <v>25</v>
      </c>
      <c r="D1276" t="s">
        <v>1142</v>
      </c>
      <c r="E1276" t="str">
        <f>HYPERLINK("/pdf/2023_10.1145_3577923.3583650_Infotainment_System_Matters__Understanding_the_Impact_and_Implications_of_In-Vehicle_Infotainment_System_Hacki.pdf","open")</f>
        <v>open</v>
      </c>
      <c r="F1276" t="s">
        <v>7119</v>
      </c>
      <c r="G1276" t="s">
        <v>9540</v>
      </c>
      <c r="H1276" t="s">
        <v>9541</v>
      </c>
      <c r="I1276" t="s">
        <v>9542</v>
      </c>
    </row>
    <row r="1277" spans="1:9" x14ac:dyDescent="0.2">
      <c r="A1277" t="s">
        <v>1142</v>
      </c>
      <c r="B1277" t="s">
        <v>1143</v>
      </c>
      <c r="C1277" t="s">
        <v>25</v>
      </c>
      <c r="D1277" t="s">
        <v>1142</v>
      </c>
      <c r="E1277" t="str">
        <f>HYPERLINK("/pdf/2023_10.1145_3577923.3583650_Infotainment_System_Matters__Understanding_the_Impact_and_Implications_of_In-Vehicle_Infotainment_System_Hacki.pdf","open")</f>
        <v>open</v>
      </c>
      <c r="F1277" t="s">
        <v>7130</v>
      </c>
      <c r="G1277" t="s">
        <v>1601</v>
      </c>
      <c r="I1277" t="s">
        <v>9543</v>
      </c>
    </row>
    <row r="1278" spans="1:9" x14ac:dyDescent="0.2">
      <c r="A1278" t="s">
        <v>1142</v>
      </c>
      <c r="B1278" t="s">
        <v>1143</v>
      </c>
      <c r="C1278" t="s">
        <v>25</v>
      </c>
      <c r="D1278" t="s">
        <v>1142</v>
      </c>
      <c r="E1278" t="str">
        <f>HYPERLINK("/pdf/2023_10.1145_3577923.3583650_Infotainment_System_Matters__Understanding_the_Impact_and_Implications_of_In-Vehicle_Infotainment_System_Hacki.pdf","open")</f>
        <v>open</v>
      </c>
      <c r="F1278" t="s">
        <v>7130</v>
      </c>
      <c r="G1278" t="s">
        <v>1598</v>
      </c>
      <c r="I1278" t="s">
        <v>9544</v>
      </c>
    </row>
    <row r="1279" spans="1:9" x14ac:dyDescent="0.2">
      <c r="A1279" t="s">
        <v>1146</v>
      </c>
      <c r="B1279" t="s">
        <v>1147</v>
      </c>
      <c r="C1279" t="s">
        <v>60</v>
      </c>
      <c r="D1279" t="s">
        <v>1149</v>
      </c>
      <c r="E1279" t="str">
        <f>HYPERLINK("/pdf/2025_10_3390_virtualworlds4010001_cybersecurity_and_privacy_challenges_in_extended_reality_threats_solutions_and_risk_mit.pdf","open")</f>
        <v>open</v>
      </c>
      <c r="F1279" t="s">
        <v>7119</v>
      </c>
      <c r="G1279" t="s">
        <v>9545</v>
      </c>
      <c r="H1279" t="s">
        <v>9546</v>
      </c>
      <c r="I1279" t="s">
        <v>9547</v>
      </c>
    </row>
    <row r="1280" spans="1:9" x14ac:dyDescent="0.2">
      <c r="A1280" t="s">
        <v>1146</v>
      </c>
      <c r="B1280" t="s">
        <v>1147</v>
      </c>
      <c r="C1280" t="s">
        <v>60</v>
      </c>
      <c r="D1280" t="s">
        <v>1149</v>
      </c>
      <c r="E1280" t="str">
        <f>HYPERLINK("/pdf/2025_10_3390_virtualworlds4010001_cybersecurity_and_privacy_challenges_in_extended_reality_threats_solutions_and_risk_mit.pdf","open")</f>
        <v>open</v>
      </c>
      <c r="F1280" t="s">
        <v>7119</v>
      </c>
      <c r="G1280" t="s">
        <v>9548</v>
      </c>
      <c r="H1280" t="s">
        <v>5163</v>
      </c>
      <c r="I1280" t="s">
        <v>9549</v>
      </c>
    </row>
    <row r="1281" spans="1:9" x14ac:dyDescent="0.2">
      <c r="A1281" t="s">
        <v>1146</v>
      </c>
      <c r="B1281" t="s">
        <v>1147</v>
      </c>
      <c r="C1281" t="s">
        <v>60</v>
      </c>
      <c r="D1281" t="s">
        <v>1149</v>
      </c>
      <c r="E1281" t="str">
        <f>HYPERLINK("/pdf/2025_10_3390_virtualworlds4010001_cybersecurity_and_privacy_challenges_in_extended_reality_threats_solutions_and_risk_mit.pdf","open")</f>
        <v>open</v>
      </c>
      <c r="F1281" t="s">
        <v>7130</v>
      </c>
      <c r="G1281" t="s">
        <v>1597</v>
      </c>
      <c r="I1281" t="s">
        <v>9550</v>
      </c>
    </row>
    <row r="1282" spans="1:9" x14ac:dyDescent="0.2">
      <c r="A1282" t="s">
        <v>1146</v>
      </c>
      <c r="B1282" t="s">
        <v>1147</v>
      </c>
      <c r="C1282" t="s">
        <v>60</v>
      </c>
      <c r="D1282" t="s">
        <v>1149</v>
      </c>
      <c r="E1282" t="str">
        <f>HYPERLINK("/pdf/2025_10_3390_virtualworlds4010001_cybersecurity_and_privacy_challenges_in_extended_reality_threats_solutions_and_risk_mit.pdf","open")</f>
        <v>open</v>
      </c>
      <c r="F1282" t="s">
        <v>7130</v>
      </c>
      <c r="G1282" t="s">
        <v>7131</v>
      </c>
      <c r="I1282" t="s">
        <v>9551</v>
      </c>
    </row>
    <row r="1283" spans="1:9" x14ac:dyDescent="0.2">
      <c r="A1283" t="s">
        <v>1151</v>
      </c>
      <c r="B1283" t="s">
        <v>1152</v>
      </c>
      <c r="C1283" t="s">
        <v>60</v>
      </c>
      <c r="D1283" t="s">
        <v>1154</v>
      </c>
      <c r="E1283" t="str">
        <f>HYPERLINK("/pdf/2024_10.1109_dicct61038.2024.10532908_Malware_Detection_Using_Control_Flow_Graphs.pdf","open")</f>
        <v>open</v>
      </c>
      <c r="F1283" t="s">
        <v>7119</v>
      </c>
      <c r="G1283" t="s">
        <v>9552</v>
      </c>
      <c r="H1283" t="s">
        <v>9553</v>
      </c>
      <c r="I1283" t="s">
        <v>9554</v>
      </c>
    </row>
    <row r="1284" spans="1:9" x14ac:dyDescent="0.2">
      <c r="A1284" t="s">
        <v>1151</v>
      </c>
      <c r="B1284" t="s">
        <v>1152</v>
      </c>
      <c r="C1284" t="s">
        <v>60</v>
      </c>
      <c r="D1284" t="s">
        <v>1154</v>
      </c>
      <c r="E1284" t="str">
        <f>HYPERLINK("/pdf/2024_10.1109_dicct61038.2024.10532908_Malware_Detection_Using_Control_Flow_Graphs.pdf","open")</f>
        <v>open</v>
      </c>
      <c r="F1284" t="s">
        <v>7119</v>
      </c>
      <c r="G1284" t="s">
        <v>9555</v>
      </c>
      <c r="H1284" t="s">
        <v>9556</v>
      </c>
      <c r="I1284" t="s">
        <v>9557</v>
      </c>
    </row>
    <row r="1285" spans="1:9" x14ac:dyDescent="0.2">
      <c r="A1285" t="s">
        <v>1151</v>
      </c>
      <c r="B1285" t="s">
        <v>1152</v>
      </c>
      <c r="C1285" t="s">
        <v>60</v>
      </c>
      <c r="D1285" t="s">
        <v>1154</v>
      </c>
      <c r="E1285" t="str">
        <f>HYPERLINK("/pdf/2024_10.1109_dicct61038.2024.10532908_Malware_Detection_Using_Control_Flow_Graphs.pdf","open")</f>
        <v>open</v>
      </c>
      <c r="F1285" t="s">
        <v>7119</v>
      </c>
      <c r="G1285" t="s">
        <v>9558</v>
      </c>
      <c r="H1285" t="s">
        <v>9559</v>
      </c>
      <c r="I1285" t="s">
        <v>9560</v>
      </c>
    </row>
    <row r="1286" spans="1:9" x14ac:dyDescent="0.2">
      <c r="A1286" t="s">
        <v>1151</v>
      </c>
      <c r="B1286" t="s">
        <v>1152</v>
      </c>
      <c r="C1286" t="s">
        <v>60</v>
      </c>
      <c r="D1286" t="s">
        <v>1154</v>
      </c>
      <c r="E1286" t="str">
        <f>HYPERLINK("/pdf/2024_10.1109_dicct61038.2024.10532908_Malware_Detection_Using_Control_Flow_Graphs.pdf","open")</f>
        <v>open</v>
      </c>
      <c r="F1286" t="s">
        <v>7130</v>
      </c>
      <c r="G1286" t="s">
        <v>1584</v>
      </c>
      <c r="I1286" t="s">
        <v>9561</v>
      </c>
    </row>
    <row r="1287" spans="1:9" x14ac:dyDescent="0.2">
      <c r="A1287" t="s">
        <v>1151</v>
      </c>
      <c r="B1287" t="s">
        <v>1152</v>
      </c>
      <c r="C1287" t="s">
        <v>60</v>
      </c>
      <c r="D1287" t="s">
        <v>1154</v>
      </c>
      <c r="E1287" t="str">
        <f>HYPERLINK("/pdf/2024_10.1109_dicct61038.2024.10532908_Malware_Detection_Using_Control_Flow_Graphs.pdf","open")</f>
        <v>open</v>
      </c>
      <c r="F1287" t="s">
        <v>7130</v>
      </c>
      <c r="G1287" t="s">
        <v>1592</v>
      </c>
      <c r="I1287" t="s">
        <v>9562</v>
      </c>
    </row>
    <row r="1288" spans="1:9" x14ac:dyDescent="0.2">
      <c r="A1288" t="s">
        <v>1156</v>
      </c>
      <c r="B1288" t="s">
        <v>1157</v>
      </c>
      <c r="C1288" t="s">
        <v>54</v>
      </c>
      <c r="D1288" t="s">
        <v>1159</v>
      </c>
      <c r="E1288" t="str">
        <f>HYPERLINK("/pdf/2020_10.1109_icin48450.2020.9059472_Cache-Property-Aware_Features_for_DNS_Tunneling_Detection.pdf","open")</f>
        <v>open</v>
      </c>
      <c r="F1288" t="s">
        <v>7119</v>
      </c>
      <c r="G1288" t="s">
        <v>9563</v>
      </c>
      <c r="H1288" t="s">
        <v>9564</v>
      </c>
      <c r="I1288" t="s">
        <v>9565</v>
      </c>
    </row>
    <row r="1289" spans="1:9" x14ac:dyDescent="0.2">
      <c r="A1289" t="s">
        <v>1156</v>
      </c>
      <c r="B1289" t="s">
        <v>1157</v>
      </c>
      <c r="C1289" t="s">
        <v>54</v>
      </c>
      <c r="D1289" t="s">
        <v>1159</v>
      </c>
      <c r="E1289" t="str">
        <f>HYPERLINK("/pdf/2020_10.1109_icin48450.2020.9059472_Cache-Property-Aware_Features_for_DNS_Tunneling_Detection.pdf","open")</f>
        <v>open</v>
      </c>
      <c r="F1289" t="s">
        <v>7119</v>
      </c>
      <c r="G1289" t="s">
        <v>9566</v>
      </c>
      <c r="H1289" t="s">
        <v>9567</v>
      </c>
      <c r="I1289" t="s">
        <v>9565</v>
      </c>
    </row>
    <row r="1290" spans="1:9" x14ac:dyDescent="0.2">
      <c r="A1290" t="s">
        <v>1156</v>
      </c>
      <c r="B1290" t="s">
        <v>1157</v>
      </c>
      <c r="C1290" t="s">
        <v>54</v>
      </c>
      <c r="D1290" t="s">
        <v>1159</v>
      </c>
      <c r="E1290" t="str">
        <f>HYPERLINK("/pdf/2020_10.1109_icin48450.2020.9059472_Cache-Property-Aware_Features_for_DNS_Tunneling_Detection.pdf","open")</f>
        <v>open</v>
      </c>
      <c r="F1290" t="s">
        <v>7119</v>
      </c>
      <c r="G1290" t="s">
        <v>9568</v>
      </c>
      <c r="H1290" t="s">
        <v>9569</v>
      </c>
      <c r="I1290" t="s">
        <v>9570</v>
      </c>
    </row>
    <row r="1291" spans="1:9" x14ac:dyDescent="0.2">
      <c r="A1291" t="s">
        <v>1156</v>
      </c>
      <c r="B1291" t="s">
        <v>1157</v>
      </c>
      <c r="C1291" t="s">
        <v>54</v>
      </c>
      <c r="D1291" t="s">
        <v>1159</v>
      </c>
      <c r="E1291" t="str">
        <f>HYPERLINK("/pdf/2020_10.1109_icin48450.2020.9059472_Cache-Property-Aware_Features_for_DNS_Tunneling_Detection.pdf","open")</f>
        <v>open</v>
      </c>
      <c r="F1291" t="s">
        <v>7130</v>
      </c>
      <c r="G1291" t="s">
        <v>9571</v>
      </c>
      <c r="I1291" t="s">
        <v>9572</v>
      </c>
    </row>
    <row r="1292" spans="1:9" x14ac:dyDescent="0.2">
      <c r="A1292" t="s">
        <v>1156</v>
      </c>
      <c r="B1292" t="s">
        <v>1157</v>
      </c>
      <c r="C1292" t="s">
        <v>54</v>
      </c>
      <c r="D1292" t="s">
        <v>1159</v>
      </c>
      <c r="E1292" t="str">
        <f>HYPERLINK("/pdf/2020_10.1109_icin48450.2020.9059472_Cache-Property-Aware_Features_for_DNS_Tunneling_Detection.pdf","open")</f>
        <v>open</v>
      </c>
      <c r="F1292" t="s">
        <v>7130</v>
      </c>
      <c r="G1292" t="s">
        <v>5650</v>
      </c>
      <c r="I1292" t="s">
        <v>9573</v>
      </c>
    </row>
    <row r="1293" spans="1:9" x14ac:dyDescent="0.2">
      <c r="A1293" t="s">
        <v>1161</v>
      </c>
      <c r="B1293" t="s">
        <v>1162</v>
      </c>
      <c r="C1293" t="s">
        <v>60</v>
      </c>
      <c r="D1293" t="s">
        <v>1164</v>
      </c>
      <c r="E1293" t="str">
        <f>HYPERLINK("/pdf/2024_10.1145_3649403.3656483_A_Privacy_Preserving_Context_Sensitive_Kernel.pdf","open")</f>
        <v>open</v>
      </c>
      <c r="F1293" t="s">
        <v>7119</v>
      </c>
      <c r="G1293" t="s">
        <v>9574</v>
      </c>
      <c r="H1293" t="s">
        <v>9575</v>
      </c>
      <c r="I1293" t="s">
        <v>9576</v>
      </c>
    </row>
    <row r="1294" spans="1:9" x14ac:dyDescent="0.2">
      <c r="A1294" t="s">
        <v>1161</v>
      </c>
      <c r="B1294" t="s">
        <v>1162</v>
      </c>
      <c r="C1294" t="s">
        <v>60</v>
      </c>
      <c r="D1294" t="s">
        <v>1164</v>
      </c>
      <c r="E1294" t="str">
        <f>HYPERLINK("/pdf/2024_10.1145_3649403.3656483_A_Privacy_Preserving_Context_Sensitive_Kernel.pdf","open")</f>
        <v>open</v>
      </c>
      <c r="F1294" t="s">
        <v>7119</v>
      </c>
      <c r="G1294" t="s">
        <v>7575</v>
      </c>
      <c r="H1294" t="s">
        <v>9577</v>
      </c>
      <c r="I1294" t="s">
        <v>9576</v>
      </c>
    </row>
    <row r="1295" spans="1:9" x14ac:dyDescent="0.2">
      <c r="A1295" t="s">
        <v>1161</v>
      </c>
      <c r="B1295" t="s">
        <v>1162</v>
      </c>
      <c r="C1295" t="s">
        <v>60</v>
      </c>
      <c r="D1295" t="s">
        <v>1164</v>
      </c>
      <c r="E1295" t="str">
        <f>HYPERLINK("/pdf/2024_10.1145_3649403.3656483_A_Privacy_Preserving_Context_Sensitive_Kernel.pdf","open")</f>
        <v>open</v>
      </c>
      <c r="F1295" t="s">
        <v>7119</v>
      </c>
      <c r="G1295" t="s">
        <v>8920</v>
      </c>
      <c r="H1295" t="s">
        <v>9578</v>
      </c>
      <c r="I1295" t="s">
        <v>9579</v>
      </c>
    </row>
    <row r="1296" spans="1:9" x14ac:dyDescent="0.2">
      <c r="A1296" t="s">
        <v>1161</v>
      </c>
      <c r="B1296" t="s">
        <v>1162</v>
      </c>
      <c r="C1296" t="s">
        <v>60</v>
      </c>
      <c r="D1296" t="s">
        <v>1164</v>
      </c>
      <c r="E1296" t="str">
        <f>HYPERLINK("/pdf/2024_10.1145_3649403.3656483_A_Privacy_Preserving_Context_Sensitive_Kernel.pdf","open")</f>
        <v>open</v>
      </c>
      <c r="F1296" t="s">
        <v>7130</v>
      </c>
      <c r="G1296" t="s">
        <v>1597</v>
      </c>
      <c r="I1296" t="s">
        <v>9580</v>
      </c>
    </row>
    <row r="1297" spans="1:9" x14ac:dyDescent="0.2">
      <c r="A1297" t="s">
        <v>1161</v>
      </c>
      <c r="B1297" t="s">
        <v>1162</v>
      </c>
      <c r="C1297" t="s">
        <v>60</v>
      </c>
      <c r="D1297" t="s">
        <v>1164</v>
      </c>
      <c r="E1297" t="str">
        <f>HYPERLINK("/pdf/2024_10.1145_3649403.3656483_A_Privacy_Preserving_Context_Sensitive_Kernel.pdf","open")</f>
        <v>open</v>
      </c>
      <c r="F1297" t="s">
        <v>7130</v>
      </c>
      <c r="G1297" t="s">
        <v>1592</v>
      </c>
      <c r="I1297" t="s">
        <v>9576</v>
      </c>
    </row>
    <row r="1298" spans="1:9" x14ac:dyDescent="0.2">
      <c r="A1298" t="s">
        <v>1166</v>
      </c>
      <c r="B1298" t="s">
        <v>1167</v>
      </c>
      <c r="C1298" t="s">
        <v>25</v>
      </c>
      <c r="D1298" t="s">
        <v>1169</v>
      </c>
      <c r="E1298" t="str">
        <f>HYPERLINK("/pdf/2023_10.1016_j.procs.2023.03.102_Broadening_the_Solution_Space_of_Feature_Selection_in_Time-interval-based_Malware_Detection.pdf","open")</f>
        <v>open</v>
      </c>
      <c r="F1298" t="s">
        <v>7119</v>
      </c>
      <c r="G1298" t="s">
        <v>9581</v>
      </c>
      <c r="H1298" t="s">
        <v>9582</v>
      </c>
      <c r="I1298" t="s">
        <v>9583</v>
      </c>
    </row>
    <row r="1299" spans="1:9" x14ac:dyDescent="0.2">
      <c r="A1299" t="s">
        <v>1166</v>
      </c>
      <c r="B1299" t="s">
        <v>1167</v>
      </c>
      <c r="C1299" t="s">
        <v>25</v>
      </c>
      <c r="D1299" t="s">
        <v>1169</v>
      </c>
      <c r="E1299" t="str">
        <f>HYPERLINK("/pdf/2023_10.1016_j.procs.2023.03.102_Broadening_the_Solution_Space_of_Feature_Selection_in_Time-interval-based_Malware_Detection.pdf","open")</f>
        <v>open</v>
      </c>
      <c r="F1299" t="s">
        <v>7119</v>
      </c>
      <c r="G1299" t="s">
        <v>9584</v>
      </c>
      <c r="H1299" t="s">
        <v>9585</v>
      </c>
      <c r="I1299" t="s">
        <v>9586</v>
      </c>
    </row>
    <row r="1300" spans="1:9" x14ac:dyDescent="0.2">
      <c r="A1300" t="s">
        <v>1166</v>
      </c>
      <c r="B1300" t="s">
        <v>1167</v>
      </c>
      <c r="C1300" t="s">
        <v>25</v>
      </c>
      <c r="D1300" t="s">
        <v>1169</v>
      </c>
      <c r="E1300" t="str">
        <f>HYPERLINK("/pdf/2023_10.1016_j.procs.2023.03.102_Broadening_the_Solution_Space_of_Feature_Selection_in_Time-interval-based_Malware_Detection.pdf","open")</f>
        <v>open</v>
      </c>
      <c r="F1300" t="s">
        <v>7119</v>
      </c>
      <c r="G1300" t="s">
        <v>9587</v>
      </c>
      <c r="H1300" t="s">
        <v>9588</v>
      </c>
      <c r="I1300" t="s">
        <v>9589</v>
      </c>
    </row>
    <row r="1301" spans="1:9" x14ac:dyDescent="0.2">
      <c r="A1301" t="s">
        <v>1166</v>
      </c>
      <c r="B1301" t="s">
        <v>1167</v>
      </c>
      <c r="C1301" t="s">
        <v>25</v>
      </c>
      <c r="D1301" t="s">
        <v>1169</v>
      </c>
      <c r="E1301" t="str">
        <f>HYPERLINK("/pdf/2023_10.1016_j.procs.2023.03.102_Broadening_the_Solution_Space_of_Feature_Selection_in_Time-interval-based_Malware_Detection.pdf","open")</f>
        <v>open</v>
      </c>
      <c r="F1301" t="s">
        <v>7130</v>
      </c>
      <c r="G1301" t="s">
        <v>9590</v>
      </c>
      <c r="I1301" t="s">
        <v>9591</v>
      </c>
    </row>
    <row r="1302" spans="1:9" x14ac:dyDescent="0.2">
      <c r="A1302" t="s">
        <v>1166</v>
      </c>
      <c r="B1302" t="s">
        <v>1167</v>
      </c>
      <c r="C1302" t="s">
        <v>25</v>
      </c>
      <c r="D1302" t="s">
        <v>1169</v>
      </c>
      <c r="E1302" t="str">
        <f>HYPERLINK("/pdf/2023_10.1016_j.procs.2023.03.102_Broadening_the_Solution_Space_of_Feature_Selection_in_Time-interval-based_Malware_Detection.pdf","open")</f>
        <v>open</v>
      </c>
      <c r="F1302" t="s">
        <v>7130</v>
      </c>
      <c r="G1302" t="s">
        <v>9592</v>
      </c>
      <c r="I1302" t="s">
        <v>9593</v>
      </c>
    </row>
    <row r="1303" spans="1:9" x14ac:dyDescent="0.2">
      <c r="A1303" t="s">
        <v>1171</v>
      </c>
      <c r="B1303" t="s">
        <v>1172</v>
      </c>
      <c r="C1303" t="s">
        <v>25</v>
      </c>
      <c r="D1303" t="s">
        <v>1174</v>
      </c>
      <c r="E1303" t="str">
        <f>HYPERLINK("/pdf/2023_10.1109_i-smac58438.2023.10290155_Efficient_Secured_Cloud_Storage_System_using_Dynamic_Multiple_Clouds_Cryptographic_Algorithm.pdf","open")</f>
        <v>open</v>
      </c>
      <c r="F1303" t="s">
        <v>7119</v>
      </c>
      <c r="G1303" t="s">
        <v>9594</v>
      </c>
      <c r="H1303" t="s">
        <v>9595</v>
      </c>
      <c r="I1303" t="s">
        <v>7151</v>
      </c>
    </row>
    <row r="1304" spans="1:9" x14ac:dyDescent="0.2">
      <c r="A1304" t="s">
        <v>1171</v>
      </c>
      <c r="B1304" t="s">
        <v>1172</v>
      </c>
      <c r="C1304" t="s">
        <v>25</v>
      </c>
      <c r="D1304" t="s">
        <v>1174</v>
      </c>
      <c r="E1304" t="str">
        <f>HYPERLINK("/pdf/2023_10.1109_i-smac58438.2023.10290155_Efficient_Secured_Cloud_Storage_System_using_Dynamic_Multiple_Clouds_Cryptographic_Algorithm.pdf","open")</f>
        <v>open</v>
      </c>
      <c r="F1304" t="s">
        <v>7119</v>
      </c>
      <c r="G1304" t="s">
        <v>7131</v>
      </c>
      <c r="H1304" t="s">
        <v>9596</v>
      </c>
      <c r="I1304" t="s">
        <v>7151</v>
      </c>
    </row>
    <row r="1305" spans="1:9" x14ac:dyDescent="0.2">
      <c r="A1305" t="s">
        <v>1171</v>
      </c>
      <c r="B1305" t="s">
        <v>1172</v>
      </c>
      <c r="C1305" t="s">
        <v>25</v>
      </c>
      <c r="D1305" t="s">
        <v>1174</v>
      </c>
      <c r="E1305" t="str">
        <f>HYPERLINK("/pdf/2023_10.1109_i-smac58438.2023.10290155_Efficient_Secured_Cloud_Storage_System_using_Dynamic_Multiple_Clouds_Cryptographic_Algorithm.pdf","open")</f>
        <v>open</v>
      </c>
      <c r="F1305" t="s">
        <v>7130</v>
      </c>
      <c r="G1305" t="s">
        <v>9289</v>
      </c>
      <c r="I1305" t="s">
        <v>9597</v>
      </c>
    </row>
    <row r="1306" spans="1:9" x14ac:dyDescent="0.2">
      <c r="A1306" t="s">
        <v>1176</v>
      </c>
      <c r="B1306" t="s">
        <v>1177</v>
      </c>
      <c r="C1306" t="s">
        <v>136</v>
      </c>
      <c r="D1306" t="s">
        <v>1178</v>
      </c>
      <c r="E1306" t="str">
        <f>HYPERLINK("/pdf/2019_10_3390_electronics8090968_dynamic_deep_forest_an_ensemble_classification_method_for_network_intrusion_detection.pdf","open")</f>
        <v>open</v>
      </c>
      <c r="F1306" t="s">
        <v>7119</v>
      </c>
      <c r="G1306" t="s">
        <v>9598</v>
      </c>
      <c r="H1306" t="s">
        <v>9599</v>
      </c>
      <c r="I1306" t="s">
        <v>7268</v>
      </c>
    </row>
    <row r="1307" spans="1:9" x14ac:dyDescent="0.2">
      <c r="A1307" t="s">
        <v>1176</v>
      </c>
      <c r="B1307" t="s">
        <v>1177</v>
      </c>
      <c r="C1307" t="s">
        <v>136</v>
      </c>
      <c r="D1307" t="s">
        <v>1178</v>
      </c>
      <c r="E1307" t="str">
        <f>HYPERLINK("/pdf/2019_10_3390_electronics8090968_dynamic_deep_forest_an_ensemble_classification_method_for_network_intrusion_detection.pdf","open")</f>
        <v>open</v>
      </c>
      <c r="F1307" t="s">
        <v>7119</v>
      </c>
      <c r="G1307" t="s">
        <v>9600</v>
      </c>
      <c r="H1307" t="s">
        <v>9601</v>
      </c>
      <c r="I1307" t="s">
        <v>8530</v>
      </c>
    </row>
    <row r="1308" spans="1:9" x14ac:dyDescent="0.2">
      <c r="A1308" t="s">
        <v>1176</v>
      </c>
      <c r="B1308" t="s">
        <v>1177</v>
      </c>
      <c r="C1308" t="s">
        <v>136</v>
      </c>
      <c r="D1308" t="s">
        <v>1178</v>
      </c>
      <c r="E1308" t="str">
        <f>HYPERLINK("/pdf/2019_10_3390_electronics8090968_dynamic_deep_forest_an_ensemble_classification_method_for_network_intrusion_detection.pdf","open")</f>
        <v>open</v>
      </c>
      <c r="F1308" t="s">
        <v>7130</v>
      </c>
      <c r="G1308" t="s">
        <v>9602</v>
      </c>
      <c r="I1308" t="s">
        <v>9603</v>
      </c>
    </row>
    <row r="1309" spans="1:9" x14ac:dyDescent="0.2">
      <c r="A1309" t="s">
        <v>1176</v>
      </c>
      <c r="B1309" t="s">
        <v>1177</v>
      </c>
      <c r="C1309" t="s">
        <v>136</v>
      </c>
      <c r="D1309" t="s">
        <v>1178</v>
      </c>
      <c r="E1309" t="str">
        <f>HYPERLINK("/pdf/2019_10_3390_electronics8090968_dynamic_deep_forest_an_ensemble_classification_method_for_network_intrusion_detection.pdf","open")</f>
        <v>open</v>
      </c>
      <c r="F1309" t="s">
        <v>7130</v>
      </c>
      <c r="G1309" t="s">
        <v>8534</v>
      </c>
      <c r="I1309" t="s">
        <v>9604</v>
      </c>
    </row>
    <row r="1310" spans="1:9" x14ac:dyDescent="0.2">
      <c r="A1310" t="s">
        <v>1180</v>
      </c>
      <c r="B1310" t="s">
        <v>1181</v>
      </c>
      <c r="C1310" t="s">
        <v>60</v>
      </c>
      <c r="D1310" t="s">
        <v>148</v>
      </c>
      <c r="E1310" t="str">
        <f>HYPERLINK("/pdf/2024_10.7492_qcqm1g12_AI-Powered_Cyber_Threat_Detection__Leveraging_Machine_Learning_for_RealTime_Anomaly_Identification_and_Threat_.pdf","open")</f>
        <v>open</v>
      </c>
      <c r="F1310" t="s">
        <v>7119</v>
      </c>
      <c r="G1310" t="s">
        <v>9605</v>
      </c>
      <c r="H1310" t="s">
        <v>9606</v>
      </c>
      <c r="I1310" t="s">
        <v>7519</v>
      </c>
    </row>
    <row r="1311" spans="1:9" x14ac:dyDescent="0.2">
      <c r="A1311" t="s">
        <v>1180</v>
      </c>
      <c r="B1311" t="s">
        <v>1181</v>
      </c>
      <c r="C1311" t="s">
        <v>60</v>
      </c>
      <c r="D1311" t="s">
        <v>148</v>
      </c>
      <c r="E1311" t="str">
        <f>HYPERLINK("/pdf/2024_10.7492_qcqm1g12_AI-Powered_Cyber_Threat_Detection__Leveraging_Machine_Learning_for_RealTime_Anomaly_Identification_and_Threat_.pdf","open")</f>
        <v>open</v>
      </c>
      <c r="F1311" t="s">
        <v>7119</v>
      </c>
      <c r="G1311" t="s">
        <v>9607</v>
      </c>
      <c r="H1311" t="s">
        <v>9608</v>
      </c>
      <c r="I1311" t="s">
        <v>9342</v>
      </c>
    </row>
    <row r="1312" spans="1:9" x14ac:dyDescent="0.2">
      <c r="A1312" t="s">
        <v>1180</v>
      </c>
      <c r="B1312" t="s">
        <v>1181</v>
      </c>
      <c r="C1312" t="s">
        <v>60</v>
      </c>
      <c r="D1312" t="s">
        <v>148</v>
      </c>
      <c r="E1312" t="str">
        <f>HYPERLINK("/pdf/2024_10.7492_qcqm1g12_AI-Powered_Cyber_Threat_Detection__Leveraging_Machine_Learning_for_RealTime_Anomaly_Identification_and_Threat_.pdf","open")</f>
        <v>open</v>
      </c>
      <c r="F1312" t="s">
        <v>7130</v>
      </c>
      <c r="G1312" t="s">
        <v>9609</v>
      </c>
      <c r="I1312" t="s">
        <v>9610</v>
      </c>
    </row>
    <row r="1313" spans="1:9" x14ac:dyDescent="0.2">
      <c r="A1313" t="s">
        <v>1184</v>
      </c>
      <c r="B1313" t="s">
        <v>1185</v>
      </c>
      <c r="C1313" t="s">
        <v>54</v>
      </c>
      <c r="D1313" t="s">
        <v>1187</v>
      </c>
      <c r="E1313" t="str">
        <f>HYPERLINK("/pdf/2020_10.1145_3365578_Hardware_Trojan_mitigation_in_pipelined_MPSoCs.pdf","open")</f>
        <v>open</v>
      </c>
      <c r="F1313" t="s">
        <v>7119</v>
      </c>
      <c r="G1313" t="s">
        <v>9611</v>
      </c>
      <c r="H1313" t="s">
        <v>9612</v>
      </c>
      <c r="I1313" t="s">
        <v>7764</v>
      </c>
    </row>
    <row r="1314" spans="1:9" x14ac:dyDescent="0.2">
      <c r="A1314" t="s">
        <v>1184</v>
      </c>
      <c r="B1314" t="s">
        <v>1185</v>
      </c>
      <c r="C1314" t="s">
        <v>54</v>
      </c>
      <c r="D1314" t="s">
        <v>1187</v>
      </c>
      <c r="E1314" t="str">
        <f>HYPERLINK("/pdf/2020_10.1145_3365578_Hardware_Trojan_mitigation_in_pipelined_MPSoCs.pdf","open")</f>
        <v>open</v>
      </c>
      <c r="F1314" t="s">
        <v>7119</v>
      </c>
      <c r="G1314" t="s">
        <v>9613</v>
      </c>
      <c r="H1314" t="s">
        <v>9614</v>
      </c>
      <c r="I1314" t="s">
        <v>8460</v>
      </c>
    </row>
    <row r="1315" spans="1:9" x14ac:dyDescent="0.2">
      <c r="A1315" t="s">
        <v>1184</v>
      </c>
      <c r="B1315" t="s">
        <v>1185</v>
      </c>
      <c r="C1315" t="s">
        <v>54</v>
      </c>
      <c r="D1315" t="s">
        <v>1187</v>
      </c>
      <c r="E1315" t="str">
        <f>HYPERLINK("/pdf/2020_10.1145_3365578_Hardware_Trojan_mitigation_in_pipelined_MPSoCs.pdf","open")</f>
        <v>open</v>
      </c>
      <c r="F1315" t="s">
        <v>7130</v>
      </c>
      <c r="G1315" t="s">
        <v>9528</v>
      </c>
      <c r="I1315" t="s">
        <v>9615</v>
      </c>
    </row>
    <row r="1316" spans="1:9" x14ac:dyDescent="0.2">
      <c r="A1316" t="s">
        <v>1184</v>
      </c>
      <c r="B1316" t="s">
        <v>1185</v>
      </c>
      <c r="C1316" t="s">
        <v>54</v>
      </c>
      <c r="D1316" t="s">
        <v>1187</v>
      </c>
      <c r="E1316" t="str">
        <f>HYPERLINK("/pdf/2020_10.1145_3365578_Hardware_Trojan_mitigation_in_pipelined_MPSoCs.pdf","open")</f>
        <v>open</v>
      </c>
      <c r="F1316" t="s">
        <v>7130</v>
      </c>
      <c r="G1316" t="s">
        <v>9616</v>
      </c>
      <c r="I1316" t="s">
        <v>9617</v>
      </c>
    </row>
    <row r="1317" spans="1:9" x14ac:dyDescent="0.2">
      <c r="A1317" t="s">
        <v>1189</v>
      </c>
      <c r="B1317" t="s">
        <v>1190</v>
      </c>
      <c r="C1317" t="s">
        <v>19</v>
      </c>
      <c r="D1317" t="s">
        <v>1192</v>
      </c>
      <c r="E1317" t="str">
        <f>HYPERLINK("/pdf/2025_10.1109_icoin63865.2025.10993160_Privacy-Preserving_Generative_Adversarial_Network-Based_Data_Synthesis_for_Intelligent_Intrusion_Detection_Sys.pdf","open")</f>
        <v>open</v>
      </c>
      <c r="F1317" t="s">
        <v>7119</v>
      </c>
      <c r="G1317" t="s">
        <v>9618</v>
      </c>
      <c r="H1317" t="s">
        <v>9619</v>
      </c>
      <c r="I1317" t="s">
        <v>9620</v>
      </c>
    </row>
    <row r="1318" spans="1:9" x14ac:dyDescent="0.2">
      <c r="A1318" t="s">
        <v>1189</v>
      </c>
      <c r="B1318" t="s">
        <v>1190</v>
      </c>
      <c r="C1318" t="s">
        <v>19</v>
      </c>
      <c r="D1318" t="s">
        <v>1192</v>
      </c>
      <c r="E1318" t="str">
        <f>HYPERLINK("/pdf/2025_10.1109_icoin63865.2025.10993160_Privacy-Preserving_Generative_Adversarial_Network-Based_Data_Synthesis_for_Intelligent_Intrusion_Detection_Sys.pdf","open")</f>
        <v>open</v>
      </c>
      <c r="F1318" t="s">
        <v>7119</v>
      </c>
      <c r="G1318" t="s">
        <v>9621</v>
      </c>
      <c r="H1318" t="s">
        <v>9622</v>
      </c>
      <c r="I1318" t="s">
        <v>9623</v>
      </c>
    </row>
    <row r="1319" spans="1:9" x14ac:dyDescent="0.2">
      <c r="A1319" t="s">
        <v>1189</v>
      </c>
      <c r="B1319" t="s">
        <v>1190</v>
      </c>
      <c r="C1319" t="s">
        <v>19</v>
      </c>
      <c r="D1319" t="s">
        <v>1192</v>
      </c>
      <c r="E1319" t="str">
        <f>HYPERLINK("/pdf/2025_10.1109_icoin63865.2025.10993160_Privacy-Preserving_Generative_Adversarial_Network-Based_Data_Synthesis_for_Intelligent_Intrusion_Detection_Sys.pdf","open")</f>
        <v>open</v>
      </c>
      <c r="F1319" t="s">
        <v>7119</v>
      </c>
      <c r="G1319" t="s">
        <v>9624</v>
      </c>
      <c r="H1319" t="s">
        <v>9625</v>
      </c>
      <c r="I1319" t="s">
        <v>9626</v>
      </c>
    </row>
    <row r="1320" spans="1:9" x14ac:dyDescent="0.2">
      <c r="A1320" t="s">
        <v>1189</v>
      </c>
      <c r="B1320" t="s">
        <v>1190</v>
      </c>
      <c r="C1320" t="s">
        <v>19</v>
      </c>
      <c r="D1320" t="s">
        <v>1192</v>
      </c>
      <c r="E1320" t="str">
        <f>HYPERLINK("/pdf/2025_10.1109_icoin63865.2025.10993160_Privacy-Preserving_Generative_Adversarial_Network-Based_Data_Synthesis_for_Intelligent_Intrusion_Detection_Sys.pdf","open")</f>
        <v>open</v>
      </c>
      <c r="F1320" t="s">
        <v>7130</v>
      </c>
      <c r="G1320" t="s">
        <v>8470</v>
      </c>
      <c r="I1320" t="s">
        <v>9627</v>
      </c>
    </row>
    <row r="1321" spans="1:9" x14ac:dyDescent="0.2">
      <c r="A1321" t="s">
        <v>1189</v>
      </c>
      <c r="B1321" t="s">
        <v>1190</v>
      </c>
      <c r="C1321" t="s">
        <v>19</v>
      </c>
      <c r="D1321" t="s">
        <v>1192</v>
      </c>
      <c r="E1321" t="str">
        <f>HYPERLINK("/pdf/2025_10.1109_icoin63865.2025.10993160_Privacy-Preserving_Generative_Adversarial_Network-Based_Data_Synthesis_for_Intelligent_Intrusion_Detection_Sys.pdf","open")</f>
        <v>open</v>
      </c>
      <c r="F1321" t="s">
        <v>7130</v>
      </c>
      <c r="G1321" t="s">
        <v>5650</v>
      </c>
      <c r="I1321" t="s">
        <v>9628</v>
      </c>
    </row>
    <row r="1322" spans="1:9" x14ac:dyDescent="0.2">
      <c r="A1322" t="s">
        <v>1194</v>
      </c>
      <c r="B1322" t="s">
        <v>1195</v>
      </c>
      <c r="C1322" t="s">
        <v>25</v>
      </c>
      <c r="D1322" t="s">
        <v>1197</v>
      </c>
      <c r="E1322" t="str">
        <f>HYPERLINK("/pdf/2023_10.1145_3603781.3603906_Detection_of_Network_Time_Covert_Channels_Based_on_Image_Processing.pdf","open")</f>
        <v>open</v>
      </c>
      <c r="F1322" t="s">
        <v>7119</v>
      </c>
      <c r="G1322" t="s">
        <v>9002</v>
      </c>
      <c r="H1322" t="s">
        <v>9629</v>
      </c>
      <c r="I1322" t="s">
        <v>9630</v>
      </c>
    </row>
    <row r="1323" spans="1:9" x14ac:dyDescent="0.2">
      <c r="A1323" t="s">
        <v>1194</v>
      </c>
      <c r="B1323" t="s">
        <v>1195</v>
      </c>
      <c r="C1323" t="s">
        <v>25</v>
      </c>
      <c r="D1323" t="s">
        <v>1197</v>
      </c>
      <c r="E1323" t="str">
        <f>HYPERLINK("/pdf/2023_10.1145_3603781.3603906_Detection_of_Network_Time_Covert_Channels_Based_on_Image_Processing.pdf","open")</f>
        <v>open</v>
      </c>
      <c r="F1323" t="s">
        <v>7119</v>
      </c>
      <c r="G1323" t="s">
        <v>9631</v>
      </c>
      <c r="H1323" t="s">
        <v>9632</v>
      </c>
      <c r="I1323" t="s">
        <v>9633</v>
      </c>
    </row>
    <row r="1324" spans="1:9" x14ac:dyDescent="0.2">
      <c r="A1324" t="s">
        <v>1194</v>
      </c>
      <c r="B1324" t="s">
        <v>1195</v>
      </c>
      <c r="C1324" t="s">
        <v>25</v>
      </c>
      <c r="D1324" t="s">
        <v>1197</v>
      </c>
      <c r="E1324" t="str">
        <f>HYPERLINK("/pdf/2023_10.1145_3603781.3603906_Detection_of_Network_Time_Covert_Channels_Based_on_Image_Processing.pdf","open")</f>
        <v>open</v>
      </c>
      <c r="F1324" t="s">
        <v>7119</v>
      </c>
      <c r="G1324" t="s">
        <v>9634</v>
      </c>
      <c r="H1324" t="s">
        <v>9635</v>
      </c>
      <c r="I1324" t="s">
        <v>9633</v>
      </c>
    </row>
    <row r="1325" spans="1:9" x14ac:dyDescent="0.2">
      <c r="A1325" t="s">
        <v>1194</v>
      </c>
      <c r="B1325" t="s">
        <v>1195</v>
      </c>
      <c r="C1325" t="s">
        <v>25</v>
      </c>
      <c r="D1325" t="s">
        <v>1197</v>
      </c>
      <c r="E1325" t="str">
        <f>HYPERLINK("/pdf/2023_10.1145_3603781.3603906_Detection_of_Network_Time_Covert_Channels_Based_on_Image_Processing.pdf","open")</f>
        <v>open</v>
      </c>
      <c r="F1325" t="s">
        <v>7130</v>
      </c>
      <c r="G1325" t="s">
        <v>1584</v>
      </c>
      <c r="I1325" t="s">
        <v>9636</v>
      </c>
    </row>
    <row r="1326" spans="1:9" x14ac:dyDescent="0.2">
      <c r="A1326" t="s">
        <v>1194</v>
      </c>
      <c r="B1326" t="s">
        <v>1195</v>
      </c>
      <c r="C1326" t="s">
        <v>25</v>
      </c>
      <c r="D1326" t="s">
        <v>1197</v>
      </c>
      <c r="E1326" t="str">
        <f>HYPERLINK("/pdf/2023_10.1145_3603781.3603906_Detection_of_Network_Time_Covert_Channels_Based_on_Image_Processing.pdf","open")</f>
        <v>open</v>
      </c>
      <c r="F1326" t="s">
        <v>7130</v>
      </c>
      <c r="G1326" t="s">
        <v>1601</v>
      </c>
      <c r="I1326" t="s">
        <v>9637</v>
      </c>
    </row>
    <row r="1327" spans="1:9" x14ac:dyDescent="0.2">
      <c r="A1327" t="s">
        <v>1199</v>
      </c>
      <c r="B1327" t="s">
        <v>1200</v>
      </c>
      <c r="C1327" t="s">
        <v>36</v>
      </c>
      <c r="D1327" t="s">
        <v>148</v>
      </c>
      <c r="E1327" t="str">
        <f>HYPERLINK("/pdf/2022_SECURE_ASPECTS_OF_DIGITALIZATION_IN_MANAGEMENT_ACCOUNTING_AND_FINANCES_OF_THE_SUBJECT_OF_THE_NATIONAL_ECONOMY_.pdf","open")</f>
        <v>open</v>
      </c>
      <c r="F1327" t="s">
        <v>7119</v>
      </c>
      <c r="G1327" t="s">
        <v>9638</v>
      </c>
      <c r="H1327" t="s">
        <v>9639</v>
      </c>
      <c r="I1327" t="s">
        <v>7151</v>
      </c>
    </row>
    <row r="1328" spans="1:9" x14ac:dyDescent="0.2">
      <c r="A1328" t="s">
        <v>1199</v>
      </c>
      <c r="B1328" t="s">
        <v>1200</v>
      </c>
      <c r="C1328" t="s">
        <v>36</v>
      </c>
      <c r="D1328" t="s">
        <v>148</v>
      </c>
      <c r="E1328" t="str">
        <f>HYPERLINK("/pdf/2022_SECURE_ASPECTS_OF_DIGITALIZATION_IN_MANAGEMENT_ACCOUNTING_AND_FINANCES_OF_THE_SUBJECT_OF_THE_NATIONAL_ECONOMY_.pdf","open")</f>
        <v>open</v>
      </c>
      <c r="F1328" t="s">
        <v>7119</v>
      </c>
      <c r="G1328" t="s">
        <v>9640</v>
      </c>
      <c r="H1328" t="s">
        <v>9641</v>
      </c>
      <c r="I1328" t="s">
        <v>9642</v>
      </c>
    </row>
    <row r="1329" spans="1:9" x14ac:dyDescent="0.2">
      <c r="A1329" t="s">
        <v>1199</v>
      </c>
      <c r="B1329" t="s">
        <v>1200</v>
      </c>
      <c r="C1329" t="s">
        <v>36</v>
      </c>
      <c r="D1329" t="s">
        <v>148</v>
      </c>
      <c r="E1329" t="str">
        <f>HYPERLINK("/pdf/2022_SECURE_ASPECTS_OF_DIGITALIZATION_IN_MANAGEMENT_ACCOUNTING_AND_FINANCES_OF_THE_SUBJECT_OF_THE_NATIONAL_ECONOMY_.pdf","open")</f>
        <v>open</v>
      </c>
      <c r="F1329" t="s">
        <v>7130</v>
      </c>
      <c r="G1329" t="s">
        <v>1571</v>
      </c>
      <c r="I1329" t="s">
        <v>9643</v>
      </c>
    </row>
    <row r="1330" spans="1:9" x14ac:dyDescent="0.2">
      <c r="A1330" t="s">
        <v>1199</v>
      </c>
      <c r="B1330" t="s">
        <v>1200</v>
      </c>
      <c r="C1330" t="s">
        <v>36</v>
      </c>
      <c r="D1330" t="s">
        <v>148</v>
      </c>
      <c r="E1330" t="str">
        <f>HYPERLINK("/pdf/2022_SECURE_ASPECTS_OF_DIGITALIZATION_IN_MANAGEMENT_ACCOUNTING_AND_FINANCES_OF_THE_SUBJECT_OF_THE_NATIONAL_ECONOMY_.pdf","open")</f>
        <v>open</v>
      </c>
      <c r="F1330" t="s">
        <v>7130</v>
      </c>
      <c r="G1330" t="s">
        <v>1592</v>
      </c>
      <c r="I1330" t="s">
        <v>9644</v>
      </c>
    </row>
    <row r="1331" spans="1:9" x14ac:dyDescent="0.2">
      <c r="B1331" t="s">
        <v>1203</v>
      </c>
      <c r="C1331" t="s">
        <v>148</v>
      </c>
      <c r="D1331" t="s">
        <v>148</v>
      </c>
      <c r="E1331" t="str">
        <f>HYPERLINK("/pdf/2014_10.1049_cp.2014.1340_Android's_sensitive_data_leakage_detection_based_on_API_monitoring.pdf","open")</f>
        <v>open</v>
      </c>
      <c r="F1331" t="s">
        <v>7119</v>
      </c>
      <c r="G1331" t="s">
        <v>9645</v>
      </c>
      <c r="H1331" t="s">
        <v>9646</v>
      </c>
      <c r="I1331" t="s">
        <v>9647</v>
      </c>
    </row>
    <row r="1332" spans="1:9" x14ac:dyDescent="0.2">
      <c r="B1332" t="s">
        <v>1203</v>
      </c>
      <c r="C1332" t="s">
        <v>148</v>
      </c>
      <c r="D1332" t="s">
        <v>148</v>
      </c>
      <c r="E1332" t="str">
        <f>HYPERLINK("/pdf/2014_10.1049_cp.2014.1340_Android's_sensitive_data_leakage_detection_based_on_API_monitoring.pdf","open")</f>
        <v>open</v>
      </c>
      <c r="F1332" t="s">
        <v>7119</v>
      </c>
      <c r="G1332" t="s">
        <v>9648</v>
      </c>
      <c r="H1332" t="s">
        <v>9649</v>
      </c>
      <c r="I1332" t="s">
        <v>9650</v>
      </c>
    </row>
    <row r="1333" spans="1:9" x14ac:dyDescent="0.2">
      <c r="B1333" t="s">
        <v>1203</v>
      </c>
      <c r="C1333" t="s">
        <v>148</v>
      </c>
      <c r="D1333" t="s">
        <v>148</v>
      </c>
      <c r="E1333" t="str">
        <f>HYPERLINK("/pdf/2014_10.1049_cp.2014.1340_Android's_sensitive_data_leakage_detection_based_on_API_monitoring.pdf","open")</f>
        <v>open</v>
      </c>
      <c r="F1333" t="s">
        <v>7130</v>
      </c>
      <c r="G1333" t="s">
        <v>1592</v>
      </c>
      <c r="I1333" t="s">
        <v>9647</v>
      </c>
    </row>
    <row r="1334" spans="1:9" x14ac:dyDescent="0.2">
      <c r="B1334" t="s">
        <v>1203</v>
      </c>
      <c r="C1334" t="s">
        <v>148</v>
      </c>
      <c r="D1334" t="s">
        <v>148</v>
      </c>
      <c r="E1334" t="str">
        <f>HYPERLINK("/pdf/2014_10.1049_cp.2014.1340_Android's_sensitive_data_leakage_detection_based_on_API_monitoring.pdf","open")</f>
        <v>open</v>
      </c>
      <c r="F1334" t="s">
        <v>7130</v>
      </c>
      <c r="G1334" t="s">
        <v>1601</v>
      </c>
      <c r="I1334" t="s">
        <v>9650</v>
      </c>
    </row>
    <row r="1335" spans="1:9" x14ac:dyDescent="0.2">
      <c r="A1335" t="s">
        <v>1205</v>
      </c>
      <c r="B1335" t="s">
        <v>1206</v>
      </c>
      <c r="C1335" t="s">
        <v>36</v>
      </c>
      <c r="D1335" t="s">
        <v>1208</v>
      </c>
      <c r="E1335" t="str">
        <f>HYPERLINK("/pdf/2021_10_1109_tnsm_2021_3078428_dns_tunneling_detection_by_cache_property_aware_features.pdf","open")</f>
        <v>open</v>
      </c>
      <c r="F1335" t="s">
        <v>7119</v>
      </c>
      <c r="G1335" t="s">
        <v>9651</v>
      </c>
      <c r="H1335" t="s">
        <v>9652</v>
      </c>
      <c r="I1335" t="s">
        <v>9653</v>
      </c>
    </row>
    <row r="1336" spans="1:9" x14ac:dyDescent="0.2">
      <c r="A1336" t="s">
        <v>1205</v>
      </c>
      <c r="B1336" t="s">
        <v>1206</v>
      </c>
      <c r="C1336" t="s">
        <v>36</v>
      </c>
      <c r="D1336" t="s">
        <v>1208</v>
      </c>
      <c r="E1336" t="str">
        <f>HYPERLINK("/pdf/2021_10_1109_tnsm_2021_3078428_dns_tunneling_detection_by_cache_property_aware_features.pdf","open")</f>
        <v>open</v>
      </c>
      <c r="F1336" t="s">
        <v>7119</v>
      </c>
      <c r="G1336" t="s">
        <v>9654</v>
      </c>
      <c r="H1336" t="s">
        <v>9655</v>
      </c>
      <c r="I1336" t="s">
        <v>9656</v>
      </c>
    </row>
    <row r="1337" spans="1:9" x14ac:dyDescent="0.2">
      <c r="A1337" t="s">
        <v>1205</v>
      </c>
      <c r="B1337" t="s">
        <v>1206</v>
      </c>
      <c r="C1337" t="s">
        <v>36</v>
      </c>
      <c r="D1337" t="s">
        <v>1208</v>
      </c>
      <c r="E1337" t="str">
        <f>HYPERLINK("/pdf/2021_10_1109_tnsm_2021_3078428_dns_tunneling_detection_by_cache_property_aware_features.pdf","open")</f>
        <v>open</v>
      </c>
      <c r="F1337" t="s">
        <v>7130</v>
      </c>
      <c r="G1337" t="s">
        <v>9657</v>
      </c>
      <c r="I1337" t="s">
        <v>9658</v>
      </c>
    </row>
    <row r="1338" spans="1:9" x14ac:dyDescent="0.2">
      <c r="A1338" t="s">
        <v>1210</v>
      </c>
      <c r="B1338" t="s">
        <v>760</v>
      </c>
      <c r="C1338" t="s">
        <v>48</v>
      </c>
      <c r="D1338" t="s">
        <v>761</v>
      </c>
      <c r="E1338" t="str">
        <f>HYPERLINK("/pdf/2026_10.1038_s41598-026-36731-8_ASTRID-Net__SE-enhanced_triple_attention_deep_learning_framework_for_IoT_and_IIoT_security.pdf","open")</f>
        <v>open</v>
      </c>
      <c r="F1338" t="s">
        <v>7119</v>
      </c>
      <c r="G1338" t="s">
        <v>9659</v>
      </c>
      <c r="H1338" t="s">
        <v>8778</v>
      </c>
      <c r="I1338" t="s">
        <v>9660</v>
      </c>
    </row>
    <row r="1339" spans="1:9" x14ac:dyDescent="0.2">
      <c r="A1339" t="s">
        <v>1210</v>
      </c>
      <c r="B1339" t="s">
        <v>760</v>
      </c>
      <c r="C1339" t="s">
        <v>48</v>
      </c>
      <c r="D1339" t="s">
        <v>761</v>
      </c>
      <c r="E1339" t="str">
        <f>HYPERLINK("/pdf/2026_10.1038_s41598-026-36731-8_ASTRID-Net__SE-enhanced_triple_attention_deep_learning_framework_for_IoT_and_IIoT_security.pdf","open")</f>
        <v>open</v>
      </c>
      <c r="F1339" t="s">
        <v>7119</v>
      </c>
      <c r="G1339" t="s">
        <v>9661</v>
      </c>
      <c r="H1339" t="s">
        <v>8772</v>
      </c>
      <c r="I1339" t="s">
        <v>9662</v>
      </c>
    </row>
    <row r="1340" spans="1:9" x14ac:dyDescent="0.2">
      <c r="A1340" t="s">
        <v>1210</v>
      </c>
      <c r="B1340" t="s">
        <v>760</v>
      </c>
      <c r="C1340" t="s">
        <v>48</v>
      </c>
      <c r="D1340" t="s">
        <v>761</v>
      </c>
      <c r="E1340" t="str">
        <f>HYPERLINK("/pdf/2026_10.1038_s41598-026-36731-8_ASTRID-Net__SE-enhanced_triple_attention_deep_learning_framework_for_IoT_and_IIoT_security.pdf","open")</f>
        <v>open</v>
      </c>
      <c r="F1340" t="s">
        <v>7119</v>
      </c>
      <c r="G1340" t="s">
        <v>9663</v>
      </c>
      <c r="H1340" t="s">
        <v>9664</v>
      </c>
      <c r="I1340" t="s">
        <v>9665</v>
      </c>
    </row>
    <row r="1341" spans="1:9" x14ac:dyDescent="0.2">
      <c r="A1341" t="s">
        <v>1210</v>
      </c>
      <c r="B1341" t="s">
        <v>760</v>
      </c>
      <c r="C1341" t="s">
        <v>48</v>
      </c>
      <c r="D1341" t="s">
        <v>761</v>
      </c>
      <c r="E1341" t="str">
        <f>HYPERLINK("/pdf/2026_10.1038_s41598-026-36731-8_ASTRID-Net__SE-enhanced_triple_attention_deep_learning_framework_for_IoT_and_IIoT_security.pdf","open")</f>
        <v>open</v>
      </c>
      <c r="F1341" t="s">
        <v>7130</v>
      </c>
      <c r="G1341" t="s">
        <v>9666</v>
      </c>
      <c r="I1341" t="s">
        <v>9667</v>
      </c>
    </row>
    <row r="1342" spans="1:9" x14ac:dyDescent="0.2">
      <c r="A1342" t="s">
        <v>1210</v>
      </c>
      <c r="B1342" t="s">
        <v>760</v>
      </c>
      <c r="C1342" t="s">
        <v>48</v>
      </c>
      <c r="D1342" t="s">
        <v>761</v>
      </c>
      <c r="E1342" t="str">
        <f>HYPERLINK("/pdf/2026_10.1038_s41598-026-36731-8_ASTRID-Net__SE-enhanced_triple_attention_deep_learning_framework_for_IoT_and_IIoT_security.pdf","open")</f>
        <v>open</v>
      </c>
      <c r="F1342" t="s">
        <v>7130</v>
      </c>
      <c r="G1342" t="s">
        <v>9668</v>
      </c>
      <c r="I1342" t="s">
        <v>9669</v>
      </c>
    </row>
    <row r="1343" spans="1:9" x14ac:dyDescent="0.2">
      <c r="A1343" t="s">
        <v>1212</v>
      </c>
      <c r="B1343" t="s">
        <v>1213</v>
      </c>
      <c r="C1343" t="s">
        <v>19</v>
      </c>
      <c r="D1343" t="s">
        <v>1215</v>
      </c>
      <c r="E1343" t="str">
        <f>HYPERLINK("/pdf/2025_10.70389_pjs.100115_Psyche_Components_in_the_Organization_of_Safety_Systems__The_Role_of_a_Person_in_the_Protection_of_Facilities_.pdf","open")</f>
        <v>open</v>
      </c>
      <c r="F1343" t="s">
        <v>7119</v>
      </c>
      <c r="G1343" t="s">
        <v>9670</v>
      </c>
      <c r="H1343" t="s">
        <v>9671</v>
      </c>
      <c r="I1343" t="s">
        <v>9672</v>
      </c>
    </row>
    <row r="1344" spans="1:9" x14ac:dyDescent="0.2">
      <c r="A1344" t="s">
        <v>1212</v>
      </c>
      <c r="B1344" t="s">
        <v>1213</v>
      </c>
      <c r="C1344" t="s">
        <v>19</v>
      </c>
      <c r="D1344" t="s">
        <v>1215</v>
      </c>
      <c r="E1344" t="str">
        <f>HYPERLINK("/pdf/2025_10.70389_pjs.100115_Psyche_Components_in_the_Organization_of_Safety_Systems__The_Role_of_a_Person_in_the_Protection_of_Facilities_.pdf","open")</f>
        <v>open</v>
      </c>
      <c r="F1344" t="s">
        <v>7130</v>
      </c>
      <c r="G1344" t="s">
        <v>5650</v>
      </c>
      <c r="I1344" t="s">
        <v>9673</v>
      </c>
    </row>
    <row r="1345" spans="1:9" x14ac:dyDescent="0.2">
      <c r="A1345" t="s">
        <v>148</v>
      </c>
      <c r="B1345" t="s">
        <v>1217</v>
      </c>
      <c r="C1345" t="s">
        <v>25</v>
      </c>
      <c r="D1345" t="s">
        <v>1219</v>
      </c>
      <c r="E1345" t="str">
        <f>HYPERLINK("/pdf/2023_10.1109_iccasit58768.2023.10351717_Research_and_Application_of_Cybersecurity_Situation_Awareness_for_Smart_Grid_Power_Control_System.pdf","open")</f>
        <v>open</v>
      </c>
      <c r="F1345" t="s">
        <v>7119</v>
      </c>
      <c r="G1345" t="s">
        <v>9674</v>
      </c>
      <c r="H1345" t="s">
        <v>9675</v>
      </c>
      <c r="I1345" t="s">
        <v>9676</v>
      </c>
    </row>
    <row r="1346" spans="1:9" x14ac:dyDescent="0.2">
      <c r="A1346" t="s">
        <v>148</v>
      </c>
      <c r="B1346" t="s">
        <v>1217</v>
      </c>
      <c r="C1346" t="s">
        <v>25</v>
      </c>
      <c r="D1346" t="s">
        <v>1219</v>
      </c>
      <c r="E1346" t="str">
        <f>HYPERLINK("/pdf/2023_10.1109_iccasit58768.2023.10351717_Research_and_Application_of_Cybersecurity_Situation_Awareness_for_Smart_Grid_Power_Control_System.pdf","open")</f>
        <v>open</v>
      </c>
      <c r="F1346" t="s">
        <v>7119</v>
      </c>
      <c r="G1346" t="s">
        <v>9677</v>
      </c>
      <c r="H1346" t="s">
        <v>6769</v>
      </c>
      <c r="I1346" t="s">
        <v>9678</v>
      </c>
    </row>
    <row r="1347" spans="1:9" x14ac:dyDescent="0.2">
      <c r="A1347" t="s">
        <v>148</v>
      </c>
      <c r="B1347" t="s">
        <v>1217</v>
      </c>
      <c r="C1347" t="s">
        <v>25</v>
      </c>
      <c r="D1347" t="s">
        <v>1219</v>
      </c>
      <c r="E1347" t="str">
        <f>HYPERLINK("/pdf/2023_10.1109_iccasit58768.2023.10351717_Research_and_Application_of_Cybersecurity_Situation_Awareness_for_Smart_Grid_Power_Control_System.pdf","open")</f>
        <v>open</v>
      </c>
      <c r="F1347" t="s">
        <v>7130</v>
      </c>
      <c r="G1347" t="s">
        <v>9679</v>
      </c>
      <c r="I1347" t="s">
        <v>9680</v>
      </c>
    </row>
    <row r="1348" spans="1:9" x14ac:dyDescent="0.2">
      <c r="A1348" t="s">
        <v>148</v>
      </c>
      <c r="B1348" t="s">
        <v>1217</v>
      </c>
      <c r="C1348" t="s">
        <v>25</v>
      </c>
      <c r="D1348" t="s">
        <v>1219</v>
      </c>
      <c r="E1348" t="str">
        <f>HYPERLINK("/pdf/2023_10.1109_iccasit58768.2023.10351717_Research_and_Application_of_Cybersecurity_Situation_Awareness_for_Smart_Grid_Power_Control_System.pdf","open")</f>
        <v>open</v>
      </c>
      <c r="F1348" t="s">
        <v>7130</v>
      </c>
      <c r="G1348" t="s">
        <v>1574</v>
      </c>
      <c r="I1348" t="s">
        <v>9676</v>
      </c>
    </row>
    <row r="1349" spans="1:9" x14ac:dyDescent="0.2">
      <c r="A1349" t="s">
        <v>1221</v>
      </c>
      <c r="B1349" t="s">
        <v>1222</v>
      </c>
      <c r="C1349" t="s">
        <v>25</v>
      </c>
      <c r="D1349" t="s">
        <v>1224</v>
      </c>
      <c r="E1349" t="str">
        <f>HYPERLINK("/pdf/2023_10_1109_fmec59375_2023_10305886_an_overview_of_using_of_artificial_intelligence_in_enhancing_security_and_privac.pdf","open")</f>
        <v>open</v>
      </c>
      <c r="F1349" t="s">
        <v>7119</v>
      </c>
      <c r="G1349" t="s">
        <v>9681</v>
      </c>
      <c r="H1349" t="s">
        <v>9682</v>
      </c>
      <c r="I1349" t="s">
        <v>7313</v>
      </c>
    </row>
    <row r="1350" spans="1:9" x14ac:dyDescent="0.2">
      <c r="A1350" t="s">
        <v>1221</v>
      </c>
      <c r="B1350" t="s">
        <v>1222</v>
      </c>
      <c r="C1350" t="s">
        <v>25</v>
      </c>
      <c r="D1350" t="s">
        <v>1224</v>
      </c>
      <c r="E1350" t="str">
        <f>HYPERLINK("/pdf/2023_10_1109_fmec59375_2023_10305886_an_overview_of_using_of_artificial_intelligence_in_enhancing_security_and_privac.pdf","open")</f>
        <v>open</v>
      </c>
      <c r="F1350" t="s">
        <v>7119</v>
      </c>
      <c r="G1350" t="s">
        <v>9683</v>
      </c>
      <c r="H1350" t="s">
        <v>9684</v>
      </c>
      <c r="I1350" t="s">
        <v>9685</v>
      </c>
    </row>
    <row r="1351" spans="1:9" x14ac:dyDescent="0.2">
      <c r="A1351" t="s">
        <v>1221</v>
      </c>
      <c r="B1351" t="s">
        <v>1222</v>
      </c>
      <c r="C1351" t="s">
        <v>25</v>
      </c>
      <c r="D1351" t="s">
        <v>1224</v>
      </c>
      <c r="E1351" t="str">
        <f>HYPERLINK("/pdf/2023_10_1109_fmec59375_2023_10305886_an_overview_of_using_of_artificial_intelligence_in_enhancing_security_and_privac.pdf","open")</f>
        <v>open</v>
      </c>
      <c r="F1351" t="s">
        <v>7130</v>
      </c>
      <c r="G1351" t="s">
        <v>9686</v>
      </c>
      <c r="I1351" t="s">
        <v>9687</v>
      </c>
    </row>
    <row r="1352" spans="1:9" x14ac:dyDescent="0.2">
      <c r="A1352" t="s">
        <v>1226</v>
      </c>
      <c r="B1352" t="s">
        <v>1227</v>
      </c>
      <c r="C1352" t="s">
        <v>363</v>
      </c>
      <c r="D1352" t="s">
        <v>1229</v>
      </c>
      <c r="E1352" t="str">
        <f>HYPERLINK("/pdf/2016_10_13052_jcsm2245_1439_521_lazarus_data_leakage_with_pgp_and_resurrection_of_the_revoked_user.pdf","open")</f>
        <v>open</v>
      </c>
      <c r="F1352" t="s">
        <v>7119</v>
      </c>
      <c r="G1352" t="s">
        <v>9688</v>
      </c>
      <c r="H1352" t="s">
        <v>9689</v>
      </c>
      <c r="I1352" t="s">
        <v>9690</v>
      </c>
    </row>
    <row r="1353" spans="1:9" x14ac:dyDescent="0.2">
      <c r="A1353" t="s">
        <v>1226</v>
      </c>
      <c r="B1353" t="s">
        <v>1227</v>
      </c>
      <c r="C1353" t="s">
        <v>363</v>
      </c>
      <c r="D1353" t="s">
        <v>1229</v>
      </c>
      <c r="E1353" t="str">
        <f>HYPERLINK("/pdf/2016_10_13052_jcsm2245_1439_521_lazarus_data_leakage_with_pgp_and_resurrection_of_the_revoked_user.pdf","open")</f>
        <v>open</v>
      </c>
      <c r="F1353" t="s">
        <v>7130</v>
      </c>
      <c r="G1353" t="s">
        <v>1573</v>
      </c>
      <c r="I1353" t="s">
        <v>9691</v>
      </c>
    </row>
    <row r="1354" spans="1:9" x14ac:dyDescent="0.2">
      <c r="A1354" t="s">
        <v>1231</v>
      </c>
      <c r="B1354" t="s">
        <v>1232</v>
      </c>
      <c r="C1354" t="s">
        <v>190</v>
      </c>
      <c r="D1354" t="s">
        <v>1234</v>
      </c>
      <c r="E1354" t="str">
        <f>HYPERLINK("/pdf/2017_10.1145_3171592.3171597_Network_behavioral_features_for_detecting_remote_access_trojans_in_the_early_stage.pdf","open")</f>
        <v>open</v>
      </c>
      <c r="F1354" t="s">
        <v>7119</v>
      </c>
      <c r="G1354" t="s">
        <v>9692</v>
      </c>
      <c r="H1354" t="s">
        <v>9693</v>
      </c>
      <c r="I1354" t="s">
        <v>7689</v>
      </c>
    </row>
    <row r="1355" spans="1:9" x14ac:dyDescent="0.2">
      <c r="A1355" t="s">
        <v>1231</v>
      </c>
      <c r="B1355" t="s">
        <v>1232</v>
      </c>
      <c r="C1355" t="s">
        <v>190</v>
      </c>
      <c r="D1355" t="s">
        <v>1234</v>
      </c>
      <c r="E1355" t="str">
        <f>HYPERLINK("/pdf/2017_10.1145_3171592.3171597_Network_behavioral_features_for_detecting_remote_access_trojans_in_the_early_stage.pdf","open")</f>
        <v>open</v>
      </c>
      <c r="F1355" t="s">
        <v>7119</v>
      </c>
      <c r="G1355" t="s">
        <v>9694</v>
      </c>
      <c r="H1355" t="s">
        <v>9695</v>
      </c>
      <c r="I1355" t="s">
        <v>7689</v>
      </c>
    </row>
    <row r="1356" spans="1:9" x14ac:dyDescent="0.2">
      <c r="A1356" t="s">
        <v>1231</v>
      </c>
      <c r="B1356" t="s">
        <v>1232</v>
      </c>
      <c r="C1356" t="s">
        <v>190</v>
      </c>
      <c r="D1356" t="s">
        <v>1234</v>
      </c>
      <c r="E1356" t="str">
        <f>HYPERLINK("/pdf/2017_10.1145_3171592.3171597_Network_behavioral_features_for_detecting_remote_access_trojans_in_the_early_stage.pdf","open")</f>
        <v>open</v>
      </c>
      <c r="F1356" t="s">
        <v>7119</v>
      </c>
      <c r="G1356" t="s">
        <v>9696</v>
      </c>
      <c r="H1356" t="s">
        <v>9697</v>
      </c>
      <c r="I1356" t="s">
        <v>7955</v>
      </c>
    </row>
    <row r="1357" spans="1:9" x14ac:dyDescent="0.2">
      <c r="A1357" t="s">
        <v>1231</v>
      </c>
      <c r="B1357" t="s">
        <v>1232</v>
      </c>
      <c r="C1357" t="s">
        <v>190</v>
      </c>
      <c r="D1357" t="s">
        <v>1234</v>
      </c>
      <c r="E1357" t="str">
        <f>HYPERLINK("/pdf/2017_10.1145_3171592.3171597_Network_behavioral_features_for_detecting_remote_access_trojans_in_the_early_stage.pdf","open")</f>
        <v>open</v>
      </c>
      <c r="F1357" t="s">
        <v>7130</v>
      </c>
      <c r="G1357" t="s">
        <v>9698</v>
      </c>
      <c r="I1357" t="s">
        <v>9699</v>
      </c>
    </row>
    <row r="1358" spans="1:9" x14ac:dyDescent="0.2">
      <c r="A1358" t="s">
        <v>1231</v>
      </c>
      <c r="B1358" t="s">
        <v>1232</v>
      </c>
      <c r="C1358" t="s">
        <v>190</v>
      </c>
      <c r="D1358" t="s">
        <v>1234</v>
      </c>
      <c r="E1358" t="str">
        <f>HYPERLINK("/pdf/2017_10.1145_3171592.3171597_Network_behavioral_features_for_detecting_remote_access_trojans_in_the_early_stage.pdf","open")</f>
        <v>open</v>
      </c>
      <c r="F1358" t="s">
        <v>7130</v>
      </c>
      <c r="G1358" t="s">
        <v>9700</v>
      </c>
      <c r="I1358" t="s">
        <v>9701</v>
      </c>
    </row>
    <row r="1359" spans="1:9" x14ac:dyDescent="0.2">
      <c r="A1359" t="s">
        <v>1236</v>
      </c>
      <c r="B1359" t="s">
        <v>1237</v>
      </c>
      <c r="C1359" t="s">
        <v>36</v>
      </c>
      <c r="D1359" t="s">
        <v>1239</v>
      </c>
      <c r="E1359" t="str">
        <f>HYPERLINK("/pdf/2021_10.1109_ent50460.2021.9681727_Specifics_of_Communication_Organization_and_Attacks_on_Medical_Cyber-physical_Devices.pdf","open")</f>
        <v>open</v>
      </c>
      <c r="F1359" t="s">
        <v>7119</v>
      </c>
      <c r="G1359" t="s">
        <v>9702</v>
      </c>
      <c r="H1359" t="s">
        <v>9703</v>
      </c>
      <c r="I1359" t="s">
        <v>7225</v>
      </c>
    </row>
    <row r="1360" spans="1:9" x14ac:dyDescent="0.2">
      <c r="A1360" t="s">
        <v>1236</v>
      </c>
      <c r="B1360" t="s">
        <v>1237</v>
      </c>
      <c r="C1360" t="s">
        <v>36</v>
      </c>
      <c r="D1360" t="s">
        <v>1239</v>
      </c>
      <c r="E1360" t="str">
        <f>HYPERLINK("/pdf/2021_10.1109_ent50460.2021.9681727_Specifics_of_Communication_Organization_and_Attacks_on_Medical_Cyber-physical_Devices.pdf","open")</f>
        <v>open</v>
      </c>
      <c r="F1360" t="s">
        <v>7119</v>
      </c>
      <c r="G1360" t="s">
        <v>9704</v>
      </c>
      <c r="H1360" t="s">
        <v>9705</v>
      </c>
      <c r="I1360" t="s">
        <v>7416</v>
      </c>
    </row>
    <row r="1361" spans="1:9" x14ac:dyDescent="0.2">
      <c r="A1361" t="s">
        <v>1236</v>
      </c>
      <c r="B1361" t="s">
        <v>1237</v>
      </c>
      <c r="C1361" t="s">
        <v>36</v>
      </c>
      <c r="D1361" t="s">
        <v>1239</v>
      </c>
      <c r="E1361" t="str">
        <f>HYPERLINK("/pdf/2021_10.1109_ent50460.2021.9681727_Specifics_of_Communication_Organization_and_Attacks_on_Medical_Cyber-physical_Devices.pdf","open")</f>
        <v>open</v>
      </c>
      <c r="F1361" t="s">
        <v>7130</v>
      </c>
      <c r="G1361" t="s">
        <v>1573</v>
      </c>
      <c r="I1361" t="s">
        <v>9706</v>
      </c>
    </row>
    <row r="1362" spans="1:9" x14ac:dyDescent="0.2">
      <c r="A1362" t="s">
        <v>1241</v>
      </c>
      <c r="B1362" t="s">
        <v>1043</v>
      </c>
      <c r="C1362" t="s">
        <v>210</v>
      </c>
      <c r="D1362" t="s">
        <v>148</v>
      </c>
      <c r="E1362" t="str">
        <f>HYPERLINK("/pdf/2016_10.1109_ccst.2015.7389685_A_Digital_Triage_Forensics_framework_of_Window_malware_forensic_toolkit__Based_on_ISO_IEC_27037_2012.pdf","open")</f>
        <v>open</v>
      </c>
      <c r="F1362" t="s">
        <v>7119</v>
      </c>
      <c r="G1362" t="s">
        <v>9707</v>
      </c>
      <c r="H1362" t="s">
        <v>9708</v>
      </c>
      <c r="I1362" t="s">
        <v>9709</v>
      </c>
    </row>
    <row r="1363" spans="1:9" x14ac:dyDescent="0.2">
      <c r="A1363" t="s">
        <v>1241</v>
      </c>
      <c r="B1363" t="s">
        <v>1043</v>
      </c>
      <c r="C1363" t="s">
        <v>210</v>
      </c>
      <c r="D1363" t="s">
        <v>148</v>
      </c>
      <c r="E1363" t="str">
        <f>HYPERLINK("/pdf/2016_10.1109_ccst.2015.7389685_A_Digital_Triage_Forensics_framework_of_Window_malware_forensic_toolkit__Based_on_ISO_IEC_27037_2012.pdf","open")</f>
        <v>open</v>
      </c>
      <c r="F1363" t="s">
        <v>7119</v>
      </c>
      <c r="G1363" t="s">
        <v>9710</v>
      </c>
      <c r="H1363" t="s">
        <v>9711</v>
      </c>
      <c r="I1363" t="s">
        <v>9712</v>
      </c>
    </row>
    <row r="1364" spans="1:9" x14ac:dyDescent="0.2">
      <c r="A1364" t="s">
        <v>1241</v>
      </c>
      <c r="B1364" t="s">
        <v>1043</v>
      </c>
      <c r="C1364" t="s">
        <v>210</v>
      </c>
      <c r="D1364" t="s">
        <v>148</v>
      </c>
      <c r="E1364" t="str">
        <f>HYPERLINK("/pdf/2016_10.1109_ccst.2015.7389685_A_Digital_Triage_Forensics_framework_of_Window_malware_forensic_toolkit__Based_on_ISO_IEC_27037_2012.pdf","open")</f>
        <v>open</v>
      </c>
      <c r="F1364" t="s">
        <v>7130</v>
      </c>
      <c r="G1364" t="s">
        <v>1571</v>
      </c>
      <c r="I1364" t="s">
        <v>9356</v>
      </c>
    </row>
    <row r="1365" spans="1:9" x14ac:dyDescent="0.2">
      <c r="A1365" t="s">
        <v>1241</v>
      </c>
      <c r="B1365" t="s">
        <v>1043</v>
      </c>
      <c r="C1365" t="s">
        <v>210</v>
      </c>
      <c r="D1365" t="s">
        <v>148</v>
      </c>
      <c r="E1365" t="str">
        <f>HYPERLINK("/pdf/2016_10.1109_ccst.2015.7389685_A_Digital_Triage_Forensics_framework_of_Window_malware_forensic_toolkit__Based_on_ISO_IEC_27037_2012.pdf","open")</f>
        <v>open</v>
      </c>
      <c r="F1365" t="s">
        <v>7130</v>
      </c>
      <c r="G1365" t="s">
        <v>5650</v>
      </c>
      <c r="I1365" t="s">
        <v>9355</v>
      </c>
    </row>
    <row r="1366" spans="1:9" x14ac:dyDescent="0.2">
      <c r="A1366" t="s">
        <v>1243</v>
      </c>
      <c r="B1366" t="s">
        <v>1244</v>
      </c>
      <c r="C1366" t="s">
        <v>100</v>
      </c>
      <c r="D1366" t="s">
        <v>148</v>
      </c>
      <c r="E1366" t="str">
        <f>HYPERLINK("/pdf/2022_10.23919_apsipaasc55919.2022.9979923_A_Comparison_of_Feature_Selection_and_Feature_Extraction_in_Network_Intrusion_Detection_Systems.pdf","open")</f>
        <v>open</v>
      </c>
      <c r="F1366" t="s">
        <v>7119</v>
      </c>
      <c r="G1366" t="s">
        <v>9713</v>
      </c>
      <c r="H1366" t="s">
        <v>9714</v>
      </c>
      <c r="I1366" t="s">
        <v>9715</v>
      </c>
    </row>
    <row r="1367" spans="1:9" x14ac:dyDescent="0.2">
      <c r="A1367" t="s">
        <v>1243</v>
      </c>
      <c r="B1367" t="s">
        <v>1244</v>
      </c>
      <c r="C1367" t="s">
        <v>100</v>
      </c>
      <c r="D1367" t="s">
        <v>148</v>
      </c>
      <c r="E1367" t="str">
        <f>HYPERLINK("/pdf/2022_10.23919_apsipaasc55919.2022.9979923_A_Comparison_of_Feature_Selection_and_Feature_Extraction_in_Network_Intrusion_Detection_Systems.pdf","open")</f>
        <v>open</v>
      </c>
      <c r="F1367" t="s">
        <v>7119</v>
      </c>
      <c r="G1367" t="s">
        <v>9716</v>
      </c>
      <c r="H1367" t="s">
        <v>9717</v>
      </c>
      <c r="I1367" t="s">
        <v>9718</v>
      </c>
    </row>
    <row r="1368" spans="1:9" x14ac:dyDescent="0.2">
      <c r="A1368" t="s">
        <v>1243</v>
      </c>
      <c r="B1368" t="s">
        <v>1244</v>
      </c>
      <c r="C1368" t="s">
        <v>100</v>
      </c>
      <c r="D1368" t="s">
        <v>148</v>
      </c>
      <c r="E1368" t="str">
        <f>HYPERLINK("/pdf/2022_10.23919_apsipaasc55919.2022.9979923_A_Comparison_of_Feature_Selection_and_Feature_Extraction_in_Network_Intrusion_Detection_Systems.pdf","open")</f>
        <v>open</v>
      </c>
      <c r="F1368" t="s">
        <v>7130</v>
      </c>
      <c r="G1368" t="s">
        <v>7651</v>
      </c>
      <c r="I1368" t="s">
        <v>9719</v>
      </c>
    </row>
    <row r="1369" spans="1:9" x14ac:dyDescent="0.2">
      <c r="A1369" t="s">
        <v>1243</v>
      </c>
      <c r="B1369" t="s">
        <v>1244</v>
      </c>
      <c r="C1369" t="s">
        <v>100</v>
      </c>
      <c r="D1369" t="s">
        <v>148</v>
      </c>
      <c r="E1369" t="str">
        <f>HYPERLINK("/pdf/2022_10.23919_apsipaasc55919.2022.9979923_A_Comparison_of_Feature_Selection_and_Feature_Extraction_in_Network_Intrusion_Detection_Systems.pdf","open")</f>
        <v>open</v>
      </c>
      <c r="F1369" t="s">
        <v>7130</v>
      </c>
      <c r="G1369" t="s">
        <v>9720</v>
      </c>
      <c r="I1369" t="s">
        <v>9721</v>
      </c>
    </row>
    <row r="1370" spans="1:9" x14ac:dyDescent="0.2">
      <c r="A1370" t="s">
        <v>1247</v>
      </c>
      <c r="B1370" t="s">
        <v>1248</v>
      </c>
      <c r="C1370" t="s">
        <v>54</v>
      </c>
      <c r="D1370" t="s">
        <v>1249</v>
      </c>
      <c r="E1370" t="str">
        <f>HYPERLINK("/pdf/2020_10_1109_access_2020_2996214_a_machine_learning_security_framework_for_iot_systems.pdf","open")</f>
        <v>open</v>
      </c>
      <c r="F1370" t="s">
        <v>7119</v>
      </c>
      <c r="G1370" t="s">
        <v>9722</v>
      </c>
      <c r="H1370" t="s">
        <v>9723</v>
      </c>
      <c r="I1370" t="s">
        <v>9293</v>
      </c>
    </row>
    <row r="1371" spans="1:9" x14ac:dyDescent="0.2">
      <c r="A1371" t="s">
        <v>1247</v>
      </c>
      <c r="B1371" t="s">
        <v>1248</v>
      </c>
      <c r="C1371" t="s">
        <v>54</v>
      </c>
      <c r="D1371" t="s">
        <v>1249</v>
      </c>
      <c r="E1371" t="str">
        <f>HYPERLINK("/pdf/2020_10_1109_access_2020_2996214_a_machine_learning_security_framework_for_iot_systems.pdf","open")</f>
        <v>open</v>
      </c>
      <c r="F1371" t="s">
        <v>7119</v>
      </c>
      <c r="G1371" t="s">
        <v>9724</v>
      </c>
      <c r="H1371" t="s">
        <v>9725</v>
      </c>
      <c r="I1371" t="s">
        <v>9438</v>
      </c>
    </row>
    <row r="1372" spans="1:9" x14ac:dyDescent="0.2">
      <c r="A1372" t="s">
        <v>1247</v>
      </c>
      <c r="B1372" t="s">
        <v>1248</v>
      </c>
      <c r="C1372" t="s">
        <v>54</v>
      </c>
      <c r="D1372" t="s">
        <v>1249</v>
      </c>
      <c r="E1372" t="str">
        <f>HYPERLINK("/pdf/2020_10_1109_access_2020_2996214_a_machine_learning_security_framework_for_iot_systems.pdf","open")</f>
        <v>open</v>
      </c>
      <c r="F1372" t="s">
        <v>7119</v>
      </c>
      <c r="G1372" t="s">
        <v>9726</v>
      </c>
      <c r="H1372" t="s">
        <v>9727</v>
      </c>
      <c r="I1372" t="s">
        <v>9141</v>
      </c>
    </row>
    <row r="1373" spans="1:9" x14ac:dyDescent="0.2">
      <c r="A1373" t="s">
        <v>1247</v>
      </c>
      <c r="B1373" t="s">
        <v>1248</v>
      </c>
      <c r="C1373" t="s">
        <v>54</v>
      </c>
      <c r="D1373" t="s">
        <v>1249</v>
      </c>
      <c r="E1373" t="str">
        <f>HYPERLINK("/pdf/2020_10_1109_access_2020_2996214_a_machine_learning_security_framework_for_iot_systems.pdf","open")</f>
        <v>open</v>
      </c>
      <c r="F1373" t="s">
        <v>7130</v>
      </c>
      <c r="G1373" t="s">
        <v>9728</v>
      </c>
      <c r="I1373" t="s">
        <v>9729</v>
      </c>
    </row>
    <row r="1374" spans="1:9" x14ac:dyDescent="0.2">
      <c r="A1374" t="s">
        <v>1247</v>
      </c>
      <c r="B1374" t="s">
        <v>1248</v>
      </c>
      <c r="C1374" t="s">
        <v>54</v>
      </c>
      <c r="D1374" t="s">
        <v>1249</v>
      </c>
      <c r="E1374" t="str">
        <f>HYPERLINK("/pdf/2020_10_1109_access_2020_2996214_a_machine_learning_security_framework_for_iot_systems.pdf","open")</f>
        <v>open</v>
      </c>
      <c r="F1374" t="s">
        <v>7130</v>
      </c>
      <c r="G1374" t="s">
        <v>8534</v>
      </c>
      <c r="I1374" t="s">
        <v>9730</v>
      </c>
    </row>
    <row r="1375" spans="1:9" x14ac:dyDescent="0.2">
      <c r="A1375" t="s">
        <v>1251</v>
      </c>
      <c r="B1375" t="s">
        <v>1252</v>
      </c>
      <c r="C1375" t="s">
        <v>54</v>
      </c>
      <c r="D1375" t="s">
        <v>1254</v>
      </c>
      <c r="E1375" t="str">
        <f>HYPERLINK("/pdf/2020_10.1109_msn50589.2020.00060_Optimal_defense_strategy_against_evasion_attacks.pdf","open")</f>
        <v>open</v>
      </c>
      <c r="F1375" t="s">
        <v>7119</v>
      </c>
      <c r="G1375" t="s">
        <v>9731</v>
      </c>
      <c r="H1375" t="s">
        <v>9732</v>
      </c>
      <c r="I1375" t="s">
        <v>9733</v>
      </c>
    </row>
    <row r="1376" spans="1:9" x14ac:dyDescent="0.2">
      <c r="A1376" t="s">
        <v>1251</v>
      </c>
      <c r="B1376" t="s">
        <v>1252</v>
      </c>
      <c r="C1376" t="s">
        <v>54</v>
      </c>
      <c r="D1376" t="s">
        <v>1254</v>
      </c>
      <c r="E1376" t="str">
        <f>HYPERLINK("/pdf/2020_10.1109_msn50589.2020.00060_Optimal_defense_strategy_against_evasion_attacks.pdf","open")</f>
        <v>open</v>
      </c>
      <c r="F1376" t="s">
        <v>7119</v>
      </c>
      <c r="G1376" t="s">
        <v>9734</v>
      </c>
      <c r="H1376" t="s">
        <v>9735</v>
      </c>
      <c r="I1376" t="s">
        <v>9736</v>
      </c>
    </row>
    <row r="1377" spans="1:9" x14ac:dyDescent="0.2">
      <c r="A1377" t="s">
        <v>1251</v>
      </c>
      <c r="B1377" t="s">
        <v>1252</v>
      </c>
      <c r="C1377" t="s">
        <v>54</v>
      </c>
      <c r="D1377" t="s">
        <v>1254</v>
      </c>
      <c r="E1377" t="str">
        <f>HYPERLINK("/pdf/2020_10.1109_msn50589.2020.00060_Optimal_defense_strategy_against_evasion_attacks.pdf","open")</f>
        <v>open</v>
      </c>
      <c r="F1377" t="s">
        <v>7130</v>
      </c>
      <c r="G1377" t="s">
        <v>3989</v>
      </c>
      <c r="I1377" t="s">
        <v>9737</v>
      </c>
    </row>
    <row r="1378" spans="1:9" x14ac:dyDescent="0.2">
      <c r="A1378" t="s">
        <v>1251</v>
      </c>
      <c r="B1378" t="s">
        <v>1252</v>
      </c>
      <c r="C1378" t="s">
        <v>54</v>
      </c>
      <c r="D1378" t="s">
        <v>1254</v>
      </c>
      <c r="E1378" t="str">
        <f>HYPERLINK("/pdf/2020_10.1109_msn50589.2020.00060_Optimal_defense_strategy_against_evasion_attacks.pdf","open")</f>
        <v>open</v>
      </c>
      <c r="F1378" t="s">
        <v>7130</v>
      </c>
      <c r="G1378" t="s">
        <v>1592</v>
      </c>
      <c r="I1378" t="s">
        <v>9737</v>
      </c>
    </row>
    <row r="1379" spans="1:9" x14ac:dyDescent="0.2">
      <c r="A1379" t="s">
        <v>1256</v>
      </c>
      <c r="B1379" t="s">
        <v>1257</v>
      </c>
      <c r="C1379" t="s">
        <v>48</v>
      </c>
      <c r="D1379" t="s">
        <v>1258</v>
      </c>
      <c r="E1379" t="str">
        <f>HYPERLINK("/pdf/2026_10.1109_tcad.2025.3580649_Dynamic_Interposer_Obfuscation_Through_Distributed_Scramblers_in_Heterogeneously_Integrated_2.5D_ICs.pdf","open")</f>
        <v>open</v>
      </c>
      <c r="F1379" t="s">
        <v>7119</v>
      </c>
      <c r="G1379" t="s">
        <v>9738</v>
      </c>
      <c r="H1379" t="s">
        <v>9739</v>
      </c>
      <c r="I1379" t="s">
        <v>9740</v>
      </c>
    </row>
    <row r="1380" spans="1:9" x14ac:dyDescent="0.2">
      <c r="A1380" t="s">
        <v>1256</v>
      </c>
      <c r="B1380" t="s">
        <v>1257</v>
      </c>
      <c r="C1380" t="s">
        <v>48</v>
      </c>
      <c r="D1380" t="s">
        <v>1258</v>
      </c>
      <c r="E1380" t="str">
        <f>HYPERLINK("/pdf/2026_10.1109_tcad.2025.3580649_Dynamic_Interposer_Obfuscation_Through_Distributed_Scramblers_in_Heterogeneously_Integrated_2.5D_ICs.pdf","open")</f>
        <v>open</v>
      </c>
      <c r="F1380" t="s">
        <v>7119</v>
      </c>
      <c r="G1380" t="s">
        <v>9741</v>
      </c>
      <c r="H1380" t="s">
        <v>9742</v>
      </c>
      <c r="I1380" t="s">
        <v>9743</v>
      </c>
    </row>
    <row r="1381" spans="1:9" x14ac:dyDescent="0.2">
      <c r="A1381" t="s">
        <v>1256</v>
      </c>
      <c r="B1381" t="s">
        <v>1257</v>
      </c>
      <c r="C1381" t="s">
        <v>48</v>
      </c>
      <c r="D1381" t="s">
        <v>1258</v>
      </c>
      <c r="E1381" t="str">
        <f>HYPERLINK("/pdf/2026_10.1109_tcad.2025.3580649_Dynamic_Interposer_Obfuscation_Through_Distributed_Scramblers_in_Heterogeneously_Integrated_2.5D_ICs.pdf","open")</f>
        <v>open</v>
      </c>
      <c r="F1381" t="s">
        <v>7119</v>
      </c>
      <c r="G1381" t="s">
        <v>8113</v>
      </c>
      <c r="H1381" t="s">
        <v>9744</v>
      </c>
      <c r="I1381" t="s">
        <v>9745</v>
      </c>
    </row>
    <row r="1382" spans="1:9" x14ac:dyDescent="0.2">
      <c r="A1382" t="s">
        <v>1256</v>
      </c>
      <c r="B1382" t="s">
        <v>1257</v>
      </c>
      <c r="C1382" t="s">
        <v>48</v>
      </c>
      <c r="D1382" t="s">
        <v>1258</v>
      </c>
      <c r="E1382" t="str">
        <f>HYPERLINK("/pdf/2026_10.1109_tcad.2025.3580649_Dynamic_Interposer_Obfuscation_Through_Distributed_Scramblers_in_Heterogeneously_Integrated_2.5D_ICs.pdf","open")</f>
        <v>open</v>
      </c>
      <c r="F1382" t="s">
        <v>7130</v>
      </c>
      <c r="G1382" t="s">
        <v>1597</v>
      </c>
      <c r="I1382" t="s">
        <v>9746</v>
      </c>
    </row>
    <row r="1383" spans="1:9" x14ac:dyDescent="0.2">
      <c r="A1383" t="s">
        <v>1256</v>
      </c>
      <c r="B1383" t="s">
        <v>1257</v>
      </c>
      <c r="C1383" t="s">
        <v>48</v>
      </c>
      <c r="D1383" t="s">
        <v>1258</v>
      </c>
      <c r="E1383" t="str">
        <f>HYPERLINK("/pdf/2026_10.1109_tcad.2025.3580649_Dynamic_Interposer_Obfuscation_Through_Distributed_Scramblers_in_Heterogeneously_Integrated_2.5D_ICs.pdf","open")</f>
        <v>open</v>
      </c>
      <c r="F1383" t="s">
        <v>7130</v>
      </c>
      <c r="G1383" t="s">
        <v>1573</v>
      </c>
      <c r="I1383" t="s">
        <v>9747</v>
      </c>
    </row>
    <row r="1384" spans="1:9" x14ac:dyDescent="0.2">
      <c r="A1384" t="s">
        <v>1260</v>
      </c>
      <c r="B1384" t="s">
        <v>1261</v>
      </c>
      <c r="C1384" t="s">
        <v>25</v>
      </c>
      <c r="D1384" t="s">
        <v>1263</v>
      </c>
      <c r="E1384" t="str">
        <f>HYPERLINK("/pdf/2023_10.1109_rmkmate59243.2023.10369056_A_Survey_on_Cyber_Attack_Detection__Techniques,_Datasets,_and_Challenge.pdf","open")</f>
        <v>open</v>
      </c>
      <c r="F1384" t="s">
        <v>7119</v>
      </c>
      <c r="G1384" t="s">
        <v>9748</v>
      </c>
      <c r="H1384" t="s">
        <v>9749</v>
      </c>
      <c r="I1384" t="s">
        <v>9750</v>
      </c>
    </row>
    <row r="1385" spans="1:9" x14ac:dyDescent="0.2">
      <c r="A1385" t="s">
        <v>1260</v>
      </c>
      <c r="B1385" t="s">
        <v>1261</v>
      </c>
      <c r="C1385" t="s">
        <v>25</v>
      </c>
      <c r="D1385" t="s">
        <v>1263</v>
      </c>
      <c r="E1385" t="str">
        <f>HYPERLINK("/pdf/2023_10.1109_rmkmate59243.2023.10369056_A_Survey_on_Cyber_Attack_Detection__Techniques,_Datasets,_and_Challenge.pdf","open")</f>
        <v>open</v>
      </c>
      <c r="F1385" t="s">
        <v>7119</v>
      </c>
      <c r="G1385" t="s">
        <v>9751</v>
      </c>
      <c r="H1385" t="s">
        <v>9752</v>
      </c>
      <c r="I1385" t="s">
        <v>9753</v>
      </c>
    </row>
    <row r="1386" spans="1:9" x14ac:dyDescent="0.2">
      <c r="A1386" t="s">
        <v>1260</v>
      </c>
      <c r="B1386" t="s">
        <v>1261</v>
      </c>
      <c r="C1386" t="s">
        <v>25</v>
      </c>
      <c r="D1386" t="s">
        <v>1263</v>
      </c>
      <c r="E1386" t="str">
        <f>HYPERLINK("/pdf/2023_10.1109_rmkmate59243.2023.10369056_A_Survey_on_Cyber_Attack_Detection__Techniques,_Datasets,_and_Challenge.pdf","open")</f>
        <v>open</v>
      </c>
      <c r="F1386" t="s">
        <v>7130</v>
      </c>
      <c r="G1386" t="s">
        <v>1597</v>
      </c>
      <c r="I1386" t="s">
        <v>9754</v>
      </c>
    </row>
    <row r="1387" spans="1:9" x14ac:dyDescent="0.2">
      <c r="A1387" t="s">
        <v>1260</v>
      </c>
      <c r="B1387" t="s">
        <v>1261</v>
      </c>
      <c r="C1387" t="s">
        <v>25</v>
      </c>
      <c r="D1387" t="s">
        <v>1263</v>
      </c>
      <c r="E1387" t="str">
        <f>HYPERLINK("/pdf/2023_10.1109_rmkmate59243.2023.10369056_A_Survey_on_Cyber_Attack_Detection__Techniques,_Datasets,_and_Challenge.pdf","open")</f>
        <v>open</v>
      </c>
      <c r="F1387" t="s">
        <v>7130</v>
      </c>
      <c r="G1387" t="s">
        <v>1601</v>
      </c>
      <c r="I1387" t="s">
        <v>9750</v>
      </c>
    </row>
    <row r="1388" spans="1:9" x14ac:dyDescent="0.2">
      <c r="A1388" t="s">
        <v>1265</v>
      </c>
      <c r="B1388" t="s">
        <v>1266</v>
      </c>
      <c r="C1388" t="s">
        <v>60</v>
      </c>
      <c r="D1388" t="s">
        <v>1268</v>
      </c>
      <c r="E1388" t="str">
        <f>HYPERLINK("/pdf/2024_10.1109_dcoss-iot61029.2024.00041_SAfER__Simplified_Auto-encoder_for_(Anomalous)_Event_Recognition.pdf","open")</f>
        <v>open</v>
      </c>
      <c r="F1388" t="s">
        <v>7119</v>
      </c>
      <c r="G1388" t="s">
        <v>9755</v>
      </c>
      <c r="H1388" t="s">
        <v>9756</v>
      </c>
      <c r="I1388" t="s">
        <v>7416</v>
      </c>
    </row>
    <row r="1389" spans="1:9" x14ac:dyDescent="0.2">
      <c r="A1389" t="s">
        <v>1265</v>
      </c>
      <c r="B1389" t="s">
        <v>1266</v>
      </c>
      <c r="C1389" t="s">
        <v>60</v>
      </c>
      <c r="D1389" t="s">
        <v>1268</v>
      </c>
      <c r="E1389" t="str">
        <f>HYPERLINK("/pdf/2024_10.1109_dcoss-iot61029.2024.00041_SAfER__Simplified_Auto-encoder_for_(Anomalous)_Event_Recognition.pdf","open")</f>
        <v>open</v>
      </c>
      <c r="F1389" t="s">
        <v>7119</v>
      </c>
      <c r="G1389" t="s">
        <v>9757</v>
      </c>
      <c r="H1389" t="s">
        <v>9758</v>
      </c>
      <c r="I1389" t="s">
        <v>9759</v>
      </c>
    </row>
    <row r="1390" spans="1:9" x14ac:dyDescent="0.2">
      <c r="A1390" t="s">
        <v>1265</v>
      </c>
      <c r="B1390" t="s">
        <v>1266</v>
      </c>
      <c r="C1390" t="s">
        <v>60</v>
      </c>
      <c r="D1390" t="s">
        <v>1268</v>
      </c>
      <c r="E1390" t="str">
        <f>HYPERLINK("/pdf/2024_10.1109_dcoss-iot61029.2024.00041_SAfER__Simplified_Auto-encoder_for_(Anomalous)_Event_Recognition.pdf","open")</f>
        <v>open</v>
      </c>
      <c r="F1390" t="s">
        <v>7119</v>
      </c>
      <c r="G1390" t="s">
        <v>9760</v>
      </c>
      <c r="H1390" t="s">
        <v>9761</v>
      </c>
      <c r="I1390" t="s">
        <v>7416</v>
      </c>
    </row>
    <row r="1391" spans="1:9" x14ac:dyDescent="0.2">
      <c r="A1391" t="s">
        <v>1265</v>
      </c>
      <c r="B1391" t="s">
        <v>1266</v>
      </c>
      <c r="C1391" t="s">
        <v>60</v>
      </c>
      <c r="D1391" t="s">
        <v>1268</v>
      </c>
      <c r="E1391" t="str">
        <f>HYPERLINK("/pdf/2024_10.1109_dcoss-iot61029.2024.00041_SAfER__Simplified_Auto-encoder_for_(Anomalous)_Event_Recognition.pdf","open")</f>
        <v>open</v>
      </c>
      <c r="F1391" t="s">
        <v>7130</v>
      </c>
      <c r="G1391" t="s">
        <v>9762</v>
      </c>
      <c r="I1391" t="s">
        <v>9763</v>
      </c>
    </row>
    <row r="1392" spans="1:9" x14ac:dyDescent="0.2">
      <c r="A1392" t="s">
        <v>1265</v>
      </c>
      <c r="B1392" t="s">
        <v>1266</v>
      </c>
      <c r="C1392" t="s">
        <v>60</v>
      </c>
      <c r="D1392" t="s">
        <v>1268</v>
      </c>
      <c r="E1392" t="str">
        <f>HYPERLINK("/pdf/2024_10.1109_dcoss-iot61029.2024.00041_SAfER__Simplified_Auto-encoder_for_(Anomalous)_Event_Recognition.pdf","open")</f>
        <v>open</v>
      </c>
      <c r="F1392" t="s">
        <v>7130</v>
      </c>
      <c r="G1392" t="s">
        <v>9764</v>
      </c>
      <c r="I1392" t="s">
        <v>9765</v>
      </c>
    </row>
    <row r="1393" spans="1:9" x14ac:dyDescent="0.2">
      <c r="A1393" t="s">
        <v>1270</v>
      </c>
      <c r="B1393" t="s">
        <v>1271</v>
      </c>
      <c r="C1393" t="s">
        <v>156</v>
      </c>
      <c r="D1393" t="s">
        <v>1273</v>
      </c>
      <c r="E1393" t="str">
        <f>HYPERLINK("/pdf/2013_10.1145_2484313.2484378_Horizon_extender__Long-term_preservation_of_data_leakage_evidence_in_web_traffic.pdf","open")</f>
        <v>open</v>
      </c>
      <c r="F1393" t="s">
        <v>7119</v>
      </c>
      <c r="G1393" t="s">
        <v>7322</v>
      </c>
      <c r="H1393" t="s">
        <v>9766</v>
      </c>
      <c r="I1393" t="s">
        <v>8896</v>
      </c>
    </row>
    <row r="1394" spans="1:9" x14ac:dyDescent="0.2">
      <c r="A1394" t="s">
        <v>1270</v>
      </c>
      <c r="B1394" t="s">
        <v>1271</v>
      </c>
      <c r="C1394" t="s">
        <v>156</v>
      </c>
      <c r="D1394" t="s">
        <v>1273</v>
      </c>
      <c r="E1394" t="str">
        <f>HYPERLINK("/pdf/2013_10.1145_2484313.2484378_Horizon_extender__Long-term_preservation_of_data_leakage_evidence_in_web_traffic.pdf","open")</f>
        <v>open</v>
      </c>
      <c r="F1394" t="s">
        <v>7119</v>
      </c>
      <c r="G1394" t="s">
        <v>9767</v>
      </c>
      <c r="H1394" t="s">
        <v>9768</v>
      </c>
      <c r="I1394" t="s">
        <v>9769</v>
      </c>
    </row>
    <row r="1395" spans="1:9" x14ac:dyDescent="0.2">
      <c r="A1395" t="s">
        <v>1270</v>
      </c>
      <c r="B1395" t="s">
        <v>1271</v>
      </c>
      <c r="C1395" t="s">
        <v>156</v>
      </c>
      <c r="D1395" t="s">
        <v>1273</v>
      </c>
      <c r="E1395" t="str">
        <f>HYPERLINK("/pdf/2013_10.1145_2484313.2484378_Horizon_extender__Long-term_preservation_of_data_leakage_evidence_in_web_traffic.pdf","open")</f>
        <v>open</v>
      </c>
      <c r="F1395" t="s">
        <v>7130</v>
      </c>
      <c r="G1395" t="s">
        <v>9770</v>
      </c>
      <c r="I1395" t="s">
        <v>8904</v>
      </c>
    </row>
    <row r="1396" spans="1:9" x14ac:dyDescent="0.2">
      <c r="A1396" t="s">
        <v>1270</v>
      </c>
      <c r="B1396" t="s">
        <v>1271</v>
      </c>
      <c r="C1396" t="s">
        <v>156</v>
      </c>
      <c r="D1396" t="s">
        <v>1273</v>
      </c>
      <c r="E1396" t="str">
        <f>HYPERLINK("/pdf/2013_10.1145_2484313.2484378_Horizon_extender__Long-term_preservation_of_data_leakage_evidence_in_web_traffic.pdf","open")</f>
        <v>open</v>
      </c>
      <c r="F1396" t="s">
        <v>7130</v>
      </c>
      <c r="G1396" t="s">
        <v>1573</v>
      </c>
      <c r="I1396" t="s">
        <v>9771</v>
      </c>
    </row>
    <row r="1397" spans="1:9" x14ac:dyDescent="0.2">
      <c r="A1397" t="s">
        <v>1275</v>
      </c>
      <c r="B1397" t="s">
        <v>314</v>
      </c>
      <c r="C1397" t="s">
        <v>36</v>
      </c>
      <c r="D1397" t="s">
        <v>316</v>
      </c>
      <c r="E1397" t="str">
        <f>HYPERLINK("/pdf/2022_10_1080_0144929x_2021_1953597_the_relationship_between_online_political_participation_and_privacy_protection.pdf","open")</f>
        <v>open</v>
      </c>
      <c r="F1397" t="s">
        <v>7119</v>
      </c>
      <c r="G1397" t="s">
        <v>9772</v>
      </c>
      <c r="H1397" t="s">
        <v>9773</v>
      </c>
      <c r="I1397" t="s">
        <v>9293</v>
      </c>
    </row>
    <row r="1398" spans="1:9" x14ac:dyDescent="0.2">
      <c r="A1398" t="s">
        <v>1275</v>
      </c>
      <c r="B1398" t="s">
        <v>314</v>
      </c>
      <c r="C1398" t="s">
        <v>36</v>
      </c>
      <c r="D1398" t="s">
        <v>316</v>
      </c>
      <c r="E1398" t="str">
        <f>HYPERLINK("/pdf/2022_10_1080_0144929x_2021_1953597_the_relationship_between_online_political_participation_and_privacy_protection.pdf","open")</f>
        <v>open</v>
      </c>
      <c r="F1398" t="s">
        <v>7119</v>
      </c>
      <c r="G1398" t="s">
        <v>9774</v>
      </c>
      <c r="H1398" t="s">
        <v>9775</v>
      </c>
      <c r="I1398" t="s">
        <v>9296</v>
      </c>
    </row>
    <row r="1399" spans="1:9" x14ac:dyDescent="0.2">
      <c r="A1399" t="s">
        <v>1275</v>
      </c>
      <c r="B1399" t="s">
        <v>314</v>
      </c>
      <c r="C1399" t="s">
        <v>36</v>
      </c>
      <c r="D1399" t="s">
        <v>316</v>
      </c>
      <c r="E1399" t="str">
        <f>HYPERLINK("/pdf/2022_10_1080_0144929x_2021_1953597_the_relationship_between_online_political_participation_and_privacy_protection.pdf","open")</f>
        <v>open</v>
      </c>
      <c r="F1399" t="s">
        <v>7130</v>
      </c>
      <c r="G1399" t="s">
        <v>1589</v>
      </c>
      <c r="I1399" t="s">
        <v>9776</v>
      </c>
    </row>
    <row r="1400" spans="1:9" x14ac:dyDescent="0.2">
      <c r="A1400" t="s">
        <v>1275</v>
      </c>
      <c r="B1400" t="s">
        <v>314</v>
      </c>
      <c r="C1400" t="s">
        <v>36</v>
      </c>
      <c r="D1400" t="s">
        <v>316</v>
      </c>
      <c r="E1400" t="str">
        <f>HYPERLINK("/pdf/2022_10_1080_0144929x_2021_1953597_the_relationship_between_online_political_participation_and_privacy_protection.pdf","open")</f>
        <v>open</v>
      </c>
      <c r="F1400" t="s">
        <v>7130</v>
      </c>
      <c r="G1400" t="s">
        <v>1601</v>
      </c>
      <c r="I1400" t="s">
        <v>9777</v>
      </c>
    </row>
    <row r="1401" spans="1:9" x14ac:dyDescent="0.2">
      <c r="A1401" t="s">
        <v>1278</v>
      </c>
      <c r="B1401" t="s">
        <v>1279</v>
      </c>
      <c r="C1401" t="s">
        <v>60</v>
      </c>
      <c r="D1401" t="s">
        <v>1280</v>
      </c>
      <c r="E1401" t="str">
        <f>HYPERLINK("/pdf/2024_10_3390_jcp4020009_on_data_leakage_prevention_maturity_adapting_the_c2m2_framework.pdf","open")</f>
        <v>open</v>
      </c>
      <c r="F1401" t="s">
        <v>7119</v>
      </c>
      <c r="G1401" t="s">
        <v>9778</v>
      </c>
      <c r="H1401" t="s">
        <v>9779</v>
      </c>
      <c r="I1401" t="s">
        <v>9780</v>
      </c>
    </row>
    <row r="1402" spans="1:9" x14ac:dyDescent="0.2">
      <c r="A1402" t="s">
        <v>1278</v>
      </c>
      <c r="B1402" t="s">
        <v>1279</v>
      </c>
      <c r="C1402" t="s">
        <v>60</v>
      </c>
      <c r="D1402" t="s">
        <v>1280</v>
      </c>
      <c r="E1402" t="str">
        <f>HYPERLINK("/pdf/2024_10_3390_jcp4020009_on_data_leakage_prevention_maturity_adapting_the_c2m2_framework.pdf","open")</f>
        <v>open</v>
      </c>
      <c r="F1402" t="s">
        <v>7119</v>
      </c>
      <c r="G1402" t="s">
        <v>9781</v>
      </c>
      <c r="H1402" t="s">
        <v>9782</v>
      </c>
      <c r="I1402" t="s">
        <v>9783</v>
      </c>
    </row>
    <row r="1403" spans="1:9" x14ac:dyDescent="0.2">
      <c r="A1403" t="s">
        <v>1278</v>
      </c>
      <c r="B1403" t="s">
        <v>1279</v>
      </c>
      <c r="C1403" t="s">
        <v>60</v>
      </c>
      <c r="D1403" t="s">
        <v>1280</v>
      </c>
      <c r="E1403" t="str">
        <f>HYPERLINK("/pdf/2024_10_3390_jcp4020009_on_data_leakage_prevention_maturity_adapting_the_c2m2_framework.pdf","open")</f>
        <v>open</v>
      </c>
      <c r="F1403" t="s">
        <v>7119</v>
      </c>
      <c r="G1403" t="s">
        <v>9784</v>
      </c>
      <c r="H1403" t="s">
        <v>9785</v>
      </c>
      <c r="I1403" t="s">
        <v>7178</v>
      </c>
    </row>
    <row r="1404" spans="1:9" x14ac:dyDescent="0.2">
      <c r="A1404" t="s">
        <v>1278</v>
      </c>
      <c r="B1404" t="s">
        <v>1279</v>
      </c>
      <c r="C1404" t="s">
        <v>60</v>
      </c>
      <c r="D1404" t="s">
        <v>1280</v>
      </c>
      <c r="E1404" t="str">
        <f>HYPERLINK("/pdf/2024_10_3390_jcp4020009_on_data_leakage_prevention_maturity_adapting_the_c2m2_framework.pdf","open")</f>
        <v>open</v>
      </c>
      <c r="F1404" t="s">
        <v>7130</v>
      </c>
      <c r="G1404" t="s">
        <v>9786</v>
      </c>
      <c r="I1404" t="s">
        <v>9787</v>
      </c>
    </row>
    <row r="1405" spans="1:9" x14ac:dyDescent="0.2">
      <c r="A1405" t="s">
        <v>1282</v>
      </c>
      <c r="B1405" t="s">
        <v>1283</v>
      </c>
      <c r="C1405" t="s">
        <v>100</v>
      </c>
      <c r="D1405" t="s">
        <v>1285</v>
      </c>
      <c r="E1405" t="str">
        <f>HYPERLINK("/pdf/2022_10_17341_gazimmfd_641580_a_new_document_classification_algorithm_against_malicious_data_leakage_attacks_zararli_ya.pdf","open")</f>
        <v>open</v>
      </c>
      <c r="F1405" t="s">
        <v>7119</v>
      </c>
      <c r="G1405" t="s">
        <v>9788</v>
      </c>
      <c r="H1405" t="s">
        <v>9789</v>
      </c>
      <c r="I1405" t="s">
        <v>7151</v>
      </c>
    </row>
    <row r="1406" spans="1:9" x14ac:dyDescent="0.2">
      <c r="A1406" t="s">
        <v>1282</v>
      </c>
      <c r="B1406" t="s">
        <v>1283</v>
      </c>
      <c r="C1406" t="s">
        <v>100</v>
      </c>
      <c r="D1406" t="s">
        <v>1285</v>
      </c>
      <c r="E1406" t="str">
        <f>HYPERLINK("/pdf/2022_10_17341_gazimmfd_641580_a_new_document_classification_algorithm_against_malicious_data_leakage_attacks_zararli_ya.pdf","open")</f>
        <v>open</v>
      </c>
      <c r="F1406" t="s">
        <v>7119</v>
      </c>
      <c r="G1406" t="s">
        <v>9790</v>
      </c>
      <c r="H1406" t="s">
        <v>9791</v>
      </c>
      <c r="I1406" t="s">
        <v>9792</v>
      </c>
    </row>
    <row r="1407" spans="1:9" x14ac:dyDescent="0.2">
      <c r="A1407" t="s">
        <v>1282</v>
      </c>
      <c r="B1407" t="s">
        <v>1283</v>
      </c>
      <c r="C1407" t="s">
        <v>100</v>
      </c>
      <c r="D1407" t="s">
        <v>1285</v>
      </c>
      <c r="E1407" t="str">
        <f>HYPERLINK("/pdf/2022_10_17341_gazimmfd_641580_a_new_document_classification_algorithm_against_malicious_data_leakage_attacks_zararli_ya.pdf","open")</f>
        <v>open</v>
      </c>
      <c r="F1407" t="s">
        <v>7130</v>
      </c>
      <c r="G1407" t="s">
        <v>8470</v>
      </c>
      <c r="I1407" t="s">
        <v>9793</v>
      </c>
    </row>
    <row r="1408" spans="1:9" x14ac:dyDescent="0.2">
      <c r="A1408" t="s">
        <v>1282</v>
      </c>
      <c r="B1408" t="s">
        <v>1283</v>
      </c>
      <c r="C1408" t="s">
        <v>100</v>
      </c>
      <c r="D1408" t="s">
        <v>1285</v>
      </c>
      <c r="E1408" t="str">
        <f>HYPERLINK("/pdf/2022_10_17341_gazimmfd_641580_a_new_document_classification_algorithm_against_malicious_data_leakage_attacks_zararli_ya.pdf","open")</f>
        <v>open</v>
      </c>
      <c r="F1408" t="s">
        <v>7130</v>
      </c>
      <c r="G1408" t="s">
        <v>7215</v>
      </c>
      <c r="I1408" t="s">
        <v>9794</v>
      </c>
    </row>
    <row r="1409" spans="1:9" x14ac:dyDescent="0.2">
      <c r="A1409" t="s">
        <v>1287</v>
      </c>
      <c r="B1409" t="s">
        <v>1288</v>
      </c>
      <c r="C1409" t="s">
        <v>48</v>
      </c>
      <c r="D1409" t="s">
        <v>1290</v>
      </c>
      <c r="E1409" t="str">
        <f>HYPERLINK("/pdf/2026_10.1109_tce.2026.3652563_QFedPhish__A_Quantum-Inspired_Federated_Learning_Approach_for_Detecting_AI-Generated_Phishing_Attacks.pdf","open")</f>
        <v>open</v>
      </c>
      <c r="F1409" t="s">
        <v>7119</v>
      </c>
      <c r="G1409" t="s">
        <v>9795</v>
      </c>
      <c r="H1409" t="s">
        <v>9796</v>
      </c>
      <c r="I1409" t="s">
        <v>9797</v>
      </c>
    </row>
    <row r="1410" spans="1:9" x14ac:dyDescent="0.2">
      <c r="A1410" t="s">
        <v>1287</v>
      </c>
      <c r="B1410" t="s">
        <v>1288</v>
      </c>
      <c r="C1410" t="s">
        <v>48</v>
      </c>
      <c r="D1410" t="s">
        <v>1290</v>
      </c>
      <c r="E1410" t="str">
        <f>HYPERLINK("/pdf/2026_10.1109_tce.2026.3652563_QFedPhish__A_Quantum-Inspired_Federated_Learning_Approach_for_Detecting_AI-Generated_Phishing_Attacks.pdf","open")</f>
        <v>open</v>
      </c>
      <c r="F1410" t="s">
        <v>7119</v>
      </c>
      <c r="G1410" t="s">
        <v>9798</v>
      </c>
      <c r="H1410" t="s">
        <v>9799</v>
      </c>
      <c r="I1410" t="s">
        <v>9800</v>
      </c>
    </row>
    <row r="1411" spans="1:9" x14ac:dyDescent="0.2">
      <c r="A1411" t="s">
        <v>1287</v>
      </c>
      <c r="B1411" t="s">
        <v>1288</v>
      </c>
      <c r="C1411" t="s">
        <v>48</v>
      </c>
      <c r="D1411" t="s">
        <v>1290</v>
      </c>
      <c r="E1411" t="str">
        <f>HYPERLINK("/pdf/2026_10.1109_tce.2026.3652563_QFedPhish__A_Quantum-Inspired_Federated_Learning_Approach_for_Detecting_AI-Generated_Phishing_Attacks.pdf","open")</f>
        <v>open</v>
      </c>
      <c r="F1411" t="s">
        <v>7130</v>
      </c>
      <c r="G1411" t="s">
        <v>1584</v>
      </c>
      <c r="I1411" t="s">
        <v>9801</v>
      </c>
    </row>
    <row r="1412" spans="1:9" x14ac:dyDescent="0.2">
      <c r="A1412" t="s">
        <v>1287</v>
      </c>
      <c r="B1412" t="s">
        <v>1288</v>
      </c>
      <c r="C1412" t="s">
        <v>48</v>
      </c>
      <c r="D1412" t="s">
        <v>1290</v>
      </c>
      <c r="E1412" t="str">
        <f>HYPERLINK("/pdf/2026_10.1109_tce.2026.3652563_QFedPhish__A_Quantum-Inspired_Federated_Learning_Approach_for_Detecting_AI-Generated_Phishing_Attacks.pdf","open")</f>
        <v>open</v>
      </c>
      <c r="F1412" t="s">
        <v>7130</v>
      </c>
      <c r="G1412" t="s">
        <v>1597</v>
      </c>
      <c r="I1412" t="s">
        <v>9802</v>
      </c>
    </row>
    <row r="1413" spans="1:9" x14ac:dyDescent="0.2">
      <c r="A1413" t="s">
        <v>1292</v>
      </c>
      <c r="B1413" t="s">
        <v>120</v>
      </c>
      <c r="C1413" t="s">
        <v>19</v>
      </c>
      <c r="D1413" t="s">
        <v>122</v>
      </c>
      <c r="E1413" t="str">
        <f>HYPERLINK("/pdf/2025_10_14445_23488549_ijece_v12i10p115_qryptashield_quantum_inspired_feature_selection_and_rl_calibrated_federated_learning_for.pdf","open")</f>
        <v>open</v>
      </c>
      <c r="F1413" t="s">
        <v>7119</v>
      </c>
      <c r="G1413" t="s">
        <v>9803</v>
      </c>
      <c r="H1413" t="s">
        <v>9804</v>
      </c>
      <c r="I1413" t="s">
        <v>9805</v>
      </c>
    </row>
    <row r="1414" spans="1:9" x14ac:dyDescent="0.2">
      <c r="A1414" t="s">
        <v>1292</v>
      </c>
      <c r="B1414" t="s">
        <v>120</v>
      </c>
      <c r="C1414" t="s">
        <v>19</v>
      </c>
      <c r="D1414" t="s">
        <v>122</v>
      </c>
      <c r="E1414" t="str">
        <f>HYPERLINK("/pdf/2025_10_14445_23488549_ijece_v12i10p115_qryptashield_quantum_inspired_feature_selection_and_rl_calibrated_federated_learning_for.pdf","open")</f>
        <v>open</v>
      </c>
      <c r="F1414" t="s">
        <v>7119</v>
      </c>
      <c r="G1414" t="s">
        <v>9806</v>
      </c>
      <c r="H1414" t="s">
        <v>9807</v>
      </c>
      <c r="I1414" t="s">
        <v>9805</v>
      </c>
    </row>
    <row r="1415" spans="1:9" x14ac:dyDescent="0.2">
      <c r="A1415" t="s">
        <v>1292</v>
      </c>
      <c r="B1415" t="s">
        <v>120</v>
      </c>
      <c r="C1415" t="s">
        <v>19</v>
      </c>
      <c r="D1415" t="s">
        <v>122</v>
      </c>
      <c r="E1415" t="str">
        <f>HYPERLINK("/pdf/2025_10_14445_23488549_ijece_v12i10p115_qryptashield_quantum_inspired_feature_selection_and_rl_calibrated_federated_learning_for.pdf","open")</f>
        <v>open</v>
      </c>
      <c r="F1415" t="s">
        <v>7119</v>
      </c>
      <c r="G1415" t="s">
        <v>9808</v>
      </c>
      <c r="H1415" t="s">
        <v>9809</v>
      </c>
      <c r="I1415" t="s">
        <v>9810</v>
      </c>
    </row>
    <row r="1416" spans="1:9" x14ac:dyDescent="0.2">
      <c r="A1416" t="s">
        <v>1292</v>
      </c>
      <c r="B1416" t="s">
        <v>120</v>
      </c>
      <c r="C1416" t="s">
        <v>19</v>
      </c>
      <c r="D1416" t="s">
        <v>122</v>
      </c>
      <c r="E1416" t="str">
        <f>HYPERLINK("/pdf/2025_10_14445_23488549_ijece_v12i10p115_qryptashield_quantum_inspired_feature_selection_and_rl_calibrated_federated_learning_for.pdf","open")</f>
        <v>open</v>
      </c>
      <c r="F1416" t="s">
        <v>7130</v>
      </c>
      <c r="G1416" t="s">
        <v>1584</v>
      </c>
      <c r="I1416" t="s">
        <v>9811</v>
      </c>
    </row>
    <row r="1417" spans="1:9" x14ac:dyDescent="0.2">
      <c r="A1417" t="s">
        <v>1292</v>
      </c>
      <c r="B1417" t="s">
        <v>120</v>
      </c>
      <c r="C1417" t="s">
        <v>19</v>
      </c>
      <c r="D1417" t="s">
        <v>122</v>
      </c>
      <c r="E1417" t="str">
        <f>HYPERLINK("/pdf/2025_10_14445_23488549_ijece_v12i10p115_qryptashield_quantum_inspired_feature_selection_and_rl_calibrated_federated_learning_for.pdf","open")</f>
        <v>open</v>
      </c>
      <c r="F1417" t="s">
        <v>7130</v>
      </c>
      <c r="G1417" t="s">
        <v>1601</v>
      </c>
      <c r="I1417" t="s">
        <v>9812</v>
      </c>
    </row>
    <row r="1418" spans="1:9" x14ac:dyDescent="0.2">
      <c r="A1418" t="s">
        <v>1294</v>
      </c>
      <c r="B1418" t="s">
        <v>1295</v>
      </c>
      <c r="C1418" t="s">
        <v>25</v>
      </c>
      <c r="D1418" t="s">
        <v>148</v>
      </c>
      <c r="E1418" t="str">
        <f>HYPERLINK("/pdf/2024_10_1007_s10586_023_04089_5_machine_learning_based_intrusion_detection_feature_selection_versus_feature_extraction.pdf","open")</f>
        <v>open</v>
      </c>
      <c r="F1418" t="s">
        <v>7119</v>
      </c>
      <c r="G1418" t="s">
        <v>9813</v>
      </c>
      <c r="H1418" t="s">
        <v>9814</v>
      </c>
      <c r="I1418" t="s">
        <v>8712</v>
      </c>
    </row>
    <row r="1419" spans="1:9" x14ac:dyDescent="0.2">
      <c r="A1419" t="s">
        <v>1294</v>
      </c>
      <c r="B1419" t="s">
        <v>1295</v>
      </c>
      <c r="C1419" t="s">
        <v>25</v>
      </c>
      <c r="D1419" t="s">
        <v>148</v>
      </c>
      <c r="E1419" t="str">
        <f>HYPERLINK("/pdf/2024_10_1007_s10586_023_04089_5_machine_learning_based_intrusion_detection_feature_selection_versus_feature_extraction.pdf","open")</f>
        <v>open</v>
      </c>
      <c r="F1419" t="s">
        <v>7119</v>
      </c>
      <c r="G1419" t="s">
        <v>9815</v>
      </c>
      <c r="H1419" t="s">
        <v>9816</v>
      </c>
      <c r="I1419" t="s">
        <v>7709</v>
      </c>
    </row>
    <row r="1420" spans="1:9" x14ac:dyDescent="0.2">
      <c r="A1420" t="s">
        <v>1294</v>
      </c>
      <c r="B1420" t="s">
        <v>1295</v>
      </c>
      <c r="C1420" t="s">
        <v>25</v>
      </c>
      <c r="D1420" t="s">
        <v>148</v>
      </c>
      <c r="E1420" t="str">
        <f>HYPERLINK("/pdf/2024_10_1007_s10586_023_04089_5_machine_learning_based_intrusion_detection_feature_selection_versus_feature_extraction.pdf","open")</f>
        <v>open</v>
      </c>
      <c r="F1420" t="s">
        <v>7130</v>
      </c>
      <c r="G1420" t="s">
        <v>9817</v>
      </c>
      <c r="I1420" t="s">
        <v>9719</v>
      </c>
    </row>
    <row r="1421" spans="1:9" x14ac:dyDescent="0.2">
      <c r="A1421" t="s">
        <v>1294</v>
      </c>
      <c r="B1421" t="s">
        <v>1295</v>
      </c>
      <c r="C1421" t="s">
        <v>25</v>
      </c>
      <c r="D1421" t="s">
        <v>148</v>
      </c>
      <c r="E1421" t="str">
        <f>HYPERLINK("/pdf/2024_10_1007_s10586_023_04089_5_machine_learning_based_intrusion_detection_feature_selection_versus_feature_extraction.pdf","open")</f>
        <v>open</v>
      </c>
      <c r="F1421" t="s">
        <v>7130</v>
      </c>
      <c r="G1421" t="s">
        <v>1597</v>
      </c>
      <c r="I1421" t="s">
        <v>9721</v>
      </c>
    </row>
    <row r="1422" spans="1:9" x14ac:dyDescent="0.2">
      <c r="A1422" t="s">
        <v>1297</v>
      </c>
      <c r="B1422" t="s">
        <v>680</v>
      </c>
      <c r="C1422" t="s">
        <v>19</v>
      </c>
      <c r="D1422" t="s">
        <v>682</v>
      </c>
      <c r="E1422" t="str">
        <f>HYPERLINK("/pdf/2025_10_37934_araset_51_2_153176_detecting_wormhole_attack_in_environmental_monitoring_system_for_agriculture_using_deep_le.pdf","open")</f>
        <v>open</v>
      </c>
      <c r="F1422" t="s">
        <v>7119</v>
      </c>
      <c r="G1422" t="s">
        <v>9818</v>
      </c>
      <c r="H1422" t="s">
        <v>9819</v>
      </c>
      <c r="I1422" t="s">
        <v>9417</v>
      </c>
    </row>
    <row r="1423" spans="1:9" x14ac:dyDescent="0.2">
      <c r="A1423" t="s">
        <v>1297</v>
      </c>
      <c r="B1423" t="s">
        <v>680</v>
      </c>
      <c r="C1423" t="s">
        <v>19</v>
      </c>
      <c r="D1423" t="s">
        <v>682</v>
      </c>
      <c r="E1423" t="str">
        <f>HYPERLINK("/pdf/2025_10_37934_araset_51_2_153176_detecting_wormhole_attack_in_environmental_monitoring_system_for_agriculture_using_deep_le.pdf","open")</f>
        <v>open</v>
      </c>
      <c r="F1423" t="s">
        <v>7119</v>
      </c>
      <c r="G1423" t="s">
        <v>9820</v>
      </c>
      <c r="H1423" t="s">
        <v>9821</v>
      </c>
      <c r="I1423" t="s">
        <v>9405</v>
      </c>
    </row>
    <row r="1424" spans="1:9" x14ac:dyDescent="0.2">
      <c r="A1424" t="s">
        <v>1297</v>
      </c>
      <c r="B1424" t="s">
        <v>680</v>
      </c>
      <c r="C1424" t="s">
        <v>19</v>
      </c>
      <c r="D1424" t="s">
        <v>682</v>
      </c>
      <c r="E1424" t="str">
        <f>HYPERLINK("/pdf/2025_10_37934_araset_51_2_153176_detecting_wormhole_attack_in_environmental_monitoring_system_for_agriculture_using_deep_le.pdf","open")</f>
        <v>open</v>
      </c>
      <c r="F1424" t="s">
        <v>7119</v>
      </c>
      <c r="G1424" t="s">
        <v>9822</v>
      </c>
      <c r="H1424" t="s">
        <v>9823</v>
      </c>
      <c r="I1424" t="s">
        <v>9438</v>
      </c>
    </row>
    <row r="1425" spans="1:9" x14ac:dyDescent="0.2">
      <c r="A1425" t="s">
        <v>1297</v>
      </c>
      <c r="B1425" t="s">
        <v>680</v>
      </c>
      <c r="C1425" t="s">
        <v>19</v>
      </c>
      <c r="D1425" t="s">
        <v>682</v>
      </c>
      <c r="E1425" t="str">
        <f>HYPERLINK("/pdf/2025_10_37934_araset_51_2_153176_detecting_wormhole_attack_in_environmental_monitoring_system_for_agriculture_using_deep_le.pdf","open")</f>
        <v>open</v>
      </c>
      <c r="F1425" t="s">
        <v>7130</v>
      </c>
      <c r="G1425" t="s">
        <v>1584</v>
      </c>
      <c r="I1425" t="s">
        <v>9824</v>
      </c>
    </row>
    <row r="1426" spans="1:9" x14ac:dyDescent="0.2">
      <c r="A1426" t="s">
        <v>1297</v>
      </c>
      <c r="B1426" t="s">
        <v>680</v>
      </c>
      <c r="C1426" t="s">
        <v>19</v>
      </c>
      <c r="D1426" t="s">
        <v>682</v>
      </c>
      <c r="E1426" t="str">
        <f>HYPERLINK("/pdf/2025_10_37934_araset_51_2_153176_detecting_wormhole_attack_in_environmental_monitoring_system_for_agriculture_using_deep_le.pdf","open")</f>
        <v>open</v>
      </c>
      <c r="F1426" t="s">
        <v>7130</v>
      </c>
      <c r="G1426" t="s">
        <v>5650</v>
      </c>
      <c r="I1426" t="s">
        <v>9825</v>
      </c>
    </row>
    <row r="1427" spans="1:9" x14ac:dyDescent="0.2">
      <c r="A1427" t="s">
        <v>1299</v>
      </c>
      <c r="B1427" t="s">
        <v>1118</v>
      </c>
      <c r="C1427" t="s">
        <v>48</v>
      </c>
      <c r="D1427" t="s">
        <v>1300</v>
      </c>
      <c r="E1427" t="str">
        <f>HYPERLINK("/pdf/2026_10_30598_barekengvol20iss2pp1675_1692_a_comparative_study_of_pipeline_validated_machine_learning_classifiers_for_permi.pdf","open")</f>
        <v>open</v>
      </c>
      <c r="F1427" t="s">
        <v>7119</v>
      </c>
      <c r="G1427" t="s">
        <v>9826</v>
      </c>
      <c r="H1427" t="s">
        <v>9488</v>
      </c>
      <c r="I1427" t="s">
        <v>9827</v>
      </c>
    </row>
    <row r="1428" spans="1:9" x14ac:dyDescent="0.2">
      <c r="A1428" t="s">
        <v>1299</v>
      </c>
      <c r="B1428" t="s">
        <v>1118</v>
      </c>
      <c r="C1428" t="s">
        <v>48</v>
      </c>
      <c r="D1428" t="s">
        <v>1300</v>
      </c>
      <c r="E1428" t="str">
        <f>HYPERLINK("/pdf/2026_10_30598_barekengvol20iss2pp1675_1692_a_comparative_study_of_pipeline_validated_machine_learning_classifiers_for_permi.pdf","open")</f>
        <v>open</v>
      </c>
      <c r="F1428" t="s">
        <v>7119</v>
      </c>
      <c r="G1428" t="s">
        <v>9828</v>
      </c>
      <c r="H1428" t="s">
        <v>9829</v>
      </c>
      <c r="I1428" t="s">
        <v>9293</v>
      </c>
    </row>
    <row r="1429" spans="1:9" x14ac:dyDescent="0.2">
      <c r="A1429" t="s">
        <v>1299</v>
      </c>
      <c r="B1429" t="s">
        <v>1118</v>
      </c>
      <c r="C1429" t="s">
        <v>48</v>
      </c>
      <c r="D1429" t="s">
        <v>1300</v>
      </c>
      <c r="E1429" t="str">
        <f>HYPERLINK("/pdf/2026_10_30598_barekengvol20iss2pp1675_1692_a_comparative_study_of_pipeline_validated_machine_learning_classifiers_for_permi.pdf","open")</f>
        <v>open</v>
      </c>
      <c r="F1429" t="s">
        <v>7119</v>
      </c>
      <c r="G1429" t="s">
        <v>9830</v>
      </c>
      <c r="H1429" t="s">
        <v>9831</v>
      </c>
      <c r="I1429" t="s">
        <v>9405</v>
      </c>
    </row>
    <row r="1430" spans="1:9" x14ac:dyDescent="0.2">
      <c r="A1430" t="s">
        <v>1299</v>
      </c>
      <c r="B1430" t="s">
        <v>1118</v>
      </c>
      <c r="C1430" t="s">
        <v>48</v>
      </c>
      <c r="D1430" t="s">
        <v>1300</v>
      </c>
      <c r="E1430" t="str">
        <f>HYPERLINK("/pdf/2026_10_30598_barekengvol20iss2pp1675_1692_a_comparative_study_of_pipeline_validated_machine_learning_classifiers_for_permi.pdf","open")</f>
        <v>open</v>
      </c>
      <c r="F1430" t="s">
        <v>7130</v>
      </c>
      <c r="G1430" t="s">
        <v>1583</v>
      </c>
      <c r="I1430" t="s">
        <v>9832</v>
      </c>
    </row>
    <row r="1431" spans="1:9" x14ac:dyDescent="0.2">
      <c r="A1431" t="s">
        <v>1299</v>
      </c>
      <c r="B1431" t="s">
        <v>1118</v>
      </c>
      <c r="C1431" t="s">
        <v>48</v>
      </c>
      <c r="D1431" t="s">
        <v>1300</v>
      </c>
      <c r="E1431" t="str">
        <f>HYPERLINK("/pdf/2026_10_30598_barekengvol20iss2pp1675_1692_a_comparative_study_of_pipeline_validated_machine_learning_classifiers_for_permi.pdf","open")</f>
        <v>open</v>
      </c>
      <c r="F1431" t="s">
        <v>7130</v>
      </c>
      <c r="G1431" t="s">
        <v>5649</v>
      </c>
      <c r="I1431" t="s">
        <v>9833</v>
      </c>
    </row>
    <row r="1432" spans="1:9" x14ac:dyDescent="0.2">
      <c r="A1432" t="s">
        <v>1302</v>
      </c>
      <c r="B1432" t="s">
        <v>1303</v>
      </c>
      <c r="C1432" t="s">
        <v>60</v>
      </c>
      <c r="D1432" t="s">
        <v>1302</v>
      </c>
      <c r="E1432" t="str">
        <f>HYPERLINK("/pdf/2024_10.1145_3639821_TROP__TRust-aware_OPportunistic_Routing_in_NoC_with_Hardware_Trojans.pdf","open")</f>
        <v>open</v>
      </c>
      <c r="F1432" t="s">
        <v>7119</v>
      </c>
      <c r="G1432" t="s">
        <v>9834</v>
      </c>
      <c r="H1432" t="s">
        <v>9835</v>
      </c>
      <c r="I1432" t="s">
        <v>9836</v>
      </c>
    </row>
    <row r="1433" spans="1:9" x14ac:dyDescent="0.2">
      <c r="A1433" t="s">
        <v>1302</v>
      </c>
      <c r="B1433" t="s">
        <v>1303</v>
      </c>
      <c r="C1433" t="s">
        <v>60</v>
      </c>
      <c r="D1433" t="s">
        <v>1302</v>
      </c>
      <c r="E1433" t="str">
        <f>HYPERLINK("/pdf/2024_10.1145_3639821_TROP__TRust-aware_OPportunistic_Routing_in_NoC_with_Hardware_Trojans.pdf","open")</f>
        <v>open</v>
      </c>
      <c r="F1433" t="s">
        <v>7119</v>
      </c>
      <c r="G1433" t="s">
        <v>9837</v>
      </c>
      <c r="H1433" t="s">
        <v>9838</v>
      </c>
      <c r="I1433" t="s">
        <v>9839</v>
      </c>
    </row>
    <row r="1434" spans="1:9" x14ac:dyDescent="0.2">
      <c r="A1434" t="s">
        <v>1302</v>
      </c>
      <c r="B1434" t="s">
        <v>1303</v>
      </c>
      <c r="C1434" t="s">
        <v>60</v>
      </c>
      <c r="D1434" t="s">
        <v>1302</v>
      </c>
      <c r="E1434" t="str">
        <f>HYPERLINK("/pdf/2024_10.1145_3639821_TROP__TRust-aware_OPportunistic_Routing_in_NoC_with_Hardware_Trojans.pdf","open")</f>
        <v>open</v>
      </c>
      <c r="F1434" t="s">
        <v>7130</v>
      </c>
      <c r="G1434" t="s">
        <v>9840</v>
      </c>
      <c r="I1434" t="s">
        <v>9841</v>
      </c>
    </row>
    <row r="1435" spans="1:9" x14ac:dyDescent="0.2">
      <c r="A1435" t="s">
        <v>1305</v>
      </c>
      <c r="B1435" t="s">
        <v>1306</v>
      </c>
      <c r="C1435" t="s">
        <v>19</v>
      </c>
      <c r="D1435" t="s">
        <v>1307</v>
      </c>
      <c r="E1435" t="str">
        <f>HYPERLINK("/pdf/2025_10.1109_iciccs65191.2025.10984918_Enhancing_Digital_Forensics_Security_Involves_the_Implementation_of_a_Robust_Storage_Framework_that_Employs_AE.pdf","open")</f>
        <v>open</v>
      </c>
      <c r="F1435" t="s">
        <v>7119</v>
      </c>
      <c r="G1435" t="s">
        <v>9842</v>
      </c>
      <c r="H1435" t="s">
        <v>9843</v>
      </c>
      <c r="I1435" t="s">
        <v>9844</v>
      </c>
    </row>
    <row r="1436" spans="1:9" x14ac:dyDescent="0.2">
      <c r="A1436" t="s">
        <v>1305</v>
      </c>
      <c r="B1436" t="s">
        <v>1306</v>
      </c>
      <c r="C1436" t="s">
        <v>19</v>
      </c>
      <c r="D1436" t="s">
        <v>1307</v>
      </c>
      <c r="E1436" t="str">
        <f>HYPERLINK("/pdf/2025_10.1109_iciccs65191.2025.10984918_Enhancing_Digital_Forensics_Security_Involves_the_Implementation_of_a_Robust_Storage_Framework_that_Employs_AE.pdf","open")</f>
        <v>open</v>
      </c>
      <c r="F1436" t="s">
        <v>7119</v>
      </c>
      <c r="G1436" t="s">
        <v>9845</v>
      </c>
      <c r="H1436" t="s">
        <v>9846</v>
      </c>
      <c r="I1436" t="s">
        <v>9847</v>
      </c>
    </row>
    <row r="1437" spans="1:9" x14ac:dyDescent="0.2">
      <c r="A1437" t="s">
        <v>1305</v>
      </c>
      <c r="B1437" t="s">
        <v>1306</v>
      </c>
      <c r="C1437" t="s">
        <v>19</v>
      </c>
      <c r="D1437" t="s">
        <v>1307</v>
      </c>
      <c r="E1437" t="str">
        <f>HYPERLINK("/pdf/2025_10.1109_iciccs65191.2025.10984918_Enhancing_Digital_Forensics_Security_Involves_the_Implementation_of_a_Robust_Storage_Framework_that_Employs_AE.pdf","open")</f>
        <v>open</v>
      </c>
      <c r="F1437" t="s">
        <v>7130</v>
      </c>
      <c r="G1437" t="s">
        <v>1597</v>
      </c>
      <c r="I1437" t="s">
        <v>9848</v>
      </c>
    </row>
    <row r="1438" spans="1:9" x14ac:dyDescent="0.2">
      <c r="A1438" t="s">
        <v>1305</v>
      </c>
      <c r="B1438" t="s">
        <v>1306</v>
      </c>
      <c r="C1438" t="s">
        <v>19</v>
      </c>
      <c r="D1438" t="s">
        <v>1307</v>
      </c>
      <c r="E1438" t="str">
        <f>HYPERLINK("/pdf/2025_10.1109_iciccs65191.2025.10984918_Enhancing_Digital_Forensics_Security_Involves_the_Implementation_of_a_Robust_Storage_Framework_that_Employs_AE.pdf","open")</f>
        <v>open</v>
      </c>
      <c r="F1438" t="s">
        <v>7130</v>
      </c>
      <c r="G1438" t="s">
        <v>9849</v>
      </c>
      <c r="I1438" t="s">
        <v>9850</v>
      </c>
    </row>
    <row r="1439" spans="1:9" x14ac:dyDescent="0.2">
      <c r="A1439" t="s">
        <v>1309</v>
      </c>
      <c r="B1439" t="s">
        <v>719</v>
      </c>
      <c r="C1439" t="s">
        <v>25</v>
      </c>
      <c r="D1439" t="s">
        <v>721</v>
      </c>
      <c r="E1439" t="str">
        <f>HYPERLINK("/pdf/2023_10.1109_ispa-bdcloud-socialcom-sustaincom59178.2023.00094_PE-FedAvg__A_Privacy-Enhanced_Federated_Learning_for_Distributed_Android_Malware_Detection.pdf","open")</f>
        <v>open</v>
      </c>
      <c r="F1439" t="s">
        <v>7119</v>
      </c>
      <c r="G1439" t="s">
        <v>9851</v>
      </c>
      <c r="H1439" t="s">
        <v>8683</v>
      </c>
      <c r="I1439" t="s">
        <v>9852</v>
      </c>
    </row>
    <row r="1440" spans="1:9" x14ac:dyDescent="0.2">
      <c r="A1440" t="s">
        <v>1309</v>
      </c>
      <c r="B1440" t="s">
        <v>719</v>
      </c>
      <c r="C1440" t="s">
        <v>25</v>
      </c>
      <c r="D1440" t="s">
        <v>721</v>
      </c>
      <c r="E1440" t="str">
        <f>HYPERLINK("/pdf/2023_10.1109_ispa-bdcloud-socialcom-sustaincom59178.2023.00094_PE-FedAvg__A_Privacy-Enhanced_Federated_Learning_for_Distributed_Android_Malware_Detection.pdf","open")</f>
        <v>open</v>
      </c>
      <c r="F1440" t="s">
        <v>7119</v>
      </c>
      <c r="G1440" t="s">
        <v>9853</v>
      </c>
      <c r="H1440" t="s">
        <v>9854</v>
      </c>
      <c r="I1440" t="s">
        <v>9852</v>
      </c>
    </row>
    <row r="1441" spans="1:9" x14ac:dyDescent="0.2">
      <c r="A1441" t="s">
        <v>1309</v>
      </c>
      <c r="B1441" t="s">
        <v>719</v>
      </c>
      <c r="C1441" t="s">
        <v>25</v>
      </c>
      <c r="D1441" t="s">
        <v>721</v>
      </c>
      <c r="E1441" t="str">
        <f>HYPERLINK("/pdf/2023_10.1109_ispa-bdcloud-socialcom-sustaincom59178.2023.00094_PE-FedAvg__A_Privacy-Enhanced_Federated_Learning_for_Distributed_Android_Malware_Detection.pdf","open")</f>
        <v>open</v>
      </c>
      <c r="F1441" t="s">
        <v>7119</v>
      </c>
      <c r="G1441" t="s">
        <v>9855</v>
      </c>
      <c r="H1441" t="s">
        <v>9856</v>
      </c>
      <c r="I1441" t="s">
        <v>9857</v>
      </c>
    </row>
    <row r="1442" spans="1:9" x14ac:dyDescent="0.2">
      <c r="A1442" t="s">
        <v>1309</v>
      </c>
      <c r="B1442" t="s">
        <v>719</v>
      </c>
      <c r="C1442" t="s">
        <v>25</v>
      </c>
      <c r="D1442" t="s">
        <v>721</v>
      </c>
      <c r="E1442" t="str">
        <f>HYPERLINK("/pdf/2023_10.1109_ispa-bdcloud-socialcom-sustaincom59178.2023.00094_PE-FedAvg__A_Privacy-Enhanced_Federated_Learning_for_Distributed_Android_Malware_Detection.pdf","open")</f>
        <v>open</v>
      </c>
      <c r="F1442" t="s">
        <v>7130</v>
      </c>
      <c r="G1442" t="s">
        <v>1584</v>
      </c>
      <c r="I1442" t="s">
        <v>9858</v>
      </c>
    </row>
    <row r="1443" spans="1:9" x14ac:dyDescent="0.2">
      <c r="A1443" t="s">
        <v>1309</v>
      </c>
      <c r="B1443" t="s">
        <v>719</v>
      </c>
      <c r="C1443" t="s">
        <v>25</v>
      </c>
      <c r="D1443" t="s">
        <v>721</v>
      </c>
      <c r="E1443" t="str">
        <f>HYPERLINK("/pdf/2023_10.1109_ispa-bdcloud-socialcom-sustaincom59178.2023.00094_PE-FedAvg__A_Privacy-Enhanced_Federated_Learning_for_Distributed_Android_Malware_Detection.pdf","open")</f>
        <v>open</v>
      </c>
      <c r="F1443" t="s">
        <v>7130</v>
      </c>
      <c r="G1443" t="s">
        <v>1574</v>
      </c>
      <c r="I1443" t="s">
        <v>9859</v>
      </c>
    </row>
    <row r="1444" spans="1:9" x14ac:dyDescent="0.2">
      <c r="A1444" t="s">
        <v>1312</v>
      </c>
      <c r="B1444" t="s">
        <v>1313</v>
      </c>
      <c r="C1444" t="s">
        <v>19</v>
      </c>
      <c r="D1444" t="s">
        <v>1315</v>
      </c>
      <c r="E1444" t="str">
        <f>HYPERLINK("/pdf/2025_10.1109_qpain66474.2025.11171834_Analyzing_Threats_in_Public_Wi-Fi__A_Study_of_Attack_Vectors,_Vulnerability_and_User_Awareness.pdf","open")</f>
        <v>open</v>
      </c>
      <c r="F1444" t="s">
        <v>7119</v>
      </c>
      <c r="G1444" t="s">
        <v>9860</v>
      </c>
      <c r="H1444" t="s">
        <v>9861</v>
      </c>
      <c r="I1444" t="s">
        <v>9862</v>
      </c>
    </row>
    <row r="1445" spans="1:9" x14ac:dyDescent="0.2">
      <c r="A1445" t="s">
        <v>1312</v>
      </c>
      <c r="B1445" t="s">
        <v>1313</v>
      </c>
      <c r="C1445" t="s">
        <v>19</v>
      </c>
      <c r="D1445" t="s">
        <v>1315</v>
      </c>
      <c r="E1445" t="str">
        <f>HYPERLINK("/pdf/2025_10.1109_qpain66474.2025.11171834_Analyzing_Threats_in_Public_Wi-Fi__A_Study_of_Attack_Vectors,_Vulnerability_and_User_Awareness.pdf","open")</f>
        <v>open</v>
      </c>
      <c r="F1445" t="s">
        <v>7119</v>
      </c>
      <c r="G1445" t="s">
        <v>9863</v>
      </c>
      <c r="H1445" t="s">
        <v>9864</v>
      </c>
      <c r="I1445" t="s">
        <v>7151</v>
      </c>
    </row>
    <row r="1446" spans="1:9" x14ac:dyDescent="0.2">
      <c r="A1446" t="s">
        <v>1312</v>
      </c>
      <c r="B1446" t="s">
        <v>1313</v>
      </c>
      <c r="C1446" t="s">
        <v>19</v>
      </c>
      <c r="D1446" t="s">
        <v>1315</v>
      </c>
      <c r="E1446" t="str">
        <f>HYPERLINK("/pdf/2025_10.1109_qpain66474.2025.11171834_Analyzing_Threats_in_Public_Wi-Fi__A_Study_of_Attack_Vectors,_Vulnerability_and_User_Awareness.pdf","open")</f>
        <v>open</v>
      </c>
      <c r="F1446" t="s">
        <v>7130</v>
      </c>
      <c r="G1446" t="s">
        <v>1597</v>
      </c>
      <c r="I1446" t="s">
        <v>9865</v>
      </c>
    </row>
    <row r="1447" spans="1:9" x14ac:dyDescent="0.2">
      <c r="A1447" t="s">
        <v>1312</v>
      </c>
      <c r="B1447" t="s">
        <v>1313</v>
      </c>
      <c r="C1447" t="s">
        <v>19</v>
      </c>
      <c r="D1447" t="s">
        <v>1315</v>
      </c>
      <c r="E1447" t="str">
        <f>HYPERLINK("/pdf/2025_10.1109_qpain66474.2025.11171834_Analyzing_Threats_in_Public_Wi-Fi__A_Study_of_Attack_Vectors,_Vulnerability_and_User_Awareness.pdf","open")</f>
        <v>open</v>
      </c>
      <c r="F1447" t="s">
        <v>7130</v>
      </c>
      <c r="G1447" t="s">
        <v>1575</v>
      </c>
      <c r="I1447" t="s">
        <v>9866</v>
      </c>
    </row>
    <row r="1448" spans="1:9" x14ac:dyDescent="0.2">
      <c r="B1448" t="s">
        <v>1317</v>
      </c>
      <c r="C1448" t="s">
        <v>36</v>
      </c>
      <c r="D1448" t="s">
        <v>148</v>
      </c>
      <c r="E1448" t="str">
        <f>HYPERLINK("/pdf/2021_10_1109_csr51186_2021_9527960_understanding_and_mitigating_banking_trojans_from_zeus_to_emotet.pdf","open")</f>
        <v>open</v>
      </c>
      <c r="F1448" t="s">
        <v>7119</v>
      </c>
      <c r="G1448" t="s">
        <v>9867</v>
      </c>
      <c r="H1448" t="s">
        <v>9868</v>
      </c>
      <c r="I1448" t="s">
        <v>9869</v>
      </c>
    </row>
    <row r="1449" spans="1:9" x14ac:dyDescent="0.2">
      <c r="B1449" t="s">
        <v>1317</v>
      </c>
      <c r="C1449" t="s">
        <v>36</v>
      </c>
      <c r="D1449" t="s">
        <v>148</v>
      </c>
      <c r="E1449" t="str">
        <f>HYPERLINK("/pdf/2021_10_1109_csr51186_2021_9527960_understanding_and_mitigating_banking_trojans_from_zeus_to_emotet.pdf","open")</f>
        <v>open</v>
      </c>
      <c r="F1449" t="s">
        <v>7119</v>
      </c>
      <c r="G1449" t="s">
        <v>9870</v>
      </c>
      <c r="H1449" t="s">
        <v>9871</v>
      </c>
      <c r="I1449" t="s">
        <v>9872</v>
      </c>
    </row>
    <row r="1450" spans="1:9" x14ac:dyDescent="0.2">
      <c r="B1450" t="s">
        <v>1317</v>
      </c>
      <c r="C1450" t="s">
        <v>36</v>
      </c>
      <c r="D1450" t="s">
        <v>148</v>
      </c>
      <c r="E1450" t="str">
        <f>HYPERLINK("/pdf/2021_10_1109_csr51186_2021_9527960_understanding_and_mitigating_banking_trojans_from_zeus_to_emotet.pdf","open")</f>
        <v>open</v>
      </c>
      <c r="F1450" t="s">
        <v>7130</v>
      </c>
      <c r="G1450" t="s">
        <v>1574</v>
      </c>
      <c r="I1450" t="s">
        <v>9873</v>
      </c>
    </row>
    <row r="1451" spans="1:9" x14ac:dyDescent="0.2">
      <c r="B1451" t="s">
        <v>1317</v>
      </c>
      <c r="C1451" t="s">
        <v>36</v>
      </c>
      <c r="D1451" t="s">
        <v>148</v>
      </c>
      <c r="E1451" t="str">
        <f>HYPERLINK("/pdf/2021_10_1109_csr51186_2021_9527960_understanding_and_mitigating_banking_trojans_from_zeus_to_emotet.pdf","open")</f>
        <v>open</v>
      </c>
      <c r="F1451" t="s">
        <v>7130</v>
      </c>
      <c r="G1451" t="s">
        <v>3989</v>
      </c>
      <c r="I1451" t="s">
        <v>9874</v>
      </c>
    </row>
    <row r="1452" spans="1:9" x14ac:dyDescent="0.2">
      <c r="A1452" t="s">
        <v>1320</v>
      </c>
      <c r="B1452" t="s">
        <v>1321</v>
      </c>
      <c r="C1452" t="s">
        <v>19</v>
      </c>
      <c r="D1452" t="s">
        <v>1323</v>
      </c>
      <c r="E1452" t="str">
        <f>HYPERLINK("/pdf/2025_10.1109_icoeca66273.2025.00049_Simulation,_Prevention_and_Mitigation_of_Ransomware,_DDOS_and_Advanced_Persistent_Threats.pdf","open")</f>
        <v>open</v>
      </c>
      <c r="F1452" t="s">
        <v>7119</v>
      </c>
      <c r="G1452" t="s">
        <v>9875</v>
      </c>
      <c r="H1452" t="s">
        <v>9876</v>
      </c>
      <c r="I1452" t="s">
        <v>7876</v>
      </c>
    </row>
    <row r="1453" spans="1:9" x14ac:dyDescent="0.2">
      <c r="A1453" t="s">
        <v>1320</v>
      </c>
      <c r="B1453" t="s">
        <v>1321</v>
      </c>
      <c r="C1453" t="s">
        <v>19</v>
      </c>
      <c r="D1453" t="s">
        <v>1323</v>
      </c>
      <c r="E1453" t="str">
        <f>HYPERLINK("/pdf/2025_10.1109_icoeca66273.2025.00049_Simulation,_Prevention_and_Mitigation_of_Ransomware,_DDOS_and_Advanced_Persistent_Threats.pdf","open")</f>
        <v>open</v>
      </c>
      <c r="F1453" t="s">
        <v>7130</v>
      </c>
      <c r="G1453" t="s">
        <v>9877</v>
      </c>
      <c r="I1453" t="s">
        <v>9878</v>
      </c>
    </row>
    <row r="1454" spans="1:9" x14ac:dyDescent="0.2">
      <c r="A1454" t="s">
        <v>1325</v>
      </c>
      <c r="B1454" t="s">
        <v>1326</v>
      </c>
      <c r="C1454" t="s">
        <v>19</v>
      </c>
      <c r="D1454" t="s">
        <v>1328</v>
      </c>
      <c r="E1454" t="str">
        <f>HYPERLINK("/pdf/2025_10_3390_jcp5040095_ai_augmented_soc_a_survey_of_llms_and_agents_for_security_automation.pdf","open")</f>
        <v>open</v>
      </c>
      <c r="F1454" t="s">
        <v>7119</v>
      </c>
      <c r="G1454" t="s">
        <v>9879</v>
      </c>
      <c r="H1454" t="s">
        <v>9880</v>
      </c>
      <c r="I1454" t="s">
        <v>9881</v>
      </c>
    </row>
    <row r="1455" spans="1:9" x14ac:dyDescent="0.2">
      <c r="A1455" t="s">
        <v>1325</v>
      </c>
      <c r="B1455" t="s">
        <v>1326</v>
      </c>
      <c r="C1455" t="s">
        <v>19</v>
      </c>
      <c r="D1455" t="s">
        <v>1328</v>
      </c>
      <c r="E1455" t="str">
        <f>HYPERLINK("/pdf/2025_10_3390_jcp5040095_ai_augmented_soc_a_survey_of_llms_and_agents_for_security_automation.pdf","open")</f>
        <v>open</v>
      </c>
      <c r="F1455" t="s">
        <v>7119</v>
      </c>
      <c r="G1455" t="s">
        <v>9882</v>
      </c>
      <c r="H1455" t="s">
        <v>9883</v>
      </c>
      <c r="I1455" t="s">
        <v>9881</v>
      </c>
    </row>
    <row r="1456" spans="1:9" x14ac:dyDescent="0.2">
      <c r="A1456" t="s">
        <v>1325</v>
      </c>
      <c r="B1456" t="s">
        <v>1326</v>
      </c>
      <c r="C1456" t="s">
        <v>19</v>
      </c>
      <c r="D1456" t="s">
        <v>1328</v>
      </c>
      <c r="E1456" t="str">
        <f>HYPERLINK("/pdf/2025_10_3390_jcp5040095_ai_augmented_soc_a_survey_of_llms_and_agents_for_security_automation.pdf","open")</f>
        <v>open</v>
      </c>
      <c r="F1456" t="s">
        <v>7130</v>
      </c>
      <c r="G1456" t="s">
        <v>3989</v>
      </c>
      <c r="I1456" t="s">
        <v>9884</v>
      </c>
    </row>
    <row r="1457" spans="1:9" x14ac:dyDescent="0.2">
      <c r="A1457" t="s">
        <v>1325</v>
      </c>
      <c r="B1457" t="s">
        <v>1326</v>
      </c>
      <c r="C1457" t="s">
        <v>19</v>
      </c>
      <c r="D1457" t="s">
        <v>1328</v>
      </c>
      <c r="E1457" t="str">
        <f>HYPERLINK("/pdf/2025_10_3390_jcp5040095_ai_augmented_soc_a_survey_of_llms_and_agents_for_security_automation.pdf","open")</f>
        <v>open</v>
      </c>
      <c r="F1457" t="s">
        <v>7130</v>
      </c>
      <c r="G1457" t="s">
        <v>9885</v>
      </c>
      <c r="I1457" t="s">
        <v>9886</v>
      </c>
    </row>
    <row r="1458" spans="1:9" x14ac:dyDescent="0.2">
      <c r="A1458" t="s">
        <v>1330</v>
      </c>
      <c r="B1458" t="s">
        <v>1331</v>
      </c>
      <c r="C1458" t="s">
        <v>25</v>
      </c>
      <c r="D1458" t="s">
        <v>1333</v>
      </c>
      <c r="E1458" t="str">
        <f>HYPERLINK("/pdf/2023_10.1109_icpics58376.2023.10235404_Detection_of_Data_Leakage_Based_on_DNS_Traffic.pdf","open")</f>
        <v>open</v>
      </c>
      <c r="F1458" t="s">
        <v>7119</v>
      </c>
      <c r="G1458" t="s">
        <v>9887</v>
      </c>
      <c r="H1458" t="s">
        <v>9888</v>
      </c>
      <c r="I1458" t="s">
        <v>8375</v>
      </c>
    </row>
    <row r="1459" spans="1:9" x14ac:dyDescent="0.2">
      <c r="A1459" t="s">
        <v>1330</v>
      </c>
      <c r="B1459" t="s">
        <v>1331</v>
      </c>
      <c r="C1459" t="s">
        <v>25</v>
      </c>
      <c r="D1459" t="s">
        <v>1333</v>
      </c>
      <c r="E1459" t="str">
        <f>HYPERLINK("/pdf/2023_10.1109_icpics58376.2023.10235404_Detection_of_Data_Leakage_Based_on_DNS_Traffic.pdf","open")</f>
        <v>open</v>
      </c>
      <c r="F1459" t="s">
        <v>7119</v>
      </c>
      <c r="G1459" t="s">
        <v>9889</v>
      </c>
      <c r="H1459" t="s">
        <v>9890</v>
      </c>
      <c r="I1459" t="s">
        <v>9891</v>
      </c>
    </row>
    <row r="1460" spans="1:9" x14ac:dyDescent="0.2">
      <c r="A1460" t="s">
        <v>1330</v>
      </c>
      <c r="B1460" t="s">
        <v>1331</v>
      </c>
      <c r="C1460" t="s">
        <v>25</v>
      </c>
      <c r="D1460" t="s">
        <v>1333</v>
      </c>
      <c r="E1460" t="str">
        <f>HYPERLINK("/pdf/2023_10.1109_icpics58376.2023.10235404_Detection_of_Data_Leakage_Based_on_DNS_Traffic.pdf","open")</f>
        <v>open</v>
      </c>
      <c r="F1460" t="s">
        <v>7119</v>
      </c>
      <c r="G1460" t="s">
        <v>9892</v>
      </c>
      <c r="H1460" t="s">
        <v>9893</v>
      </c>
      <c r="I1460" t="s">
        <v>8230</v>
      </c>
    </row>
    <row r="1461" spans="1:9" x14ac:dyDescent="0.2">
      <c r="A1461" t="s">
        <v>1330</v>
      </c>
      <c r="B1461" t="s">
        <v>1331</v>
      </c>
      <c r="C1461" t="s">
        <v>25</v>
      </c>
      <c r="D1461" t="s">
        <v>1333</v>
      </c>
      <c r="E1461" t="str">
        <f>HYPERLINK("/pdf/2023_10.1109_icpics58376.2023.10235404_Detection_of_Data_Leakage_Based_on_DNS_Traffic.pdf","open")</f>
        <v>open</v>
      </c>
      <c r="F1461" t="s">
        <v>7130</v>
      </c>
      <c r="G1461" t="s">
        <v>1584</v>
      </c>
      <c r="I1461" t="s">
        <v>9894</v>
      </c>
    </row>
    <row r="1462" spans="1:9" x14ac:dyDescent="0.2">
      <c r="A1462" t="s">
        <v>1330</v>
      </c>
      <c r="B1462" t="s">
        <v>1331</v>
      </c>
      <c r="C1462" t="s">
        <v>25</v>
      </c>
      <c r="D1462" t="s">
        <v>1333</v>
      </c>
      <c r="E1462" t="str">
        <f>HYPERLINK("/pdf/2023_10.1109_icpics58376.2023.10235404_Detection_of_Data_Leakage_Based_on_DNS_Traffic.pdf","open")</f>
        <v>open</v>
      </c>
      <c r="F1462" t="s">
        <v>7130</v>
      </c>
      <c r="G1462" t="s">
        <v>5650</v>
      </c>
      <c r="I1462" t="s">
        <v>9895</v>
      </c>
    </row>
    <row r="1463" spans="1:9" x14ac:dyDescent="0.2">
      <c r="A1463" t="s">
        <v>1335</v>
      </c>
      <c r="B1463" t="s">
        <v>1336</v>
      </c>
      <c r="C1463" t="s">
        <v>190</v>
      </c>
      <c r="D1463" t="s">
        <v>1338</v>
      </c>
      <c r="E1463" t="str">
        <f>HYPERLINK("/pdf/2017_10.5220_0006195803800388_Enhancing_accuracy_of_android_malware_detection_using_intent_instrumentation.pdf","open")</f>
        <v>open</v>
      </c>
      <c r="F1463" t="s">
        <v>7119</v>
      </c>
      <c r="G1463" t="s">
        <v>9896</v>
      </c>
      <c r="H1463" t="s">
        <v>9897</v>
      </c>
      <c r="I1463" t="s">
        <v>9898</v>
      </c>
    </row>
    <row r="1464" spans="1:9" x14ac:dyDescent="0.2">
      <c r="A1464" t="s">
        <v>1335</v>
      </c>
      <c r="B1464" t="s">
        <v>1336</v>
      </c>
      <c r="C1464" t="s">
        <v>190</v>
      </c>
      <c r="D1464" t="s">
        <v>1338</v>
      </c>
      <c r="E1464" t="str">
        <f>HYPERLINK("/pdf/2017_10.5220_0006195803800388_Enhancing_accuracy_of_android_malware_detection_using_intent_instrumentation.pdf","open")</f>
        <v>open</v>
      </c>
      <c r="F1464" t="s">
        <v>7119</v>
      </c>
      <c r="G1464" t="s">
        <v>9899</v>
      </c>
      <c r="H1464" t="s">
        <v>9900</v>
      </c>
      <c r="I1464" t="s">
        <v>9901</v>
      </c>
    </row>
    <row r="1465" spans="1:9" x14ac:dyDescent="0.2">
      <c r="A1465" t="s">
        <v>1335</v>
      </c>
      <c r="B1465" t="s">
        <v>1336</v>
      </c>
      <c r="C1465" t="s">
        <v>190</v>
      </c>
      <c r="D1465" t="s">
        <v>1338</v>
      </c>
      <c r="E1465" t="str">
        <f>HYPERLINK("/pdf/2017_10.5220_0006195803800388_Enhancing_accuracy_of_android_malware_detection_using_intent_instrumentation.pdf","open")</f>
        <v>open</v>
      </c>
      <c r="F1465" t="s">
        <v>7130</v>
      </c>
      <c r="G1465" t="s">
        <v>9902</v>
      </c>
      <c r="I1465" t="s">
        <v>9903</v>
      </c>
    </row>
    <row r="1466" spans="1:9" x14ac:dyDescent="0.2">
      <c r="A1466" t="s">
        <v>1335</v>
      </c>
      <c r="B1466" t="s">
        <v>1336</v>
      </c>
      <c r="C1466" t="s">
        <v>190</v>
      </c>
      <c r="D1466" t="s">
        <v>1338</v>
      </c>
      <c r="E1466" t="str">
        <f>HYPERLINK("/pdf/2017_10.5220_0006195803800388_Enhancing_accuracy_of_android_malware_detection_using_intent_instrumentation.pdf","open")</f>
        <v>open</v>
      </c>
      <c r="F1466" t="s">
        <v>7130</v>
      </c>
      <c r="G1466" t="s">
        <v>9904</v>
      </c>
      <c r="I1466" t="s">
        <v>9905</v>
      </c>
    </row>
    <row r="1467" spans="1:9" x14ac:dyDescent="0.2">
      <c r="A1467" t="s">
        <v>1340</v>
      </c>
      <c r="B1467" t="s">
        <v>1341</v>
      </c>
      <c r="C1467" t="s">
        <v>19</v>
      </c>
      <c r="D1467" t="s">
        <v>1343</v>
      </c>
      <c r="E1467" t="str">
        <f>HYPERLINK("/pdf/2025_10.1007_978-981-96-2468-3_63_An_Approach_for_Malware_Classification_via_API_Call_Extraction_from_Disassembly_Code.pdf","open")</f>
        <v>open</v>
      </c>
      <c r="F1467" t="s">
        <v>7119</v>
      </c>
      <c r="G1467" t="s">
        <v>9906</v>
      </c>
      <c r="H1467" t="s">
        <v>9907</v>
      </c>
      <c r="I1467" t="s">
        <v>9908</v>
      </c>
    </row>
    <row r="1468" spans="1:9" x14ac:dyDescent="0.2">
      <c r="A1468" t="s">
        <v>1340</v>
      </c>
      <c r="B1468" t="s">
        <v>1341</v>
      </c>
      <c r="C1468" t="s">
        <v>19</v>
      </c>
      <c r="D1468" t="s">
        <v>1343</v>
      </c>
      <c r="E1468" t="str">
        <f>HYPERLINK("/pdf/2025_10.1007_978-981-96-2468-3_63_An_Approach_for_Malware_Classification_via_API_Call_Extraction_from_Disassembly_Code.pdf","open")</f>
        <v>open</v>
      </c>
      <c r="F1468" t="s">
        <v>7119</v>
      </c>
      <c r="G1468" t="s">
        <v>9909</v>
      </c>
      <c r="H1468" t="s">
        <v>9910</v>
      </c>
      <c r="I1468" t="s">
        <v>9908</v>
      </c>
    </row>
    <row r="1469" spans="1:9" x14ac:dyDescent="0.2">
      <c r="A1469" t="s">
        <v>1340</v>
      </c>
      <c r="B1469" t="s">
        <v>1341</v>
      </c>
      <c r="C1469" t="s">
        <v>19</v>
      </c>
      <c r="D1469" t="s">
        <v>1343</v>
      </c>
      <c r="E1469" t="str">
        <f>HYPERLINK("/pdf/2025_10.1007_978-981-96-2468-3_63_An_Approach_for_Malware_Classification_via_API_Call_Extraction_from_Disassembly_Code.pdf","open")</f>
        <v>open</v>
      </c>
      <c r="F1469" t="s">
        <v>7130</v>
      </c>
      <c r="G1469" t="s">
        <v>9911</v>
      </c>
      <c r="I1469" t="s">
        <v>9912</v>
      </c>
    </row>
    <row r="1470" spans="1:9" x14ac:dyDescent="0.2">
      <c r="A1470" t="s">
        <v>1345</v>
      </c>
      <c r="B1470" t="s">
        <v>1346</v>
      </c>
      <c r="C1470" t="s">
        <v>12</v>
      </c>
      <c r="D1470" t="s">
        <v>1347</v>
      </c>
      <c r="E1470" t="str">
        <f>HYPERLINK("/pdf/2018_10_11591_ijece_v8i4_pp2247_2253_a_survey_data_leakage_detection_techniques.pdf","open")</f>
        <v>open</v>
      </c>
      <c r="F1470" t="s">
        <v>7119</v>
      </c>
      <c r="G1470" t="s">
        <v>9913</v>
      </c>
      <c r="H1470" t="s">
        <v>9914</v>
      </c>
      <c r="I1470" t="s">
        <v>9134</v>
      </c>
    </row>
    <row r="1471" spans="1:9" x14ac:dyDescent="0.2">
      <c r="A1471" t="s">
        <v>1345</v>
      </c>
      <c r="B1471" t="s">
        <v>1346</v>
      </c>
      <c r="C1471" t="s">
        <v>12</v>
      </c>
      <c r="D1471" t="s">
        <v>1347</v>
      </c>
      <c r="E1471" t="str">
        <f>HYPERLINK("/pdf/2018_10_11591_ijece_v8i4_pp2247_2253_a_survey_data_leakage_detection_techniques.pdf","open")</f>
        <v>open</v>
      </c>
      <c r="F1471" t="s">
        <v>7119</v>
      </c>
      <c r="G1471" t="s">
        <v>9915</v>
      </c>
      <c r="H1471" t="s">
        <v>9916</v>
      </c>
      <c r="I1471" t="s">
        <v>9690</v>
      </c>
    </row>
    <row r="1472" spans="1:9" x14ac:dyDescent="0.2">
      <c r="A1472" t="s">
        <v>1345</v>
      </c>
      <c r="B1472" t="s">
        <v>1346</v>
      </c>
      <c r="C1472" t="s">
        <v>12</v>
      </c>
      <c r="D1472" t="s">
        <v>1347</v>
      </c>
      <c r="E1472" t="str">
        <f>HYPERLINK("/pdf/2018_10_11591_ijece_v8i4_pp2247_2253_a_survey_data_leakage_detection_techniques.pdf","open")</f>
        <v>open</v>
      </c>
      <c r="F1472" t="s">
        <v>7130</v>
      </c>
      <c r="G1472" t="s">
        <v>1592</v>
      </c>
      <c r="I1472" t="s">
        <v>9917</v>
      </c>
    </row>
    <row r="1473" spans="1:9" x14ac:dyDescent="0.2">
      <c r="A1473" t="s">
        <v>1345</v>
      </c>
      <c r="B1473" t="s">
        <v>1346</v>
      </c>
      <c r="C1473" t="s">
        <v>12</v>
      </c>
      <c r="D1473" t="s">
        <v>1347</v>
      </c>
      <c r="E1473" t="str">
        <f>HYPERLINK("/pdf/2018_10_11591_ijece_v8i4_pp2247_2253_a_survey_data_leakage_detection_techniques.pdf","open")</f>
        <v>open</v>
      </c>
      <c r="F1473" t="s">
        <v>7130</v>
      </c>
      <c r="G1473" t="s">
        <v>1597</v>
      </c>
      <c r="I1473" t="s">
        <v>9918</v>
      </c>
    </row>
    <row r="1474" spans="1:9" x14ac:dyDescent="0.2">
      <c r="A1474" t="s">
        <v>1349</v>
      </c>
      <c r="B1474" t="s">
        <v>1350</v>
      </c>
      <c r="C1474" t="s">
        <v>100</v>
      </c>
      <c r="D1474" t="s">
        <v>148</v>
      </c>
      <c r="E1474" t="str">
        <f>HYPERLINK("/pdf/2023_10_1109_tdsc_2022_3179698_blockchain_based_transparency_framework_for_privacy_preserving_third_party_services.pdf","open")</f>
        <v>open</v>
      </c>
      <c r="F1474" t="s">
        <v>7119</v>
      </c>
      <c r="G1474" t="s">
        <v>7322</v>
      </c>
      <c r="H1474" t="s">
        <v>9919</v>
      </c>
      <c r="I1474" t="s">
        <v>8477</v>
      </c>
    </row>
    <row r="1475" spans="1:9" x14ac:dyDescent="0.2">
      <c r="A1475" t="s">
        <v>1349</v>
      </c>
      <c r="B1475" t="s">
        <v>1350</v>
      </c>
      <c r="C1475" t="s">
        <v>100</v>
      </c>
      <c r="D1475" t="s">
        <v>148</v>
      </c>
      <c r="E1475" t="str">
        <f>HYPERLINK("/pdf/2023_10_1109_tdsc_2022_3179698_blockchain_based_transparency_framework_for_privacy_preserving_third_party_services.pdf","open")</f>
        <v>open</v>
      </c>
      <c r="F1475" t="s">
        <v>7119</v>
      </c>
      <c r="G1475" t="s">
        <v>7124</v>
      </c>
      <c r="H1475" t="s">
        <v>9920</v>
      </c>
      <c r="I1475" t="s">
        <v>9921</v>
      </c>
    </row>
    <row r="1476" spans="1:9" x14ac:dyDescent="0.2">
      <c r="A1476" t="s">
        <v>1349</v>
      </c>
      <c r="B1476" t="s">
        <v>1350</v>
      </c>
      <c r="C1476" t="s">
        <v>100</v>
      </c>
      <c r="D1476" t="s">
        <v>148</v>
      </c>
      <c r="E1476" t="str">
        <f>HYPERLINK("/pdf/2023_10_1109_tdsc_2022_3179698_blockchain_based_transparency_framework_for_privacy_preserving_third_party_services.pdf","open")</f>
        <v>open</v>
      </c>
      <c r="F1476" t="s">
        <v>7119</v>
      </c>
      <c r="G1476" t="s">
        <v>9922</v>
      </c>
      <c r="H1476" t="s">
        <v>9923</v>
      </c>
      <c r="I1476" t="s">
        <v>9921</v>
      </c>
    </row>
    <row r="1477" spans="1:9" x14ac:dyDescent="0.2">
      <c r="A1477" t="s">
        <v>1349</v>
      </c>
      <c r="B1477" t="s">
        <v>1350</v>
      </c>
      <c r="C1477" t="s">
        <v>100</v>
      </c>
      <c r="D1477" t="s">
        <v>148</v>
      </c>
      <c r="E1477" t="str">
        <f>HYPERLINK("/pdf/2023_10_1109_tdsc_2022_3179698_blockchain_based_transparency_framework_for_privacy_preserving_third_party_services.pdf","open")</f>
        <v>open</v>
      </c>
      <c r="F1477" t="s">
        <v>7130</v>
      </c>
      <c r="G1477" t="s">
        <v>7322</v>
      </c>
      <c r="I1477" t="s">
        <v>9924</v>
      </c>
    </row>
    <row r="1478" spans="1:9" x14ac:dyDescent="0.2">
      <c r="A1478" t="s">
        <v>1349</v>
      </c>
      <c r="B1478" t="s">
        <v>1350</v>
      </c>
      <c r="C1478" t="s">
        <v>100</v>
      </c>
      <c r="D1478" t="s">
        <v>148</v>
      </c>
      <c r="E1478" t="str">
        <f>HYPERLINK("/pdf/2023_10_1109_tdsc_2022_3179698_blockchain_based_transparency_framework_for_privacy_preserving_third_party_services.pdf","open")</f>
        <v>open</v>
      </c>
      <c r="F1478" t="s">
        <v>7130</v>
      </c>
      <c r="G1478" t="s">
        <v>9925</v>
      </c>
      <c r="I1478" t="s">
        <v>7185</v>
      </c>
    </row>
    <row r="1479" spans="1:9" x14ac:dyDescent="0.2">
      <c r="A1479" t="s">
        <v>1352</v>
      </c>
      <c r="B1479" t="s">
        <v>79</v>
      </c>
      <c r="C1479" t="s">
        <v>19</v>
      </c>
      <c r="D1479" t="s">
        <v>81</v>
      </c>
      <c r="E1479" t="str">
        <f>HYPERLINK("/pdf/2025_10_26583_sv_17_5_11_performance_comparison_of_various_software_tools_in_photogrammetry_based_digitization_and.pdf","open")</f>
        <v>open</v>
      </c>
      <c r="F1479" t="s">
        <v>7119</v>
      </c>
      <c r="G1479" t="s">
        <v>9926</v>
      </c>
      <c r="H1479" t="s">
        <v>9927</v>
      </c>
      <c r="I1479" t="s">
        <v>7178</v>
      </c>
    </row>
    <row r="1480" spans="1:9" x14ac:dyDescent="0.2">
      <c r="A1480" t="s">
        <v>1352</v>
      </c>
      <c r="B1480" t="s">
        <v>79</v>
      </c>
      <c r="C1480" t="s">
        <v>19</v>
      </c>
      <c r="D1480" t="s">
        <v>81</v>
      </c>
      <c r="E1480" t="str">
        <f>HYPERLINK("/pdf/2025_10_26583_sv_17_5_11_performance_comparison_of_various_software_tools_in_photogrammetry_based_digitization_and.pdf","open")</f>
        <v>open</v>
      </c>
      <c r="F1480" t="s">
        <v>7119</v>
      </c>
      <c r="G1480" t="s">
        <v>9928</v>
      </c>
      <c r="H1480" t="s">
        <v>9929</v>
      </c>
      <c r="I1480" t="s">
        <v>7178</v>
      </c>
    </row>
    <row r="1481" spans="1:9" x14ac:dyDescent="0.2">
      <c r="A1481" t="s">
        <v>1352</v>
      </c>
      <c r="B1481" t="s">
        <v>79</v>
      </c>
      <c r="C1481" t="s">
        <v>19</v>
      </c>
      <c r="D1481" t="s">
        <v>81</v>
      </c>
      <c r="E1481" t="str">
        <f>HYPERLINK("/pdf/2025_10_26583_sv_17_5_11_performance_comparison_of_various_software_tools_in_photogrammetry_based_digitization_and.pdf","open")</f>
        <v>open</v>
      </c>
      <c r="F1481" t="s">
        <v>7130</v>
      </c>
      <c r="G1481" t="s">
        <v>9930</v>
      </c>
      <c r="I1481" t="s">
        <v>7422</v>
      </c>
    </row>
    <row r="1482" spans="1:9" x14ac:dyDescent="0.2">
      <c r="A1482" t="s">
        <v>1352</v>
      </c>
      <c r="B1482" t="s">
        <v>79</v>
      </c>
      <c r="C1482" t="s">
        <v>19</v>
      </c>
      <c r="D1482" t="s">
        <v>81</v>
      </c>
      <c r="E1482" t="str">
        <f>HYPERLINK("/pdf/2025_10_26583_sv_17_5_11_performance_comparison_of_various_software_tools_in_photogrammetry_based_digitization_and.pdf","open")</f>
        <v>open</v>
      </c>
      <c r="F1482" t="s">
        <v>7130</v>
      </c>
      <c r="G1482" t="s">
        <v>9931</v>
      </c>
      <c r="I1482" t="s">
        <v>9932</v>
      </c>
    </row>
    <row r="1483" spans="1:9" x14ac:dyDescent="0.2">
      <c r="A1483" t="s">
        <v>1354</v>
      </c>
      <c r="B1483" t="s">
        <v>1341</v>
      </c>
      <c r="C1483" t="s">
        <v>19</v>
      </c>
      <c r="D1483" t="s">
        <v>1343</v>
      </c>
      <c r="E1483" t="str">
        <f>HYPERLINK("/pdf/2025_10.1109_idciot64235.2025.10914826_Artificial_Intelligence_to_Enhance_the_Security_of_Internet_of_Things__A_Comprehensive_Review.pdf","open")</f>
        <v>open</v>
      </c>
      <c r="F1483" t="s">
        <v>7119</v>
      </c>
      <c r="G1483" t="s">
        <v>9933</v>
      </c>
      <c r="H1483" t="s">
        <v>9907</v>
      </c>
      <c r="I1483" t="s">
        <v>9934</v>
      </c>
    </row>
    <row r="1484" spans="1:9" x14ac:dyDescent="0.2">
      <c r="A1484" t="s">
        <v>1354</v>
      </c>
      <c r="B1484" t="s">
        <v>1341</v>
      </c>
      <c r="C1484" t="s">
        <v>19</v>
      </c>
      <c r="D1484" t="s">
        <v>1343</v>
      </c>
      <c r="E1484" t="str">
        <f>HYPERLINK("/pdf/2025_10.1109_idciot64235.2025.10914826_Artificial_Intelligence_to_Enhance_the_Security_of_Internet_of_Things__A_Comprehensive_Review.pdf","open")</f>
        <v>open</v>
      </c>
      <c r="F1484" t="s">
        <v>7119</v>
      </c>
      <c r="G1484" t="s">
        <v>9935</v>
      </c>
      <c r="H1484" t="s">
        <v>9936</v>
      </c>
      <c r="I1484" t="s">
        <v>9934</v>
      </c>
    </row>
    <row r="1485" spans="1:9" x14ac:dyDescent="0.2">
      <c r="A1485" t="s">
        <v>1354</v>
      </c>
      <c r="B1485" t="s">
        <v>1341</v>
      </c>
      <c r="C1485" t="s">
        <v>19</v>
      </c>
      <c r="D1485" t="s">
        <v>1343</v>
      </c>
      <c r="E1485" t="str">
        <f>HYPERLINK("/pdf/2025_10.1109_idciot64235.2025.10914826_Artificial_Intelligence_to_Enhance_the_Security_of_Internet_of_Things__A_Comprehensive_Review.pdf","open")</f>
        <v>open</v>
      </c>
      <c r="F1485" t="s">
        <v>7130</v>
      </c>
      <c r="G1485" t="s">
        <v>9937</v>
      </c>
      <c r="I1485" t="s">
        <v>9938</v>
      </c>
    </row>
    <row r="1486" spans="1:9" x14ac:dyDescent="0.2">
      <c r="A1486" t="s">
        <v>1357</v>
      </c>
      <c r="B1486" t="s">
        <v>1358</v>
      </c>
      <c r="C1486" t="s">
        <v>19</v>
      </c>
      <c r="D1486" t="s">
        <v>1359</v>
      </c>
      <c r="E1486" t="str">
        <f>HYPERLINK("/pdf/2025_10_14445_23488549_ijece_v12i8p111_real_time_intrusion_detection_using_adaptive_sliding_windows_for_concept_drift.pdf","open")</f>
        <v>open</v>
      </c>
      <c r="F1486" t="s">
        <v>7119</v>
      </c>
      <c r="G1486" t="s">
        <v>9939</v>
      </c>
      <c r="H1486" t="s">
        <v>9940</v>
      </c>
      <c r="I1486" t="s">
        <v>9141</v>
      </c>
    </row>
    <row r="1487" spans="1:9" x14ac:dyDescent="0.2">
      <c r="A1487" t="s">
        <v>1357</v>
      </c>
      <c r="B1487" t="s">
        <v>1358</v>
      </c>
      <c r="C1487" t="s">
        <v>19</v>
      </c>
      <c r="D1487" t="s">
        <v>1359</v>
      </c>
      <c r="E1487" t="str">
        <f>HYPERLINK("/pdf/2025_10_14445_23488549_ijece_v12i8p111_real_time_intrusion_detection_using_adaptive_sliding_windows_for_concept_drift.pdf","open")</f>
        <v>open</v>
      </c>
      <c r="F1487" t="s">
        <v>7119</v>
      </c>
      <c r="G1487" t="s">
        <v>9941</v>
      </c>
      <c r="H1487" t="s">
        <v>9942</v>
      </c>
      <c r="I1487" t="s">
        <v>9154</v>
      </c>
    </row>
    <row r="1488" spans="1:9" x14ac:dyDescent="0.2">
      <c r="A1488" t="s">
        <v>1357</v>
      </c>
      <c r="B1488" t="s">
        <v>1358</v>
      </c>
      <c r="C1488" t="s">
        <v>19</v>
      </c>
      <c r="D1488" t="s">
        <v>1359</v>
      </c>
      <c r="E1488" t="str">
        <f>HYPERLINK("/pdf/2025_10_14445_23488549_ijece_v12i8p111_real_time_intrusion_detection_using_adaptive_sliding_windows_for_concept_drift.pdf","open")</f>
        <v>open</v>
      </c>
      <c r="F1488" t="s">
        <v>7130</v>
      </c>
      <c r="G1488" t="s">
        <v>9289</v>
      </c>
      <c r="I1488" t="s">
        <v>9943</v>
      </c>
    </row>
    <row r="1489" spans="1:9" x14ac:dyDescent="0.2">
      <c r="A1489" t="s">
        <v>1357</v>
      </c>
      <c r="B1489" t="s">
        <v>1358</v>
      </c>
      <c r="C1489" t="s">
        <v>19</v>
      </c>
      <c r="D1489" t="s">
        <v>1359</v>
      </c>
      <c r="E1489" t="str">
        <f>HYPERLINK("/pdf/2025_10_14445_23488549_ijece_v12i8p111_real_time_intrusion_detection_using_adaptive_sliding_windows_for_concept_drift.pdf","open")</f>
        <v>open</v>
      </c>
      <c r="F1489" t="s">
        <v>7130</v>
      </c>
      <c r="G1489" t="s">
        <v>9944</v>
      </c>
      <c r="I1489" t="s">
        <v>9945</v>
      </c>
    </row>
    <row r="1490" spans="1:9" x14ac:dyDescent="0.2">
      <c r="A1490" t="s">
        <v>1361</v>
      </c>
      <c r="B1490" t="s">
        <v>1362</v>
      </c>
      <c r="C1490" t="s">
        <v>54</v>
      </c>
      <c r="D1490" t="s">
        <v>148</v>
      </c>
      <c r="E1490" t="str">
        <f>HYPERLINK("/pdf/2020_10_14569_ijacsa_2020_0111183_plusapps_towards_a_privacy_risk_analysis_for_android_plus_applications.pdf","open")</f>
        <v>open</v>
      </c>
      <c r="F1490" t="s">
        <v>7119</v>
      </c>
      <c r="G1490" t="s">
        <v>9946</v>
      </c>
      <c r="H1490" t="s">
        <v>9947</v>
      </c>
      <c r="I1490" t="s">
        <v>9948</v>
      </c>
    </row>
    <row r="1491" spans="1:9" x14ac:dyDescent="0.2">
      <c r="A1491" t="s">
        <v>1361</v>
      </c>
      <c r="B1491" t="s">
        <v>1362</v>
      </c>
      <c r="C1491" t="s">
        <v>54</v>
      </c>
      <c r="D1491" t="s">
        <v>148</v>
      </c>
      <c r="E1491" t="str">
        <f>HYPERLINK("/pdf/2020_10_14569_ijacsa_2020_0111183_plusapps_towards_a_privacy_risk_analysis_for_android_plus_applications.pdf","open")</f>
        <v>open</v>
      </c>
      <c r="F1491" t="s">
        <v>7119</v>
      </c>
      <c r="G1491" t="s">
        <v>9949</v>
      </c>
      <c r="H1491" t="s">
        <v>9950</v>
      </c>
      <c r="I1491" t="s">
        <v>9293</v>
      </c>
    </row>
    <row r="1492" spans="1:9" x14ac:dyDescent="0.2">
      <c r="A1492" t="s">
        <v>1361</v>
      </c>
      <c r="B1492" t="s">
        <v>1362</v>
      </c>
      <c r="C1492" t="s">
        <v>54</v>
      </c>
      <c r="D1492" t="s">
        <v>148</v>
      </c>
      <c r="E1492" t="str">
        <f>HYPERLINK("/pdf/2020_10_14569_ijacsa_2020_0111183_plusapps_towards_a_privacy_risk_analysis_for_android_plus_applications.pdf","open")</f>
        <v>open</v>
      </c>
      <c r="F1492" t="s">
        <v>7130</v>
      </c>
      <c r="G1492" t="s">
        <v>1583</v>
      </c>
      <c r="I1492" t="s">
        <v>9951</v>
      </c>
    </row>
    <row r="1493" spans="1:9" x14ac:dyDescent="0.2">
      <c r="A1493" t="s">
        <v>1361</v>
      </c>
      <c r="B1493" t="s">
        <v>1362</v>
      </c>
      <c r="C1493" t="s">
        <v>54</v>
      </c>
      <c r="D1493" t="s">
        <v>148</v>
      </c>
      <c r="E1493" t="str">
        <f>HYPERLINK("/pdf/2020_10_14569_ijacsa_2020_0111183_plusapps_towards_a_privacy_risk_analysis_for_android_plus_applications.pdf","open")</f>
        <v>open</v>
      </c>
      <c r="F1493" t="s">
        <v>7130</v>
      </c>
      <c r="G1493" t="s">
        <v>1584</v>
      </c>
      <c r="I1493" t="s">
        <v>9952</v>
      </c>
    </row>
    <row r="1494" spans="1:9" x14ac:dyDescent="0.2">
      <c r="A1494" t="s">
        <v>1365</v>
      </c>
      <c r="B1494" t="s">
        <v>1366</v>
      </c>
      <c r="C1494" t="s">
        <v>60</v>
      </c>
      <c r="D1494" t="s">
        <v>1367</v>
      </c>
      <c r="E1494" t="str">
        <f>HYPERLINK("/pdf/2024_10.1016_j.neucom.2024.128010_A_review_of_deep_learning_based_malware_detection_techniques.pdf","open")</f>
        <v>open</v>
      </c>
      <c r="F1494" t="s">
        <v>7119</v>
      </c>
      <c r="G1494" t="s">
        <v>9953</v>
      </c>
      <c r="H1494" t="s">
        <v>9954</v>
      </c>
      <c r="I1494" t="s">
        <v>9507</v>
      </c>
    </row>
    <row r="1495" spans="1:9" x14ac:dyDescent="0.2">
      <c r="A1495" t="s">
        <v>1365</v>
      </c>
      <c r="B1495" t="s">
        <v>1366</v>
      </c>
      <c r="C1495" t="s">
        <v>60</v>
      </c>
      <c r="D1495" t="s">
        <v>1367</v>
      </c>
      <c r="E1495" t="str">
        <f>HYPERLINK("/pdf/2024_10.1016_j.neucom.2024.128010_A_review_of_deep_learning_based_malware_detection_techniques.pdf","open")</f>
        <v>open</v>
      </c>
      <c r="F1495" t="s">
        <v>7119</v>
      </c>
      <c r="G1495" t="s">
        <v>9955</v>
      </c>
      <c r="H1495" t="s">
        <v>9956</v>
      </c>
      <c r="I1495" t="s">
        <v>9827</v>
      </c>
    </row>
    <row r="1496" spans="1:9" x14ac:dyDescent="0.2">
      <c r="A1496" t="s">
        <v>1365</v>
      </c>
      <c r="B1496" t="s">
        <v>1366</v>
      </c>
      <c r="C1496" t="s">
        <v>60</v>
      </c>
      <c r="D1496" t="s">
        <v>1367</v>
      </c>
      <c r="E1496" t="str">
        <f>HYPERLINK("/pdf/2024_10.1016_j.neucom.2024.128010_A_review_of_deep_learning_based_malware_detection_techniques.pdf","open")</f>
        <v>open</v>
      </c>
      <c r="F1496" t="s">
        <v>7119</v>
      </c>
      <c r="G1496" t="s">
        <v>9957</v>
      </c>
      <c r="H1496" t="s">
        <v>9958</v>
      </c>
      <c r="I1496" t="s">
        <v>9959</v>
      </c>
    </row>
    <row r="1497" spans="1:9" x14ac:dyDescent="0.2">
      <c r="A1497" t="s">
        <v>1365</v>
      </c>
      <c r="B1497" t="s">
        <v>1366</v>
      </c>
      <c r="C1497" t="s">
        <v>60</v>
      </c>
      <c r="D1497" t="s">
        <v>1367</v>
      </c>
      <c r="E1497" t="str">
        <f>HYPERLINK("/pdf/2024_10.1016_j.neucom.2024.128010_A_review_of_deep_learning_based_malware_detection_techniques.pdf","open")</f>
        <v>open</v>
      </c>
      <c r="F1497" t="s">
        <v>7130</v>
      </c>
      <c r="G1497" t="s">
        <v>1601</v>
      </c>
      <c r="I1497" t="s">
        <v>9960</v>
      </c>
    </row>
    <row r="1498" spans="1:9" x14ac:dyDescent="0.2">
      <c r="A1498" t="s">
        <v>1365</v>
      </c>
      <c r="B1498" t="s">
        <v>1366</v>
      </c>
      <c r="C1498" t="s">
        <v>60</v>
      </c>
      <c r="D1498" t="s">
        <v>1367</v>
      </c>
      <c r="E1498" t="str">
        <f>HYPERLINK("/pdf/2024_10.1016_j.neucom.2024.128010_A_review_of_deep_learning_based_malware_detection_techniques.pdf","open")</f>
        <v>open</v>
      </c>
      <c r="F1498" t="s">
        <v>7130</v>
      </c>
      <c r="G1498" t="s">
        <v>1592</v>
      </c>
      <c r="I1498" t="s">
        <v>9961</v>
      </c>
    </row>
    <row r="1499" spans="1:9" x14ac:dyDescent="0.2">
      <c r="A1499" t="s">
        <v>1369</v>
      </c>
      <c r="B1499" t="s">
        <v>1370</v>
      </c>
      <c r="C1499" t="s">
        <v>19</v>
      </c>
      <c r="D1499" t="s">
        <v>1371</v>
      </c>
      <c r="E1499" t="str">
        <f>HYPERLINK("/pdf/2025_10.1007_s13198-025-03002-0_Artificial_intelligence_big_data_optimization_and_network_security_promote_rural_infrastructure_investment_dec.pdf","open")</f>
        <v>open</v>
      </c>
      <c r="F1499" t="s">
        <v>7119</v>
      </c>
      <c r="G1499" t="s">
        <v>9962</v>
      </c>
      <c r="H1499" t="s">
        <v>9963</v>
      </c>
      <c r="I1499" t="s">
        <v>9964</v>
      </c>
    </row>
    <row r="1500" spans="1:9" x14ac:dyDescent="0.2">
      <c r="A1500" t="s">
        <v>1369</v>
      </c>
      <c r="B1500" t="s">
        <v>1370</v>
      </c>
      <c r="C1500" t="s">
        <v>19</v>
      </c>
      <c r="D1500" t="s">
        <v>1371</v>
      </c>
      <c r="E1500" t="str">
        <f>HYPERLINK("/pdf/2025_10.1007_s13198-025-03002-0_Artificial_intelligence_big_data_optimization_and_network_security_promote_rural_infrastructure_investment_dec.pdf","open")</f>
        <v>open</v>
      </c>
      <c r="F1500" t="s">
        <v>7119</v>
      </c>
      <c r="G1500" t="s">
        <v>9965</v>
      </c>
      <c r="H1500" t="s">
        <v>6915</v>
      </c>
      <c r="I1500" t="s">
        <v>9966</v>
      </c>
    </row>
    <row r="1501" spans="1:9" x14ac:dyDescent="0.2">
      <c r="A1501" t="s">
        <v>1369</v>
      </c>
      <c r="B1501" t="s">
        <v>1370</v>
      </c>
      <c r="C1501" t="s">
        <v>19</v>
      </c>
      <c r="D1501" t="s">
        <v>1371</v>
      </c>
      <c r="E1501" t="str">
        <f>HYPERLINK("/pdf/2025_10.1007_s13198-025-03002-0_Artificial_intelligence_big_data_optimization_and_network_security_promote_rural_infrastructure_investment_dec.pdf","open")</f>
        <v>open</v>
      </c>
      <c r="F1501" t="s">
        <v>7119</v>
      </c>
      <c r="G1501" t="s">
        <v>9967</v>
      </c>
      <c r="H1501" t="s">
        <v>9968</v>
      </c>
      <c r="I1501" t="s">
        <v>9969</v>
      </c>
    </row>
    <row r="1502" spans="1:9" x14ac:dyDescent="0.2">
      <c r="A1502" t="s">
        <v>1369</v>
      </c>
      <c r="B1502" t="s">
        <v>1370</v>
      </c>
      <c r="C1502" t="s">
        <v>19</v>
      </c>
      <c r="D1502" t="s">
        <v>1371</v>
      </c>
      <c r="E1502" t="str">
        <f>HYPERLINK("/pdf/2025_10.1007_s13198-025-03002-0_Artificial_intelligence_big_data_optimization_and_network_security_promote_rural_infrastructure_investment_dec.pdf","open")</f>
        <v>open</v>
      </c>
      <c r="F1502" t="s">
        <v>7130</v>
      </c>
      <c r="G1502" t="s">
        <v>9970</v>
      </c>
      <c r="I1502" t="s">
        <v>9971</v>
      </c>
    </row>
    <row r="1503" spans="1:9" x14ac:dyDescent="0.2">
      <c r="A1503" t="s">
        <v>1369</v>
      </c>
      <c r="B1503" t="s">
        <v>1370</v>
      </c>
      <c r="C1503" t="s">
        <v>19</v>
      </c>
      <c r="D1503" t="s">
        <v>1371</v>
      </c>
      <c r="E1503" t="str">
        <f>HYPERLINK("/pdf/2025_10.1007_s13198-025-03002-0_Artificial_intelligence_big_data_optimization_and_network_security_promote_rural_infrastructure_investment_dec.pdf","open")</f>
        <v>open</v>
      </c>
      <c r="F1503" t="s">
        <v>7130</v>
      </c>
      <c r="G1503" t="s">
        <v>9972</v>
      </c>
      <c r="I1503" t="s">
        <v>9973</v>
      </c>
    </row>
    <row r="1504" spans="1:9" x14ac:dyDescent="0.2">
      <c r="A1504" t="s">
        <v>1373</v>
      </c>
      <c r="B1504" t="s">
        <v>1374</v>
      </c>
      <c r="C1504" t="s">
        <v>19</v>
      </c>
      <c r="D1504" t="s">
        <v>1376</v>
      </c>
      <c r="E1504" t="str">
        <f>HYPERLINK("/pdf/2025_10.1109_dapic66097.2025.00172_Design_of_Artificial_Intelligence_Aided_Network_Intrusion_Detection_System_for_Critical_Infrastructure.pdf.pdf","open")</f>
        <v>open</v>
      </c>
      <c r="F1504" t="s">
        <v>7119</v>
      </c>
      <c r="G1504" t="s">
        <v>9974</v>
      </c>
      <c r="H1504" t="s">
        <v>9975</v>
      </c>
      <c r="I1504" t="s">
        <v>7416</v>
      </c>
    </row>
    <row r="1505" spans="1:9" x14ac:dyDescent="0.2">
      <c r="A1505" t="s">
        <v>1373</v>
      </c>
      <c r="B1505" t="s">
        <v>1374</v>
      </c>
      <c r="C1505" t="s">
        <v>19</v>
      </c>
      <c r="D1505" t="s">
        <v>1376</v>
      </c>
      <c r="E1505" t="str">
        <f>HYPERLINK("/pdf/2025_10.1109_dapic66097.2025.00172_Design_of_Artificial_Intelligence_Aided_Network_Intrusion_Detection_System_for_Critical_Infrastructure.pdf.pdf","open")</f>
        <v>open</v>
      </c>
      <c r="F1505" t="s">
        <v>7119</v>
      </c>
      <c r="G1505" t="s">
        <v>9976</v>
      </c>
      <c r="H1505" t="s">
        <v>9977</v>
      </c>
      <c r="I1505" t="s">
        <v>7416</v>
      </c>
    </row>
    <row r="1506" spans="1:9" x14ac:dyDescent="0.2">
      <c r="A1506" t="s">
        <v>1373</v>
      </c>
      <c r="B1506" t="s">
        <v>1374</v>
      </c>
      <c r="C1506" t="s">
        <v>19</v>
      </c>
      <c r="D1506" t="s">
        <v>1376</v>
      </c>
      <c r="E1506" t="str">
        <f>HYPERLINK("/pdf/2025_10.1109_dapic66097.2025.00172_Design_of_Artificial_Intelligence_Aided_Network_Intrusion_Detection_System_for_Critical_Infrastructure.pdf.pdf","open")</f>
        <v>open</v>
      </c>
      <c r="F1506" t="s">
        <v>7130</v>
      </c>
      <c r="G1506" t="s">
        <v>1584</v>
      </c>
      <c r="I1506" t="s">
        <v>9978</v>
      </c>
    </row>
    <row r="1507" spans="1:9" x14ac:dyDescent="0.2">
      <c r="A1507" t="s">
        <v>1373</v>
      </c>
      <c r="B1507" t="s">
        <v>1374</v>
      </c>
      <c r="C1507" t="s">
        <v>19</v>
      </c>
      <c r="D1507" t="s">
        <v>1376</v>
      </c>
      <c r="E1507" t="str">
        <f>HYPERLINK("/pdf/2025_10.1109_dapic66097.2025.00172_Design_of_Artificial_Intelligence_Aided_Network_Intrusion_Detection_System_for_Critical_Infrastructure.pdf.pdf","open")</f>
        <v>open</v>
      </c>
      <c r="F1507" t="s">
        <v>7130</v>
      </c>
      <c r="G1507" t="s">
        <v>1592</v>
      </c>
      <c r="I1507" t="s">
        <v>9978</v>
      </c>
    </row>
    <row r="1508" spans="1:9" x14ac:dyDescent="0.2">
      <c r="A1508" t="s">
        <v>1378</v>
      </c>
      <c r="B1508" t="s">
        <v>1379</v>
      </c>
      <c r="C1508" t="s">
        <v>60</v>
      </c>
      <c r="D1508" t="s">
        <v>148</v>
      </c>
      <c r="E1508" t="str">
        <f>HYPERLINK("/pdf/2024_10_14569_ijacsa_2024_0150281_prominent_security_vulnerabilities_in_cloud_computing.pdf","open")</f>
        <v>open</v>
      </c>
      <c r="F1508" t="s">
        <v>7119</v>
      </c>
      <c r="G1508" t="s">
        <v>9979</v>
      </c>
      <c r="H1508" t="s">
        <v>6922</v>
      </c>
      <c r="I1508" t="s">
        <v>9980</v>
      </c>
    </row>
    <row r="1509" spans="1:9" x14ac:dyDescent="0.2">
      <c r="A1509" t="s">
        <v>1378</v>
      </c>
      <c r="B1509" t="s">
        <v>1379</v>
      </c>
      <c r="C1509" t="s">
        <v>60</v>
      </c>
      <c r="D1509" t="s">
        <v>148</v>
      </c>
      <c r="E1509" t="str">
        <f>HYPERLINK("/pdf/2024_10_14569_ijacsa_2024_0150281_prominent_security_vulnerabilities_in_cloud_computing.pdf","open")</f>
        <v>open</v>
      </c>
      <c r="F1509" t="s">
        <v>7119</v>
      </c>
      <c r="G1509" t="s">
        <v>9981</v>
      </c>
      <c r="H1509" t="s">
        <v>9982</v>
      </c>
      <c r="I1509" t="s">
        <v>9163</v>
      </c>
    </row>
    <row r="1510" spans="1:9" x14ac:dyDescent="0.2">
      <c r="A1510" t="s">
        <v>1378</v>
      </c>
      <c r="B1510" t="s">
        <v>1379</v>
      </c>
      <c r="C1510" t="s">
        <v>60</v>
      </c>
      <c r="D1510" t="s">
        <v>148</v>
      </c>
      <c r="E1510" t="str">
        <f>HYPERLINK("/pdf/2024_10_14569_ijacsa_2024_0150281_prominent_security_vulnerabilities_in_cloud_computing.pdf","open")</f>
        <v>open</v>
      </c>
      <c r="F1510" t="s">
        <v>7130</v>
      </c>
      <c r="G1510" t="s">
        <v>5649</v>
      </c>
      <c r="I1510" t="s">
        <v>9983</v>
      </c>
    </row>
    <row r="1511" spans="1:9" x14ac:dyDescent="0.2">
      <c r="A1511" t="s">
        <v>1378</v>
      </c>
      <c r="B1511" t="s">
        <v>1379</v>
      </c>
      <c r="C1511" t="s">
        <v>60</v>
      </c>
      <c r="D1511" t="s">
        <v>148</v>
      </c>
      <c r="E1511" t="str">
        <f>HYPERLINK("/pdf/2024_10_14569_ijacsa_2024_0150281_prominent_security_vulnerabilities_in_cloud_computing.pdf","open")</f>
        <v>open</v>
      </c>
      <c r="F1511" t="s">
        <v>7130</v>
      </c>
      <c r="G1511" t="s">
        <v>5650</v>
      </c>
      <c r="I1511" t="s">
        <v>9984</v>
      </c>
    </row>
    <row r="1512" spans="1:9" x14ac:dyDescent="0.2">
      <c r="A1512" t="s">
        <v>1381</v>
      </c>
      <c r="B1512" t="s">
        <v>1382</v>
      </c>
      <c r="C1512" t="s">
        <v>36</v>
      </c>
      <c r="D1512" t="s">
        <v>1384</v>
      </c>
      <c r="E1512" t="str">
        <f>HYPERLINK("/pdf/2021_10.1109_icsc53193.2021.9673380_Detection_of_Tunneling_in_DNS_over_HTTPS.pdf","open")</f>
        <v>open</v>
      </c>
      <c r="F1512" t="s">
        <v>7119</v>
      </c>
      <c r="G1512" t="s">
        <v>9985</v>
      </c>
      <c r="H1512" t="s">
        <v>9986</v>
      </c>
      <c r="I1512" t="s">
        <v>9987</v>
      </c>
    </row>
    <row r="1513" spans="1:9" x14ac:dyDescent="0.2">
      <c r="A1513" t="s">
        <v>1381</v>
      </c>
      <c r="B1513" t="s">
        <v>1382</v>
      </c>
      <c r="C1513" t="s">
        <v>36</v>
      </c>
      <c r="D1513" t="s">
        <v>1384</v>
      </c>
      <c r="E1513" t="str">
        <f>HYPERLINK("/pdf/2021_10.1109_icsc53193.2021.9673380_Detection_of_Tunneling_in_DNS_over_HTTPS.pdf","open")</f>
        <v>open</v>
      </c>
      <c r="F1513" t="s">
        <v>7119</v>
      </c>
      <c r="G1513" t="s">
        <v>9988</v>
      </c>
      <c r="H1513" t="s">
        <v>9989</v>
      </c>
      <c r="I1513" t="s">
        <v>9987</v>
      </c>
    </row>
    <row r="1514" spans="1:9" x14ac:dyDescent="0.2">
      <c r="A1514" t="s">
        <v>1381</v>
      </c>
      <c r="B1514" t="s">
        <v>1382</v>
      </c>
      <c r="C1514" t="s">
        <v>36</v>
      </c>
      <c r="D1514" t="s">
        <v>1384</v>
      </c>
      <c r="E1514" t="str">
        <f>HYPERLINK("/pdf/2021_10.1109_icsc53193.2021.9673380_Detection_of_Tunneling_in_DNS_over_HTTPS.pdf","open")</f>
        <v>open</v>
      </c>
      <c r="F1514" t="s">
        <v>7119</v>
      </c>
      <c r="G1514" t="s">
        <v>9990</v>
      </c>
      <c r="H1514" t="s">
        <v>9991</v>
      </c>
      <c r="I1514" t="s">
        <v>9992</v>
      </c>
    </row>
    <row r="1515" spans="1:9" x14ac:dyDescent="0.2">
      <c r="A1515" t="s">
        <v>1381</v>
      </c>
      <c r="B1515" t="s">
        <v>1382</v>
      </c>
      <c r="C1515" t="s">
        <v>36</v>
      </c>
      <c r="D1515" t="s">
        <v>1384</v>
      </c>
      <c r="E1515" t="str">
        <f>HYPERLINK("/pdf/2021_10.1109_icsc53193.2021.9673380_Detection_of_Tunneling_in_DNS_over_HTTPS.pdf","open")</f>
        <v>open</v>
      </c>
      <c r="F1515" t="s">
        <v>7130</v>
      </c>
      <c r="G1515" t="s">
        <v>9993</v>
      </c>
      <c r="I1515" t="s">
        <v>9994</v>
      </c>
    </row>
    <row r="1516" spans="1:9" x14ac:dyDescent="0.2">
      <c r="A1516" t="s">
        <v>1381</v>
      </c>
      <c r="B1516" t="s">
        <v>1382</v>
      </c>
      <c r="C1516" t="s">
        <v>36</v>
      </c>
      <c r="D1516" t="s">
        <v>1384</v>
      </c>
      <c r="E1516" t="str">
        <f>HYPERLINK("/pdf/2021_10.1109_icsc53193.2021.9673380_Detection_of_Tunneling_in_DNS_over_HTTPS.pdf","open")</f>
        <v>open</v>
      </c>
      <c r="F1516" t="s">
        <v>7130</v>
      </c>
      <c r="G1516" t="s">
        <v>5650</v>
      </c>
      <c r="I1516" t="s">
        <v>7131</v>
      </c>
    </row>
    <row r="1517" spans="1:9" x14ac:dyDescent="0.2">
      <c r="A1517" t="s">
        <v>1386</v>
      </c>
      <c r="B1517" t="s">
        <v>1387</v>
      </c>
      <c r="C1517" t="s">
        <v>100</v>
      </c>
      <c r="D1517" t="s">
        <v>1389</v>
      </c>
      <c r="E1517" t="str">
        <f>HYPERLINK("/pdf/2022_10.1109_icecet55527.2022.9872999_Data_Privacy_on_using_Four_Models-_A_Review.pdf","open")</f>
        <v>open</v>
      </c>
      <c r="F1517" t="s">
        <v>7119</v>
      </c>
      <c r="G1517" t="s">
        <v>9995</v>
      </c>
      <c r="H1517" t="s">
        <v>9996</v>
      </c>
      <c r="I1517" t="s">
        <v>9997</v>
      </c>
    </row>
    <row r="1518" spans="1:9" x14ac:dyDescent="0.2">
      <c r="A1518" t="s">
        <v>1386</v>
      </c>
      <c r="B1518" t="s">
        <v>1387</v>
      </c>
      <c r="C1518" t="s">
        <v>100</v>
      </c>
      <c r="D1518" t="s">
        <v>1389</v>
      </c>
      <c r="E1518" t="str">
        <f>HYPERLINK("/pdf/2022_10.1109_icecet55527.2022.9872999_Data_Privacy_on_using_Four_Models-_A_Review.pdf","open")</f>
        <v>open</v>
      </c>
      <c r="F1518" t="s">
        <v>7130</v>
      </c>
      <c r="G1518" t="s">
        <v>5650</v>
      </c>
      <c r="I1518" t="s">
        <v>9998</v>
      </c>
    </row>
    <row r="1519" spans="1:9" x14ac:dyDescent="0.2">
      <c r="A1519" t="s">
        <v>1391</v>
      </c>
      <c r="B1519" t="s">
        <v>1392</v>
      </c>
      <c r="C1519" t="s">
        <v>156</v>
      </c>
      <c r="D1519" t="s">
        <v>148</v>
      </c>
      <c r="E1519" t="str">
        <f>HYPERLINK("/pdf/2013_10.1109_ijcnn.2013.6706768_Concept_drift_detection_for_online_class_imbalance_learning.pdf","open")</f>
        <v>open</v>
      </c>
      <c r="F1519" t="s">
        <v>7119</v>
      </c>
      <c r="G1519" t="s">
        <v>9999</v>
      </c>
      <c r="H1519" t="s">
        <v>10000</v>
      </c>
      <c r="I1519" t="s">
        <v>10001</v>
      </c>
    </row>
    <row r="1520" spans="1:9" x14ac:dyDescent="0.2">
      <c r="A1520" t="s">
        <v>1391</v>
      </c>
      <c r="B1520" t="s">
        <v>1392</v>
      </c>
      <c r="C1520" t="s">
        <v>156</v>
      </c>
      <c r="D1520" t="s">
        <v>148</v>
      </c>
      <c r="E1520" t="str">
        <f>HYPERLINK("/pdf/2013_10.1109_ijcnn.2013.6706768_Concept_drift_detection_for_online_class_imbalance_learning.pdf","open")</f>
        <v>open</v>
      </c>
      <c r="F1520" t="s">
        <v>7119</v>
      </c>
      <c r="G1520" t="s">
        <v>10002</v>
      </c>
      <c r="H1520" t="s">
        <v>10003</v>
      </c>
      <c r="I1520" t="s">
        <v>10001</v>
      </c>
    </row>
    <row r="1521" spans="1:9" x14ac:dyDescent="0.2">
      <c r="A1521" t="s">
        <v>1391</v>
      </c>
      <c r="B1521" t="s">
        <v>1392</v>
      </c>
      <c r="C1521" t="s">
        <v>156</v>
      </c>
      <c r="D1521" t="s">
        <v>148</v>
      </c>
      <c r="E1521" t="str">
        <f>HYPERLINK("/pdf/2013_10.1109_ijcnn.2013.6706768_Concept_drift_detection_for_online_class_imbalance_learning.pdf","open")</f>
        <v>open</v>
      </c>
      <c r="F1521" t="s">
        <v>7130</v>
      </c>
      <c r="G1521" t="s">
        <v>10004</v>
      </c>
      <c r="I1521" t="s">
        <v>10005</v>
      </c>
    </row>
    <row r="1522" spans="1:9" x14ac:dyDescent="0.2">
      <c r="A1522" t="s">
        <v>1394</v>
      </c>
      <c r="B1522" t="s">
        <v>1395</v>
      </c>
      <c r="C1522" t="s">
        <v>19</v>
      </c>
      <c r="D1522" t="s">
        <v>1397</v>
      </c>
      <c r="E1522" t="str">
        <f t="shared" ref="E1522:E1527" si="90">HYPERLINK("/pdf/2025_10.1016_j.csa.2025.100098_Leveraging_federated_learning_for_DoS_attack_detection_in_IoT_networks_based_on_ensemble_feature_selection_and.pdf","open")</f>
        <v>open</v>
      </c>
      <c r="F1522" t="s">
        <v>7119</v>
      </c>
      <c r="G1522" t="s">
        <v>10006</v>
      </c>
      <c r="H1522" t="s">
        <v>10007</v>
      </c>
      <c r="I1522" t="s">
        <v>10008</v>
      </c>
    </row>
    <row r="1523" spans="1:9" x14ac:dyDescent="0.2">
      <c r="A1523" t="s">
        <v>1394</v>
      </c>
      <c r="B1523" t="s">
        <v>1395</v>
      </c>
      <c r="C1523" t="s">
        <v>19</v>
      </c>
      <c r="D1523" t="s">
        <v>1397</v>
      </c>
      <c r="E1523" t="str">
        <f t="shared" si="90"/>
        <v>open</v>
      </c>
      <c r="F1523" t="s">
        <v>7119</v>
      </c>
      <c r="G1523" t="s">
        <v>10009</v>
      </c>
      <c r="H1523" t="s">
        <v>10010</v>
      </c>
      <c r="I1523" t="s">
        <v>10011</v>
      </c>
    </row>
    <row r="1524" spans="1:9" x14ac:dyDescent="0.2">
      <c r="A1524" t="s">
        <v>1394</v>
      </c>
      <c r="B1524" t="s">
        <v>1395</v>
      </c>
      <c r="C1524" t="s">
        <v>19</v>
      </c>
      <c r="D1524" t="s">
        <v>1397</v>
      </c>
      <c r="E1524" t="str">
        <f t="shared" si="90"/>
        <v>open</v>
      </c>
      <c r="F1524" t="s">
        <v>7119</v>
      </c>
      <c r="G1524" t="s">
        <v>10012</v>
      </c>
      <c r="H1524" t="s">
        <v>10013</v>
      </c>
      <c r="I1524" t="s">
        <v>10014</v>
      </c>
    </row>
    <row r="1525" spans="1:9" x14ac:dyDescent="0.2">
      <c r="A1525" t="s">
        <v>1394</v>
      </c>
      <c r="B1525" t="s">
        <v>1395</v>
      </c>
      <c r="C1525" t="s">
        <v>19</v>
      </c>
      <c r="D1525" t="s">
        <v>1397</v>
      </c>
      <c r="E1525" t="str">
        <f t="shared" si="90"/>
        <v>open</v>
      </c>
      <c r="F1525" t="s">
        <v>7119</v>
      </c>
      <c r="G1525" t="s">
        <v>10015</v>
      </c>
      <c r="H1525" t="s">
        <v>10016</v>
      </c>
      <c r="I1525" t="s">
        <v>10017</v>
      </c>
    </row>
    <row r="1526" spans="1:9" x14ac:dyDescent="0.2">
      <c r="A1526" t="s">
        <v>1394</v>
      </c>
      <c r="B1526" t="s">
        <v>1395</v>
      </c>
      <c r="C1526" t="s">
        <v>19</v>
      </c>
      <c r="D1526" t="s">
        <v>1397</v>
      </c>
      <c r="E1526" t="str">
        <f t="shared" si="90"/>
        <v>open</v>
      </c>
      <c r="F1526" t="s">
        <v>7130</v>
      </c>
      <c r="G1526" t="s">
        <v>1584</v>
      </c>
      <c r="I1526" t="s">
        <v>10018</v>
      </c>
    </row>
    <row r="1527" spans="1:9" x14ac:dyDescent="0.2">
      <c r="A1527" t="s">
        <v>1394</v>
      </c>
      <c r="B1527" t="s">
        <v>1395</v>
      </c>
      <c r="C1527" t="s">
        <v>19</v>
      </c>
      <c r="D1527" t="s">
        <v>1397</v>
      </c>
      <c r="E1527" t="str">
        <f t="shared" si="90"/>
        <v>open</v>
      </c>
      <c r="F1527" t="s">
        <v>7130</v>
      </c>
      <c r="G1527" t="s">
        <v>1589</v>
      </c>
      <c r="I1527" t="s">
        <v>10019</v>
      </c>
    </row>
    <row r="1528" spans="1:9" x14ac:dyDescent="0.2">
      <c r="A1528" t="s">
        <v>1399</v>
      </c>
      <c r="B1528" t="s">
        <v>1400</v>
      </c>
      <c r="C1528" t="s">
        <v>48</v>
      </c>
      <c r="D1528" t="s">
        <v>1401</v>
      </c>
      <c r="E1528" t="str">
        <f>HYPERLINK("/pdf/2026_10.32604_cmc.2025.069102_LightweightMulti-Agent_edge_framework_for_cybersecurity_and_resource_optimization_inmobile_sensor_networks.pdf","open")</f>
        <v>open</v>
      </c>
      <c r="F1528" t="s">
        <v>7119</v>
      </c>
      <c r="G1528" t="s">
        <v>10020</v>
      </c>
      <c r="H1528" t="s">
        <v>10021</v>
      </c>
      <c r="I1528" t="s">
        <v>10022</v>
      </c>
    </row>
    <row r="1529" spans="1:9" x14ac:dyDescent="0.2">
      <c r="A1529" t="s">
        <v>1399</v>
      </c>
      <c r="B1529" t="s">
        <v>1400</v>
      </c>
      <c r="C1529" t="s">
        <v>48</v>
      </c>
      <c r="D1529" t="s">
        <v>1401</v>
      </c>
      <c r="E1529" t="str">
        <f>HYPERLINK("/pdf/2026_10.32604_cmc.2025.069102_LightweightMulti-Agent_edge_framework_for_cybersecurity_and_resource_optimization_inmobile_sensor_networks.pdf","open")</f>
        <v>open</v>
      </c>
      <c r="F1529" t="s">
        <v>7119</v>
      </c>
      <c r="G1529" t="s">
        <v>10023</v>
      </c>
      <c r="H1529" t="s">
        <v>10024</v>
      </c>
      <c r="I1529" t="s">
        <v>10025</v>
      </c>
    </row>
    <row r="1530" spans="1:9" x14ac:dyDescent="0.2">
      <c r="A1530" t="s">
        <v>1399</v>
      </c>
      <c r="B1530" t="s">
        <v>1400</v>
      </c>
      <c r="C1530" t="s">
        <v>48</v>
      </c>
      <c r="D1530" t="s">
        <v>1401</v>
      </c>
      <c r="E1530" t="str">
        <f>HYPERLINK("/pdf/2026_10.32604_cmc.2025.069102_LightweightMulti-Agent_edge_framework_for_cybersecurity_and_resource_optimization_inmobile_sensor_networks.pdf","open")</f>
        <v>open</v>
      </c>
      <c r="F1530" t="s">
        <v>7119</v>
      </c>
      <c r="G1530" t="s">
        <v>10026</v>
      </c>
      <c r="H1530" t="s">
        <v>10027</v>
      </c>
      <c r="I1530" t="s">
        <v>10025</v>
      </c>
    </row>
    <row r="1531" spans="1:9" x14ac:dyDescent="0.2">
      <c r="A1531" t="s">
        <v>1399</v>
      </c>
      <c r="B1531" t="s">
        <v>1400</v>
      </c>
      <c r="C1531" t="s">
        <v>48</v>
      </c>
      <c r="D1531" t="s">
        <v>1401</v>
      </c>
      <c r="E1531" t="str">
        <f>HYPERLINK("/pdf/2026_10.32604_cmc.2025.069102_LightweightMulti-Agent_edge_framework_for_cybersecurity_and_resource_optimization_inmobile_sensor_networks.pdf","open")</f>
        <v>open</v>
      </c>
      <c r="F1531" t="s">
        <v>7130</v>
      </c>
      <c r="G1531" t="s">
        <v>1597</v>
      </c>
      <c r="I1531" t="s">
        <v>10028</v>
      </c>
    </row>
    <row r="1532" spans="1:9" x14ac:dyDescent="0.2">
      <c r="A1532" t="s">
        <v>1399</v>
      </c>
      <c r="B1532" t="s">
        <v>1400</v>
      </c>
      <c r="C1532" t="s">
        <v>48</v>
      </c>
      <c r="D1532" t="s">
        <v>1401</v>
      </c>
      <c r="E1532" t="str">
        <f>HYPERLINK("/pdf/2026_10.32604_cmc.2025.069102_LightweightMulti-Agent_edge_framework_for_cybersecurity_and_resource_optimization_inmobile_sensor_networks.pdf","open")</f>
        <v>open</v>
      </c>
      <c r="F1532" t="s">
        <v>7130</v>
      </c>
      <c r="G1532" t="s">
        <v>9106</v>
      </c>
      <c r="I1532" t="s">
        <v>10029</v>
      </c>
    </row>
    <row r="1533" spans="1:9" x14ac:dyDescent="0.2">
      <c r="A1533" t="s">
        <v>1403</v>
      </c>
      <c r="B1533" t="s">
        <v>1350</v>
      </c>
      <c r="C1533" t="s">
        <v>100</v>
      </c>
      <c r="D1533" t="s">
        <v>148</v>
      </c>
      <c r="E1533" t="str">
        <f>HYPERLINK("/pdf/2023_10_1109_tdsc_2022_3179698_blockchain_based_transparency_framework_for_privacy_preserving_third_party_servi.pdf","open")</f>
        <v>open</v>
      </c>
      <c r="F1533" t="s">
        <v>7119</v>
      </c>
      <c r="G1533" t="s">
        <v>10030</v>
      </c>
      <c r="H1533" t="s">
        <v>10031</v>
      </c>
      <c r="I1533" t="s">
        <v>10032</v>
      </c>
    </row>
    <row r="1534" spans="1:9" x14ac:dyDescent="0.2">
      <c r="A1534" t="s">
        <v>1403</v>
      </c>
      <c r="B1534" t="s">
        <v>1350</v>
      </c>
      <c r="C1534" t="s">
        <v>100</v>
      </c>
      <c r="D1534" t="s">
        <v>148</v>
      </c>
      <c r="E1534" t="str">
        <f>HYPERLINK("/pdf/2023_10_1109_tdsc_2022_3179698_blockchain_based_transparency_framework_for_privacy_preserving_third_party_servi.pdf","open")</f>
        <v>open</v>
      </c>
      <c r="F1534" t="s">
        <v>7119</v>
      </c>
      <c r="G1534" t="s">
        <v>10033</v>
      </c>
      <c r="H1534" t="s">
        <v>10034</v>
      </c>
      <c r="I1534" t="s">
        <v>10035</v>
      </c>
    </row>
    <row r="1535" spans="1:9" x14ac:dyDescent="0.2">
      <c r="A1535" t="s">
        <v>1403</v>
      </c>
      <c r="B1535" t="s">
        <v>1350</v>
      </c>
      <c r="C1535" t="s">
        <v>100</v>
      </c>
      <c r="D1535" t="s">
        <v>148</v>
      </c>
      <c r="E1535" t="str">
        <f>HYPERLINK("/pdf/2023_10_1109_tdsc_2022_3179698_blockchain_based_transparency_framework_for_privacy_preserving_third_party_servi.pdf","open")</f>
        <v>open</v>
      </c>
      <c r="F1535" t="s">
        <v>7119</v>
      </c>
      <c r="G1535" t="s">
        <v>10036</v>
      </c>
      <c r="H1535" t="s">
        <v>10037</v>
      </c>
      <c r="I1535" t="s">
        <v>10032</v>
      </c>
    </row>
    <row r="1536" spans="1:9" x14ac:dyDescent="0.2">
      <c r="A1536" t="s">
        <v>1403</v>
      </c>
      <c r="B1536" t="s">
        <v>1350</v>
      </c>
      <c r="C1536" t="s">
        <v>100</v>
      </c>
      <c r="D1536" t="s">
        <v>148</v>
      </c>
      <c r="E1536" t="str">
        <f>HYPERLINK("/pdf/2023_10_1109_tdsc_2022_3179698_blockchain_based_transparency_framework_for_privacy_preserving_third_party_servi.pdf","open")</f>
        <v>open</v>
      </c>
      <c r="F1536" t="s">
        <v>7130</v>
      </c>
      <c r="G1536" t="s">
        <v>8470</v>
      </c>
      <c r="I1536" t="s">
        <v>10038</v>
      </c>
    </row>
    <row r="1537" spans="1:9" x14ac:dyDescent="0.2">
      <c r="A1537" t="s">
        <v>1403</v>
      </c>
      <c r="B1537" t="s">
        <v>1350</v>
      </c>
      <c r="C1537" t="s">
        <v>100</v>
      </c>
      <c r="D1537" t="s">
        <v>148</v>
      </c>
      <c r="E1537" t="str">
        <f>HYPERLINK("/pdf/2023_10_1109_tdsc_2022_3179698_blockchain_based_transparency_framework_for_privacy_preserving_third_party_servi.pdf","open")</f>
        <v>open</v>
      </c>
      <c r="F1537" t="s">
        <v>7130</v>
      </c>
      <c r="G1537" t="s">
        <v>1597</v>
      </c>
      <c r="I1537" t="s">
        <v>10039</v>
      </c>
    </row>
    <row r="1538" spans="1:9" x14ac:dyDescent="0.2">
      <c r="A1538" t="s">
        <v>1405</v>
      </c>
      <c r="B1538" t="s">
        <v>1406</v>
      </c>
      <c r="C1538" t="s">
        <v>19</v>
      </c>
      <c r="D1538" t="s">
        <v>1408</v>
      </c>
      <c r="E1538" t="str">
        <f>HYPERLINK("/pdf/2025_10.18196_jrc.v6i1.24529_A_Customized_Temporal_Federated_Learning_Through_Adversarial_Networks_for_Cyber_Attack_Detection_in_IoT.pdf","open")</f>
        <v>open</v>
      </c>
      <c r="F1538" t="s">
        <v>7119</v>
      </c>
      <c r="G1538" t="s">
        <v>10040</v>
      </c>
      <c r="H1538" t="s">
        <v>10041</v>
      </c>
      <c r="I1538" t="s">
        <v>9473</v>
      </c>
    </row>
    <row r="1539" spans="1:9" x14ac:dyDescent="0.2">
      <c r="A1539" t="s">
        <v>1405</v>
      </c>
      <c r="B1539" t="s">
        <v>1406</v>
      </c>
      <c r="C1539" t="s">
        <v>19</v>
      </c>
      <c r="D1539" t="s">
        <v>1408</v>
      </c>
      <c r="E1539" t="str">
        <f>HYPERLINK("/pdf/2025_10.18196_jrc.v6i1.24529_A_Customized_Temporal_Federated_Learning_Through_Adversarial_Networks_for_Cyber_Attack_Detection_in_IoT.pdf","open")</f>
        <v>open</v>
      </c>
      <c r="F1539" t="s">
        <v>7119</v>
      </c>
      <c r="G1539" t="s">
        <v>10042</v>
      </c>
      <c r="H1539" t="s">
        <v>10043</v>
      </c>
      <c r="I1539" t="s">
        <v>9507</v>
      </c>
    </row>
    <row r="1540" spans="1:9" x14ac:dyDescent="0.2">
      <c r="A1540" t="s">
        <v>1405</v>
      </c>
      <c r="B1540" t="s">
        <v>1406</v>
      </c>
      <c r="C1540" t="s">
        <v>19</v>
      </c>
      <c r="D1540" t="s">
        <v>1408</v>
      </c>
      <c r="E1540" t="str">
        <f>HYPERLINK("/pdf/2025_10.18196_jrc.v6i1.24529_A_Customized_Temporal_Federated_Learning_Through_Adversarial_Networks_for_Cyber_Attack_Detection_in_IoT.pdf","open")</f>
        <v>open</v>
      </c>
      <c r="F1540" t="s">
        <v>7119</v>
      </c>
      <c r="G1540" t="s">
        <v>10044</v>
      </c>
      <c r="H1540" t="s">
        <v>10045</v>
      </c>
      <c r="I1540" t="s">
        <v>9293</v>
      </c>
    </row>
    <row r="1541" spans="1:9" x14ac:dyDescent="0.2">
      <c r="A1541" t="s">
        <v>1405</v>
      </c>
      <c r="B1541" t="s">
        <v>1406</v>
      </c>
      <c r="C1541" t="s">
        <v>19</v>
      </c>
      <c r="D1541" t="s">
        <v>1408</v>
      </c>
      <c r="E1541" t="str">
        <f>HYPERLINK("/pdf/2025_10.18196_jrc.v6i1.24529_A_Customized_Temporal_Federated_Learning_Through_Adversarial_Networks_for_Cyber_Attack_Detection_in_IoT.pdf","open")</f>
        <v>open</v>
      </c>
      <c r="F1541" t="s">
        <v>7130</v>
      </c>
      <c r="G1541" t="s">
        <v>8053</v>
      </c>
      <c r="I1541" t="s">
        <v>10046</v>
      </c>
    </row>
    <row r="1542" spans="1:9" x14ac:dyDescent="0.2">
      <c r="A1542" t="s">
        <v>1405</v>
      </c>
      <c r="B1542" t="s">
        <v>1406</v>
      </c>
      <c r="C1542" t="s">
        <v>19</v>
      </c>
      <c r="D1542" t="s">
        <v>1408</v>
      </c>
      <c r="E1542" t="str">
        <f>HYPERLINK("/pdf/2025_10.18196_jrc.v6i1.24529_A_Customized_Temporal_Federated_Learning_Through_Adversarial_Networks_for_Cyber_Attack_Detection_in_IoT.pdf","open")</f>
        <v>open</v>
      </c>
      <c r="F1542" t="s">
        <v>7130</v>
      </c>
      <c r="G1542" t="s">
        <v>10047</v>
      </c>
      <c r="I1542" t="s">
        <v>10048</v>
      </c>
    </row>
    <row r="1543" spans="1:9" x14ac:dyDescent="0.2">
      <c r="A1543" t="s">
        <v>1410</v>
      </c>
      <c r="B1543" t="s">
        <v>1411</v>
      </c>
      <c r="C1543" t="s">
        <v>12</v>
      </c>
      <c r="D1543" t="s">
        <v>1412</v>
      </c>
      <c r="E1543" t="str">
        <f>HYPERLINK("/pdf/2018_10_1109_noms_2018_8406153_generation_of_sdn_policies_for_protecting_android_environments_based_on_automata_learning.pdf","open")</f>
        <v>open</v>
      </c>
      <c r="F1543" t="s">
        <v>7119</v>
      </c>
      <c r="G1543" t="s">
        <v>10049</v>
      </c>
      <c r="H1543" t="s">
        <v>10050</v>
      </c>
      <c r="I1543" t="s">
        <v>9134</v>
      </c>
    </row>
    <row r="1544" spans="1:9" x14ac:dyDescent="0.2">
      <c r="A1544" t="s">
        <v>1410</v>
      </c>
      <c r="B1544" t="s">
        <v>1411</v>
      </c>
      <c r="C1544" t="s">
        <v>12</v>
      </c>
      <c r="D1544" t="s">
        <v>1412</v>
      </c>
      <c r="E1544" t="str">
        <f>HYPERLINK("/pdf/2018_10_1109_noms_2018_8406153_generation_of_sdn_policies_for_protecting_android_environments_based_on_automata_learning.pdf","open")</f>
        <v>open</v>
      </c>
      <c r="F1544" t="s">
        <v>7119</v>
      </c>
      <c r="G1544" t="s">
        <v>10051</v>
      </c>
      <c r="H1544" t="s">
        <v>10052</v>
      </c>
      <c r="I1544" t="s">
        <v>9948</v>
      </c>
    </row>
    <row r="1545" spans="1:9" x14ac:dyDescent="0.2">
      <c r="A1545" t="s">
        <v>1410</v>
      </c>
      <c r="B1545" t="s">
        <v>1411</v>
      </c>
      <c r="C1545" t="s">
        <v>12</v>
      </c>
      <c r="D1545" t="s">
        <v>1412</v>
      </c>
      <c r="E1545" t="str">
        <f>HYPERLINK("/pdf/2018_10_1109_noms_2018_8406153_generation_of_sdn_policies_for_protecting_android_environments_based_on_automata_learning.pdf","open")</f>
        <v>open</v>
      </c>
      <c r="F1545" t="s">
        <v>7130</v>
      </c>
      <c r="G1545" t="s">
        <v>10053</v>
      </c>
      <c r="I1545" t="s">
        <v>10054</v>
      </c>
    </row>
    <row r="1546" spans="1:9" x14ac:dyDescent="0.2">
      <c r="A1546" t="s">
        <v>1410</v>
      </c>
      <c r="B1546" t="s">
        <v>1411</v>
      </c>
      <c r="C1546" t="s">
        <v>12</v>
      </c>
      <c r="D1546" t="s">
        <v>1412</v>
      </c>
      <c r="E1546" t="str">
        <f>HYPERLINK("/pdf/2018_10_1109_noms_2018_8406153_generation_of_sdn_policies_for_protecting_android_environments_based_on_automata_learning.pdf","open")</f>
        <v>open</v>
      </c>
      <c r="F1546" t="s">
        <v>7130</v>
      </c>
      <c r="G1546" t="s">
        <v>10055</v>
      </c>
      <c r="I1546" t="s">
        <v>10056</v>
      </c>
    </row>
    <row r="1547" spans="1:9" x14ac:dyDescent="0.2">
      <c r="A1547" t="s">
        <v>1414</v>
      </c>
      <c r="B1547" t="s">
        <v>1415</v>
      </c>
      <c r="C1547" t="s">
        <v>60</v>
      </c>
      <c r="D1547" t="s">
        <v>1417</v>
      </c>
      <c r="E1547" t="str">
        <f>HYPERLINK("/pdf/2024_10.17770_etr2024vol2.8045_Data_Leakage_Prevention_and_Detection_in_Digital_Configurations__А_Survey.pdf","open")</f>
        <v>open</v>
      </c>
      <c r="F1547" t="s">
        <v>7119</v>
      </c>
      <c r="G1547" t="s">
        <v>10057</v>
      </c>
      <c r="H1547" t="s">
        <v>10058</v>
      </c>
      <c r="I1547" t="s">
        <v>9240</v>
      </c>
    </row>
    <row r="1548" spans="1:9" x14ac:dyDescent="0.2">
      <c r="A1548" t="s">
        <v>1414</v>
      </c>
      <c r="B1548" t="s">
        <v>1415</v>
      </c>
      <c r="C1548" t="s">
        <v>60</v>
      </c>
      <c r="D1548" t="s">
        <v>1417</v>
      </c>
      <c r="E1548" t="str">
        <f>HYPERLINK("/pdf/2024_10.17770_etr2024vol2.8045_Data_Leakage_Prevention_and_Detection_in_Digital_Configurations__А_Survey.pdf","open")</f>
        <v>open</v>
      </c>
      <c r="F1548" t="s">
        <v>7119</v>
      </c>
      <c r="G1548" t="s">
        <v>10059</v>
      </c>
      <c r="H1548" t="s">
        <v>10060</v>
      </c>
      <c r="I1548" t="s">
        <v>9240</v>
      </c>
    </row>
    <row r="1549" spans="1:9" x14ac:dyDescent="0.2">
      <c r="A1549" t="s">
        <v>1414</v>
      </c>
      <c r="B1549" t="s">
        <v>1415</v>
      </c>
      <c r="C1549" t="s">
        <v>60</v>
      </c>
      <c r="D1549" t="s">
        <v>1417</v>
      </c>
      <c r="E1549" t="str">
        <f>HYPERLINK("/pdf/2024_10.17770_etr2024vol2.8045_Data_Leakage_Prevention_and_Detection_in_Digital_Configurations__А_Survey.pdf","open")</f>
        <v>open</v>
      </c>
      <c r="F1549" t="s">
        <v>7130</v>
      </c>
      <c r="G1549" t="s">
        <v>1571</v>
      </c>
      <c r="I1549" t="s">
        <v>7178</v>
      </c>
    </row>
    <row r="1550" spans="1:9" x14ac:dyDescent="0.2">
      <c r="A1550" t="s">
        <v>1414</v>
      </c>
      <c r="B1550" t="s">
        <v>1415</v>
      </c>
      <c r="C1550" t="s">
        <v>60</v>
      </c>
      <c r="D1550" t="s">
        <v>1417</v>
      </c>
      <c r="E1550" t="str">
        <f>HYPERLINK("/pdf/2024_10.17770_etr2024vol2.8045_Data_Leakage_Prevention_and_Detection_in_Digital_Configurations__А_Survey.pdf","open")</f>
        <v>open</v>
      </c>
      <c r="F1550" t="s">
        <v>7130</v>
      </c>
      <c r="G1550" t="s">
        <v>1573</v>
      </c>
      <c r="I1550" t="s">
        <v>7454</v>
      </c>
    </row>
    <row r="1551" spans="1:9" x14ac:dyDescent="0.2">
      <c r="A1551" t="s">
        <v>1419</v>
      </c>
      <c r="B1551" t="s">
        <v>1420</v>
      </c>
      <c r="C1551" t="s">
        <v>48</v>
      </c>
      <c r="D1551" t="s">
        <v>1422</v>
      </c>
      <c r="E1551" t="str">
        <f>HYPERLINK("/pdf/2026_10.1109_emr.2026.3661608_Cognitive_Security_Risks_and_Countermeasures_of_Generative_Artificial_Intelligence_in_Education_Management.pdf","open")</f>
        <v>open</v>
      </c>
      <c r="F1551" t="s">
        <v>7119</v>
      </c>
      <c r="G1551" t="s">
        <v>10061</v>
      </c>
      <c r="H1551" t="s">
        <v>10062</v>
      </c>
      <c r="I1551" t="s">
        <v>7151</v>
      </c>
    </row>
    <row r="1552" spans="1:9" x14ac:dyDescent="0.2">
      <c r="A1552" t="s">
        <v>1419</v>
      </c>
      <c r="B1552" t="s">
        <v>1420</v>
      </c>
      <c r="C1552" t="s">
        <v>48</v>
      </c>
      <c r="D1552" t="s">
        <v>1422</v>
      </c>
      <c r="E1552" t="str">
        <f>HYPERLINK("/pdf/2026_10.1109_emr.2026.3661608_Cognitive_Security_Risks_and_Countermeasures_of_Generative_Artificial_Intelligence_in_Education_Management.pdf","open")</f>
        <v>open</v>
      </c>
      <c r="F1552" t="s">
        <v>7119</v>
      </c>
      <c r="G1552" t="s">
        <v>10063</v>
      </c>
      <c r="H1552" t="s">
        <v>10064</v>
      </c>
      <c r="I1552" t="s">
        <v>10065</v>
      </c>
    </row>
    <row r="1553" spans="1:9" x14ac:dyDescent="0.2">
      <c r="A1553" t="s">
        <v>1419</v>
      </c>
      <c r="B1553" t="s">
        <v>1420</v>
      </c>
      <c r="C1553" t="s">
        <v>48</v>
      </c>
      <c r="D1553" t="s">
        <v>1422</v>
      </c>
      <c r="E1553" t="str">
        <f>HYPERLINK("/pdf/2026_10.1109_emr.2026.3661608_Cognitive_Security_Risks_and_Countermeasures_of_Generative_Artificial_Intelligence_in_Education_Management.pdf","open")</f>
        <v>open</v>
      </c>
      <c r="F1553" t="s">
        <v>7130</v>
      </c>
      <c r="G1553" t="s">
        <v>5650</v>
      </c>
      <c r="I1553" t="s">
        <v>10066</v>
      </c>
    </row>
    <row r="1554" spans="1:9" x14ac:dyDescent="0.2">
      <c r="A1554" t="s">
        <v>998</v>
      </c>
      <c r="B1554" t="s">
        <v>999</v>
      </c>
      <c r="C1554" t="s">
        <v>19</v>
      </c>
      <c r="D1554" t="s">
        <v>1424</v>
      </c>
      <c r="E1554" t="str">
        <f>HYPERLINK("/pdf/2025_10_1038_s41598_025_89794_4_revolutionary_hybrid_ensembled_deep_learning_model_for_accurate_and_robust_side_channel_at.pdf","open")</f>
        <v>open</v>
      </c>
      <c r="F1554" t="s">
        <v>7119</v>
      </c>
      <c r="G1554" t="s">
        <v>10067</v>
      </c>
      <c r="H1554" t="s">
        <v>10068</v>
      </c>
      <c r="I1554" t="s">
        <v>10069</v>
      </c>
    </row>
    <row r="1555" spans="1:9" x14ac:dyDescent="0.2">
      <c r="A1555" t="s">
        <v>998</v>
      </c>
      <c r="B1555" t="s">
        <v>999</v>
      </c>
      <c r="C1555" t="s">
        <v>19</v>
      </c>
      <c r="D1555" t="s">
        <v>1424</v>
      </c>
      <c r="E1555" t="str">
        <f>HYPERLINK("/pdf/2025_10_1038_s41598_025_89794_4_revolutionary_hybrid_ensembled_deep_learning_model_for_accurate_and_robust_side_channel_at.pdf","open")</f>
        <v>open</v>
      </c>
      <c r="F1555" t="s">
        <v>7119</v>
      </c>
      <c r="G1555" t="s">
        <v>10070</v>
      </c>
      <c r="H1555" t="s">
        <v>10071</v>
      </c>
      <c r="I1555" t="s">
        <v>10072</v>
      </c>
    </row>
    <row r="1556" spans="1:9" x14ac:dyDescent="0.2">
      <c r="A1556" t="s">
        <v>998</v>
      </c>
      <c r="B1556" t="s">
        <v>999</v>
      </c>
      <c r="C1556" t="s">
        <v>19</v>
      </c>
      <c r="D1556" t="s">
        <v>1424</v>
      </c>
      <c r="E1556" t="str">
        <f>HYPERLINK("/pdf/2025_10_1038_s41598_025_89794_4_revolutionary_hybrid_ensembled_deep_learning_model_for_accurate_and_robust_side_channel_at.pdf","open")</f>
        <v>open</v>
      </c>
      <c r="F1556" t="s">
        <v>7119</v>
      </c>
      <c r="G1556" t="s">
        <v>10073</v>
      </c>
      <c r="H1556" t="s">
        <v>10074</v>
      </c>
      <c r="I1556" t="s">
        <v>10075</v>
      </c>
    </row>
    <row r="1557" spans="1:9" x14ac:dyDescent="0.2">
      <c r="A1557" t="s">
        <v>998</v>
      </c>
      <c r="B1557" t="s">
        <v>999</v>
      </c>
      <c r="C1557" t="s">
        <v>19</v>
      </c>
      <c r="D1557" t="s">
        <v>1424</v>
      </c>
      <c r="E1557" t="str">
        <f>HYPERLINK("/pdf/2025_10_1038_s41598_025_89794_4_revolutionary_hybrid_ensembled_deep_learning_model_for_accurate_and_robust_side_channel_at.pdf","open")</f>
        <v>open</v>
      </c>
      <c r="F1557" t="s">
        <v>7130</v>
      </c>
      <c r="G1557" t="s">
        <v>10076</v>
      </c>
      <c r="I1557" t="s">
        <v>10069</v>
      </c>
    </row>
    <row r="1558" spans="1:9" x14ac:dyDescent="0.2">
      <c r="A1558" t="s">
        <v>998</v>
      </c>
      <c r="B1558" t="s">
        <v>999</v>
      </c>
      <c r="C1558" t="s">
        <v>19</v>
      </c>
      <c r="D1558" t="s">
        <v>1424</v>
      </c>
      <c r="E1558" t="str">
        <f>HYPERLINK("/pdf/2025_10_1038_s41598_025_89794_4_revolutionary_hybrid_ensembled_deep_learning_model_for_accurate_and_robust_side_channel_at.pdf","open")</f>
        <v>open</v>
      </c>
      <c r="F1558" t="s">
        <v>7130</v>
      </c>
      <c r="G1558" t="s">
        <v>10077</v>
      </c>
      <c r="I1558" t="s">
        <v>10078</v>
      </c>
    </row>
    <row r="1559" spans="1:9" x14ac:dyDescent="0.2">
      <c r="A1559" t="s">
        <v>1426</v>
      </c>
      <c r="B1559" t="s">
        <v>1427</v>
      </c>
      <c r="C1559" t="s">
        <v>25</v>
      </c>
      <c r="D1559" t="s">
        <v>1429</v>
      </c>
      <c r="E1559" t="str">
        <f>HYPERLINK("/pdf/2023_10.1109_powercon58120.2023.10331301_Risk_Model_and_Defense_Strategy_for_Operation_and_Maintenance_of_Remote_Terminal_Units_in_Distribution_System.pdf","open")</f>
        <v>open</v>
      </c>
      <c r="F1559" t="s">
        <v>7119</v>
      </c>
      <c r="G1559" t="s">
        <v>10079</v>
      </c>
      <c r="H1559" t="s">
        <v>10080</v>
      </c>
      <c r="I1559" t="s">
        <v>10081</v>
      </c>
    </row>
    <row r="1560" spans="1:9" x14ac:dyDescent="0.2">
      <c r="A1560" t="s">
        <v>1426</v>
      </c>
      <c r="B1560" t="s">
        <v>1427</v>
      </c>
      <c r="C1560" t="s">
        <v>25</v>
      </c>
      <c r="D1560" t="s">
        <v>1429</v>
      </c>
      <c r="E1560" t="str">
        <f>HYPERLINK("/pdf/2023_10.1109_powercon58120.2023.10331301_Risk_Model_and_Defense_Strategy_for_Operation_and_Maintenance_of_Remote_Terminal_Units_in_Distribution_System.pdf","open")</f>
        <v>open</v>
      </c>
      <c r="F1560" t="s">
        <v>7119</v>
      </c>
      <c r="G1560" t="s">
        <v>10082</v>
      </c>
      <c r="H1560" t="s">
        <v>10083</v>
      </c>
      <c r="I1560" t="s">
        <v>7396</v>
      </c>
    </row>
    <row r="1561" spans="1:9" x14ac:dyDescent="0.2">
      <c r="A1561" t="s">
        <v>1426</v>
      </c>
      <c r="B1561" t="s">
        <v>1427</v>
      </c>
      <c r="C1561" t="s">
        <v>25</v>
      </c>
      <c r="D1561" t="s">
        <v>1429</v>
      </c>
      <c r="E1561" t="str">
        <f>HYPERLINK("/pdf/2023_10.1109_powercon58120.2023.10331301_Risk_Model_and_Defense_Strategy_for_Operation_and_Maintenance_of_Remote_Terminal_Units_in_Distribution_System.pdf","open")</f>
        <v>open</v>
      </c>
      <c r="F1561" t="s">
        <v>7130</v>
      </c>
      <c r="G1561" t="s">
        <v>9413</v>
      </c>
      <c r="I1561" t="s">
        <v>10084</v>
      </c>
    </row>
    <row r="1562" spans="1:9" x14ac:dyDescent="0.2">
      <c r="A1562" t="s">
        <v>1431</v>
      </c>
      <c r="B1562" t="s">
        <v>1432</v>
      </c>
      <c r="C1562" t="s">
        <v>19</v>
      </c>
      <c r="D1562" t="s">
        <v>1434</v>
      </c>
      <c r="E1562" t="str">
        <f>HYPERLINK("/pdf/2025_10.1109_aiotc66747.2025.11198781_Controller_Area_Network_Bus_Intrusion_Detection_Classification_Model_Based_on_Multimodal_Fusion_Mechanism.pdf","open")</f>
        <v>open</v>
      </c>
      <c r="F1562" t="s">
        <v>7119</v>
      </c>
      <c r="G1562" t="s">
        <v>10085</v>
      </c>
      <c r="H1562" t="s">
        <v>10086</v>
      </c>
      <c r="I1562" t="s">
        <v>10087</v>
      </c>
    </row>
    <row r="1563" spans="1:9" x14ac:dyDescent="0.2">
      <c r="A1563" t="s">
        <v>1431</v>
      </c>
      <c r="B1563" t="s">
        <v>1432</v>
      </c>
      <c r="C1563" t="s">
        <v>19</v>
      </c>
      <c r="D1563" t="s">
        <v>1434</v>
      </c>
      <c r="E1563" t="str">
        <f>HYPERLINK("/pdf/2025_10.1109_aiotc66747.2025.11198781_Controller_Area_Network_Bus_Intrusion_Detection_Classification_Model_Based_on_Multimodal_Fusion_Mechanism.pdf","open")</f>
        <v>open</v>
      </c>
      <c r="F1563" t="s">
        <v>7119</v>
      </c>
      <c r="G1563" t="s">
        <v>10088</v>
      </c>
      <c r="H1563" t="s">
        <v>10089</v>
      </c>
      <c r="I1563" t="s">
        <v>10090</v>
      </c>
    </row>
    <row r="1564" spans="1:9" x14ac:dyDescent="0.2">
      <c r="A1564" t="s">
        <v>1431</v>
      </c>
      <c r="B1564" t="s">
        <v>1432</v>
      </c>
      <c r="C1564" t="s">
        <v>19</v>
      </c>
      <c r="D1564" t="s">
        <v>1434</v>
      </c>
      <c r="E1564" t="str">
        <f>HYPERLINK("/pdf/2025_10.1109_aiotc66747.2025.11198781_Controller_Area_Network_Bus_Intrusion_Detection_Classification_Model_Based_on_Multimodal_Fusion_Mechanism.pdf","open")</f>
        <v>open</v>
      </c>
      <c r="F1564" t="s">
        <v>7119</v>
      </c>
      <c r="G1564" t="s">
        <v>10091</v>
      </c>
      <c r="H1564" t="s">
        <v>10092</v>
      </c>
      <c r="I1564" t="s">
        <v>7151</v>
      </c>
    </row>
    <row r="1565" spans="1:9" x14ac:dyDescent="0.2">
      <c r="A1565" t="s">
        <v>1431</v>
      </c>
      <c r="B1565" t="s">
        <v>1432</v>
      </c>
      <c r="C1565" t="s">
        <v>19</v>
      </c>
      <c r="D1565" t="s">
        <v>1434</v>
      </c>
      <c r="E1565" t="str">
        <f>HYPERLINK("/pdf/2025_10.1109_aiotc66747.2025.11198781_Controller_Area_Network_Bus_Intrusion_Detection_Classification_Model_Based_on_Multimodal_Fusion_Mechanism.pdf","open")</f>
        <v>open</v>
      </c>
      <c r="F1565" t="s">
        <v>7130</v>
      </c>
      <c r="G1565" t="s">
        <v>1584</v>
      </c>
      <c r="I1565" t="s">
        <v>10093</v>
      </c>
    </row>
    <row r="1566" spans="1:9" x14ac:dyDescent="0.2">
      <c r="A1566" t="s">
        <v>1431</v>
      </c>
      <c r="B1566" t="s">
        <v>1432</v>
      </c>
      <c r="C1566" t="s">
        <v>19</v>
      </c>
      <c r="D1566" t="s">
        <v>1434</v>
      </c>
      <c r="E1566" t="str">
        <f>HYPERLINK("/pdf/2025_10.1109_aiotc66747.2025.11198781_Controller_Area_Network_Bus_Intrusion_Detection_Classification_Model_Based_on_Multimodal_Fusion_Mechanism.pdf","open")</f>
        <v>open</v>
      </c>
      <c r="F1566" t="s">
        <v>7130</v>
      </c>
      <c r="G1566" t="s">
        <v>1589</v>
      </c>
      <c r="I1566" t="s">
        <v>10094</v>
      </c>
    </row>
    <row r="1567" spans="1:9" x14ac:dyDescent="0.2">
      <c r="A1567" t="s">
        <v>1436</v>
      </c>
      <c r="B1567" t="s">
        <v>1437</v>
      </c>
      <c r="C1567" t="s">
        <v>19</v>
      </c>
      <c r="D1567" t="s">
        <v>1436</v>
      </c>
      <c r="E1567" t="str">
        <f>HYPERLINK("/pdf/2025_10.1109_iceic64972.2025.10879716_A_Study_on_the_Evaluation_of_Cyber_Security_Vulnerabilities_in_Medical_Software.pdf","open")</f>
        <v>open</v>
      </c>
      <c r="F1567" t="s">
        <v>7119</v>
      </c>
      <c r="G1567" t="s">
        <v>10095</v>
      </c>
      <c r="H1567" t="s">
        <v>10096</v>
      </c>
      <c r="I1567" t="s">
        <v>10097</v>
      </c>
    </row>
    <row r="1568" spans="1:9" x14ac:dyDescent="0.2">
      <c r="A1568" t="s">
        <v>1436</v>
      </c>
      <c r="B1568" t="s">
        <v>1437</v>
      </c>
      <c r="C1568" t="s">
        <v>19</v>
      </c>
      <c r="D1568" t="s">
        <v>1436</v>
      </c>
      <c r="E1568" t="str">
        <f>HYPERLINK("/pdf/2025_10.1109_iceic64972.2025.10879716_A_Study_on_the_Evaluation_of_Cyber_Security_Vulnerabilities_in_Medical_Software.pdf","open")</f>
        <v>open</v>
      </c>
      <c r="F1568" t="s">
        <v>7130</v>
      </c>
      <c r="G1568" t="s">
        <v>5650</v>
      </c>
      <c r="I1568" t="s">
        <v>10098</v>
      </c>
    </row>
    <row r="1569" spans="1:9" x14ac:dyDescent="0.2">
      <c r="A1569" t="s">
        <v>1440</v>
      </c>
      <c r="B1569" t="s">
        <v>1441</v>
      </c>
      <c r="C1569" t="s">
        <v>19</v>
      </c>
      <c r="D1569" t="s">
        <v>1443</v>
      </c>
      <c r="E1569" t="str">
        <f>HYPERLINK("/pdf/2025_10.1007_s10489-025-06417-1_A_reinforcement_learning_malware_detection_model_based_on_heterogeneous_information_network_path_representatio.pdf","open")</f>
        <v>open</v>
      </c>
      <c r="F1569" t="s">
        <v>7119</v>
      </c>
      <c r="G1569" t="s">
        <v>10099</v>
      </c>
      <c r="H1569" t="s">
        <v>10100</v>
      </c>
      <c r="I1569" t="s">
        <v>10101</v>
      </c>
    </row>
    <row r="1570" spans="1:9" x14ac:dyDescent="0.2">
      <c r="A1570" t="s">
        <v>1440</v>
      </c>
      <c r="B1570" t="s">
        <v>1441</v>
      </c>
      <c r="C1570" t="s">
        <v>19</v>
      </c>
      <c r="D1570" t="s">
        <v>1443</v>
      </c>
      <c r="E1570" t="str">
        <f>HYPERLINK("/pdf/2025_10.1007_s10489-025-06417-1_A_reinforcement_learning_malware_detection_model_based_on_heterogeneous_information_network_path_representatio.pdf","open")</f>
        <v>open</v>
      </c>
      <c r="F1570" t="s">
        <v>7119</v>
      </c>
      <c r="G1570" t="s">
        <v>10102</v>
      </c>
      <c r="H1570" t="s">
        <v>10103</v>
      </c>
      <c r="I1570" t="s">
        <v>10101</v>
      </c>
    </row>
    <row r="1571" spans="1:9" x14ac:dyDescent="0.2">
      <c r="A1571" t="s">
        <v>1440</v>
      </c>
      <c r="B1571" t="s">
        <v>1441</v>
      </c>
      <c r="C1571" t="s">
        <v>19</v>
      </c>
      <c r="D1571" t="s">
        <v>1443</v>
      </c>
      <c r="E1571" t="str">
        <f>HYPERLINK("/pdf/2025_10.1007_s10489-025-06417-1_A_reinforcement_learning_malware_detection_model_based_on_heterogeneous_information_network_path_representatio.pdf","open")</f>
        <v>open</v>
      </c>
      <c r="F1571" t="s">
        <v>7119</v>
      </c>
      <c r="G1571" t="s">
        <v>10104</v>
      </c>
      <c r="H1571" t="s">
        <v>10105</v>
      </c>
      <c r="I1571" t="s">
        <v>10106</v>
      </c>
    </row>
    <row r="1572" spans="1:9" x14ac:dyDescent="0.2">
      <c r="A1572" t="s">
        <v>1440</v>
      </c>
      <c r="B1572" t="s">
        <v>1441</v>
      </c>
      <c r="C1572" t="s">
        <v>19</v>
      </c>
      <c r="D1572" t="s">
        <v>1443</v>
      </c>
      <c r="E1572" t="str">
        <f>HYPERLINK("/pdf/2025_10.1007_s10489-025-06417-1_A_reinforcement_learning_malware_detection_model_based_on_heterogeneous_information_network_path_representatio.pdf","open")</f>
        <v>open</v>
      </c>
      <c r="F1572" t="s">
        <v>7130</v>
      </c>
      <c r="G1572" t="s">
        <v>10107</v>
      </c>
      <c r="I1572" t="s">
        <v>10108</v>
      </c>
    </row>
    <row r="1573" spans="1:9" x14ac:dyDescent="0.2">
      <c r="A1573" t="s">
        <v>1440</v>
      </c>
      <c r="B1573" t="s">
        <v>1441</v>
      </c>
      <c r="C1573" t="s">
        <v>19</v>
      </c>
      <c r="D1573" t="s">
        <v>1443</v>
      </c>
      <c r="E1573" t="str">
        <f>HYPERLINK("/pdf/2025_10.1007_s10489-025-06417-1_A_reinforcement_learning_malware_detection_model_based_on_heterogeneous_information_network_path_representatio.pdf","open")</f>
        <v>open</v>
      </c>
      <c r="F1573" t="s">
        <v>7130</v>
      </c>
      <c r="G1573" t="s">
        <v>1597</v>
      </c>
      <c r="I1573" t="s">
        <v>10109</v>
      </c>
    </row>
    <row r="1574" spans="1:9" x14ac:dyDescent="0.2">
      <c r="A1574" t="s">
        <v>1445</v>
      </c>
      <c r="B1574" t="s">
        <v>1446</v>
      </c>
      <c r="C1574" t="s">
        <v>25</v>
      </c>
      <c r="D1574" t="s">
        <v>1448</v>
      </c>
      <c r="E1574" t="str">
        <f>HYPERLINK("/pdf/2023_10.1109_icecs58634.2023.10382763_FPGA_Based_Intelligent_Hardware_Trojan_Design_and_its_SoC_Implementation.pdf","open")</f>
        <v>open</v>
      </c>
      <c r="F1574" t="s">
        <v>7119</v>
      </c>
      <c r="G1574" t="s">
        <v>10110</v>
      </c>
      <c r="H1574" t="s">
        <v>10111</v>
      </c>
      <c r="I1574" t="s">
        <v>10112</v>
      </c>
    </row>
    <row r="1575" spans="1:9" x14ac:dyDescent="0.2">
      <c r="A1575" t="s">
        <v>1445</v>
      </c>
      <c r="B1575" t="s">
        <v>1446</v>
      </c>
      <c r="C1575" t="s">
        <v>25</v>
      </c>
      <c r="D1575" t="s">
        <v>1448</v>
      </c>
      <c r="E1575" t="str">
        <f>HYPERLINK("/pdf/2023_10.1109_icecs58634.2023.10382763_FPGA_Based_Intelligent_Hardware_Trojan_Design_and_its_SoC_Implementation.pdf","open")</f>
        <v>open</v>
      </c>
      <c r="F1575" t="s">
        <v>7119</v>
      </c>
      <c r="G1575" t="s">
        <v>10113</v>
      </c>
      <c r="H1575" t="s">
        <v>10114</v>
      </c>
      <c r="I1575" t="s">
        <v>10115</v>
      </c>
    </row>
    <row r="1576" spans="1:9" x14ac:dyDescent="0.2">
      <c r="A1576" t="s">
        <v>1445</v>
      </c>
      <c r="B1576" t="s">
        <v>1446</v>
      </c>
      <c r="C1576" t="s">
        <v>25</v>
      </c>
      <c r="D1576" t="s">
        <v>1448</v>
      </c>
      <c r="E1576" t="str">
        <f>HYPERLINK("/pdf/2023_10.1109_icecs58634.2023.10382763_FPGA_Based_Intelligent_Hardware_Trojan_Design_and_its_SoC_Implementation.pdf","open")</f>
        <v>open</v>
      </c>
      <c r="F1576" t="s">
        <v>7130</v>
      </c>
      <c r="G1576" t="s">
        <v>1584</v>
      </c>
      <c r="I1576" t="s">
        <v>10116</v>
      </c>
    </row>
    <row r="1577" spans="1:9" x14ac:dyDescent="0.2">
      <c r="A1577" t="s">
        <v>1450</v>
      </c>
      <c r="B1577" t="s">
        <v>1451</v>
      </c>
      <c r="C1577" t="s">
        <v>60</v>
      </c>
      <c r="D1577" t="s">
        <v>1453</v>
      </c>
      <c r="E1577" t="str">
        <f>HYPERLINK("/pdf/2024_10.1109_peeec63877.2024.00092_Research_and_Implementation_of_Intelligent_Security_Protection_Algorithm_for_5G_Communication.pdf","open")</f>
        <v>open</v>
      </c>
      <c r="F1577" t="s">
        <v>7119</v>
      </c>
      <c r="G1577" t="s">
        <v>10117</v>
      </c>
      <c r="H1577" t="s">
        <v>10118</v>
      </c>
      <c r="I1577" t="s">
        <v>10119</v>
      </c>
    </row>
    <row r="1578" spans="1:9" x14ac:dyDescent="0.2">
      <c r="A1578" t="s">
        <v>1450</v>
      </c>
      <c r="B1578" t="s">
        <v>1451</v>
      </c>
      <c r="C1578" t="s">
        <v>60</v>
      </c>
      <c r="D1578" t="s">
        <v>1453</v>
      </c>
      <c r="E1578" t="str">
        <f>HYPERLINK("/pdf/2024_10.1109_peeec63877.2024.00092_Research_and_Implementation_of_Intelligent_Security_Protection_Algorithm_for_5G_Communication.pdf","open")</f>
        <v>open</v>
      </c>
      <c r="F1578" t="s">
        <v>7119</v>
      </c>
      <c r="G1578" t="s">
        <v>10120</v>
      </c>
      <c r="H1578" t="s">
        <v>10121</v>
      </c>
      <c r="I1578" t="s">
        <v>10122</v>
      </c>
    </row>
    <row r="1579" spans="1:9" x14ac:dyDescent="0.2">
      <c r="A1579" t="s">
        <v>1450</v>
      </c>
      <c r="B1579" t="s">
        <v>1451</v>
      </c>
      <c r="C1579" t="s">
        <v>60</v>
      </c>
      <c r="D1579" t="s">
        <v>1453</v>
      </c>
      <c r="E1579" t="str">
        <f>HYPERLINK("/pdf/2024_10.1109_peeec63877.2024.00092_Research_and_Implementation_of_Intelligent_Security_Protection_Algorithm_for_5G_Communication.pdf","open")</f>
        <v>open</v>
      </c>
      <c r="F1579" t="s">
        <v>7130</v>
      </c>
      <c r="G1579" t="s">
        <v>8470</v>
      </c>
      <c r="I1579" t="s">
        <v>10123</v>
      </c>
    </row>
    <row r="1580" spans="1:9" x14ac:dyDescent="0.2">
      <c r="A1580" t="s">
        <v>1450</v>
      </c>
      <c r="B1580" t="s">
        <v>1451</v>
      </c>
      <c r="C1580" t="s">
        <v>60</v>
      </c>
      <c r="D1580" t="s">
        <v>1453</v>
      </c>
      <c r="E1580" t="str">
        <f>HYPERLINK("/pdf/2024_10.1109_peeec63877.2024.00092_Research_and_Implementation_of_Intelligent_Security_Protection_Algorithm_for_5G_Communication.pdf","open")</f>
        <v>open</v>
      </c>
      <c r="F1580" t="s">
        <v>7130</v>
      </c>
      <c r="G1580" t="s">
        <v>7131</v>
      </c>
      <c r="I1580" t="s">
        <v>10124</v>
      </c>
    </row>
    <row r="1581" spans="1:9" x14ac:dyDescent="0.2">
      <c r="A1581" t="s">
        <v>1455</v>
      </c>
      <c r="B1581" t="s">
        <v>743</v>
      </c>
      <c r="C1581" t="s">
        <v>60</v>
      </c>
      <c r="D1581" t="s">
        <v>148</v>
      </c>
      <c r="E1581" t="str">
        <f>HYPERLINK("/pdf/2024_10.19363_j.cnki.cn10-1380_tn.2024.01.06_Web_Attack_Detection_Method_Based_on_Stacking_Fusion_Model;_基于_Stacking_融合模型的_Web_攻击检测方法.pdf","open")</f>
        <v>open</v>
      </c>
      <c r="F1581" t="s">
        <v>7119</v>
      </c>
      <c r="G1581" t="s">
        <v>10125</v>
      </c>
      <c r="H1581" t="s">
        <v>10126</v>
      </c>
      <c r="I1581" t="s">
        <v>10127</v>
      </c>
    </row>
    <row r="1582" spans="1:9" x14ac:dyDescent="0.2">
      <c r="A1582" t="s">
        <v>1455</v>
      </c>
      <c r="B1582" t="s">
        <v>743</v>
      </c>
      <c r="C1582" t="s">
        <v>60</v>
      </c>
      <c r="D1582" t="s">
        <v>148</v>
      </c>
      <c r="E1582" t="str">
        <f>HYPERLINK("/pdf/2024_10.19363_j.cnki.cn10-1380_tn.2024.01.06_Web_Attack_Detection_Method_Based_on_Stacking_Fusion_Model;_基于_Stacking_融合模型的_Web_攻击检测方法.pdf","open")</f>
        <v>open</v>
      </c>
      <c r="F1582" t="s">
        <v>7119</v>
      </c>
      <c r="G1582" t="s">
        <v>10128</v>
      </c>
      <c r="H1582" t="s">
        <v>10129</v>
      </c>
      <c r="I1582" t="s">
        <v>10130</v>
      </c>
    </row>
    <row r="1583" spans="1:9" x14ac:dyDescent="0.2">
      <c r="A1583" t="s">
        <v>1455</v>
      </c>
      <c r="B1583" t="s">
        <v>743</v>
      </c>
      <c r="C1583" t="s">
        <v>60</v>
      </c>
      <c r="D1583" t="s">
        <v>148</v>
      </c>
      <c r="E1583" t="str">
        <f>HYPERLINK("/pdf/2024_10.19363_j.cnki.cn10-1380_tn.2024.01.06_Web_Attack_Detection_Method_Based_on_Stacking_Fusion_Model;_基于_Stacking_融合模型的_Web_攻击检测方法.pdf","open")</f>
        <v>open</v>
      </c>
      <c r="F1583" t="s">
        <v>7130</v>
      </c>
      <c r="G1583" t="s">
        <v>1578</v>
      </c>
      <c r="I1583" t="s">
        <v>10131</v>
      </c>
    </row>
    <row r="1584" spans="1:9" x14ac:dyDescent="0.2">
      <c r="A1584" t="s">
        <v>1455</v>
      </c>
      <c r="B1584" t="s">
        <v>743</v>
      </c>
      <c r="C1584" t="s">
        <v>60</v>
      </c>
      <c r="D1584" t="s">
        <v>148</v>
      </c>
      <c r="E1584" t="str">
        <f>HYPERLINK("/pdf/2024_10.19363_j.cnki.cn10-1380_tn.2024.01.06_Web_Attack_Detection_Method_Based_on_Stacking_Fusion_Model;_基于_Stacking_融合模型的_Web_攻击检测方法.pdf","open")</f>
        <v>open</v>
      </c>
      <c r="F1584" t="s">
        <v>7130</v>
      </c>
      <c r="G1584" t="s">
        <v>7159</v>
      </c>
      <c r="I1584" t="s">
        <v>10132</v>
      </c>
    </row>
    <row r="1585" spans="1:9" x14ac:dyDescent="0.2">
      <c r="A1585" t="s">
        <v>1457</v>
      </c>
      <c r="B1585" t="s">
        <v>1458</v>
      </c>
      <c r="C1585" t="s">
        <v>19</v>
      </c>
      <c r="D1585" t="s">
        <v>1460</v>
      </c>
      <c r="E1585" t="str">
        <f>HYPERLINK("/pdf/2025_10.1109_ijcnn64981.2025.11228082_An_Integrated_Approach_to_Mitigate_Poisoning_Attacks_in_Federated_Learning_Frameworks.pdf","open")</f>
        <v>open</v>
      </c>
      <c r="F1585" t="s">
        <v>7119</v>
      </c>
      <c r="G1585" t="s">
        <v>10133</v>
      </c>
      <c r="H1585" t="s">
        <v>10134</v>
      </c>
      <c r="I1585" t="s">
        <v>10135</v>
      </c>
    </row>
    <row r="1586" spans="1:9" x14ac:dyDescent="0.2">
      <c r="A1586" t="s">
        <v>1457</v>
      </c>
      <c r="B1586" t="s">
        <v>1458</v>
      </c>
      <c r="C1586" t="s">
        <v>19</v>
      </c>
      <c r="D1586" t="s">
        <v>1460</v>
      </c>
      <c r="E1586" t="str">
        <f>HYPERLINK("/pdf/2025_10.1109_ijcnn64981.2025.11228082_An_Integrated_Approach_to_Mitigate_Poisoning_Attacks_in_Federated_Learning_Frameworks.pdf","open")</f>
        <v>open</v>
      </c>
      <c r="F1586" t="s">
        <v>7119</v>
      </c>
      <c r="G1586" t="s">
        <v>10136</v>
      </c>
      <c r="H1586" t="s">
        <v>10137</v>
      </c>
      <c r="I1586" t="s">
        <v>10138</v>
      </c>
    </row>
    <row r="1587" spans="1:9" x14ac:dyDescent="0.2">
      <c r="A1587" t="s">
        <v>1457</v>
      </c>
      <c r="B1587" t="s">
        <v>1458</v>
      </c>
      <c r="C1587" t="s">
        <v>19</v>
      </c>
      <c r="D1587" t="s">
        <v>1460</v>
      </c>
      <c r="E1587" t="str">
        <f>HYPERLINK("/pdf/2025_10.1109_ijcnn64981.2025.11228082_An_Integrated_Approach_to_Mitigate_Poisoning_Attacks_in_Federated_Learning_Frameworks.pdf","open")</f>
        <v>open</v>
      </c>
      <c r="F1587" t="s">
        <v>7130</v>
      </c>
      <c r="G1587" t="s">
        <v>1584</v>
      </c>
      <c r="I1587" t="s">
        <v>10139</v>
      </c>
    </row>
    <row r="1588" spans="1:9" x14ac:dyDescent="0.2">
      <c r="A1588" t="s">
        <v>1457</v>
      </c>
      <c r="B1588" t="s">
        <v>1458</v>
      </c>
      <c r="C1588" t="s">
        <v>19</v>
      </c>
      <c r="D1588" t="s">
        <v>1460</v>
      </c>
      <c r="E1588" t="str">
        <f>HYPERLINK("/pdf/2025_10.1109_ijcnn64981.2025.11228082_An_Integrated_Approach_to_Mitigate_Poisoning_Attacks_in_Federated_Learning_Frameworks.pdf","open")</f>
        <v>open</v>
      </c>
      <c r="F1588" t="s">
        <v>7130</v>
      </c>
      <c r="G1588" t="s">
        <v>1592</v>
      </c>
      <c r="I1588" t="s">
        <v>10140</v>
      </c>
    </row>
    <row r="1589" spans="1:9" x14ac:dyDescent="0.2">
      <c r="A1589" t="s">
        <v>1462</v>
      </c>
      <c r="B1589" t="s">
        <v>1463</v>
      </c>
      <c r="C1589" t="s">
        <v>136</v>
      </c>
      <c r="D1589" t="s">
        <v>148</v>
      </c>
      <c r="E1589" t="str">
        <f>HYPERLINK("/pdf/2020_10.1007_978-3-030-15160-7_68_Information_Security_of_Mobile_Systems.pdf","open")</f>
        <v>open</v>
      </c>
      <c r="F1589" t="s">
        <v>7119</v>
      </c>
      <c r="G1589" t="s">
        <v>10141</v>
      </c>
      <c r="H1589" t="s">
        <v>10142</v>
      </c>
      <c r="I1589" t="s">
        <v>10143</v>
      </c>
    </row>
    <row r="1590" spans="1:9" x14ac:dyDescent="0.2">
      <c r="A1590" t="s">
        <v>1462</v>
      </c>
      <c r="B1590" t="s">
        <v>1463</v>
      </c>
      <c r="C1590" t="s">
        <v>136</v>
      </c>
      <c r="D1590" t="s">
        <v>148</v>
      </c>
      <c r="E1590" t="str">
        <f>HYPERLINK("/pdf/2020_10.1007_978-3-030-15160-7_68_Information_Security_of_Mobile_Systems.pdf","open")</f>
        <v>open</v>
      </c>
      <c r="F1590" t="s">
        <v>7119</v>
      </c>
      <c r="G1590" t="s">
        <v>10144</v>
      </c>
      <c r="H1590" t="s">
        <v>10145</v>
      </c>
      <c r="I1590" t="s">
        <v>10146</v>
      </c>
    </row>
    <row r="1591" spans="1:9" x14ac:dyDescent="0.2">
      <c r="A1591" t="s">
        <v>1462</v>
      </c>
      <c r="B1591" t="s">
        <v>1463</v>
      </c>
      <c r="C1591" t="s">
        <v>136</v>
      </c>
      <c r="D1591" t="s">
        <v>148</v>
      </c>
      <c r="E1591" t="str">
        <f>HYPERLINK("/pdf/2020_10.1007_978-3-030-15160-7_68_Information_Security_of_Mobile_Systems.pdf","open")</f>
        <v>open</v>
      </c>
      <c r="F1591" t="s">
        <v>7119</v>
      </c>
      <c r="G1591" t="s">
        <v>10147</v>
      </c>
      <c r="H1591" t="s">
        <v>10148</v>
      </c>
      <c r="I1591" t="s">
        <v>10149</v>
      </c>
    </row>
    <row r="1592" spans="1:9" x14ac:dyDescent="0.2">
      <c r="A1592" t="s">
        <v>1462</v>
      </c>
      <c r="B1592" t="s">
        <v>1463</v>
      </c>
      <c r="C1592" t="s">
        <v>136</v>
      </c>
      <c r="D1592" t="s">
        <v>148</v>
      </c>
      <c r="E1592" t="str">
        <f>HYPERLINK("/pdf/2020_10.1007_978-3-030-15160-7_68_Information_Security_of_Mobile_Systems.pdf","open")</f>
        <v>open</v>
      </c>
      <c r="F1592" t="s">
        <v>7130</v>
      </c>
      <c r="G1592" t="s">
        <v>10150</v>
      </c>
      <c r="I1592" t="s">
        <v>10151</v>
      </c>
    </row>
    <row r="1593" spans="1:9" x14ac:dyDescent="0.2">
      <c r="A1593" t="s">
        <v>1462</v>
      </c>
      <c r="B1593" t="s">
        <v>1463</v>
      </c>
      <c r="C1593" t="s">
        <v>136</v>
      </c>
      <c r="D1593" t="s">
        <v>148</v>
      </c>
      <c r="E1593" t="str">
        <f>HYPERLINK("/pdf/2020_10.1007_978-3-030-15160-7_68_Information_Security_of_Mobile_Systems.pdf","open")</f>
        <v>open</v>
      </c>
      <c r="F1593" t="s">
        <v>7130</v>
      </c>
      <c r="G1593" t="s">
        <v>10152</v>
      </c>
      <c r="I1593" t="s">
        <v>10153</v>
      </c>
    </row>
    <row r="1594" spans="1:9" x14ac:dyDescent="0.2">
      <c r="A1594" t="s">
        <v>1465</v>
      </c>
      <c r="B1594" t="s">
        <v>1466</v>
      </c>
      <c r="C1594" t="s">
        <v>25</v>
      </c>
      <c r="D1594" t="s">
        <v>1468</v>
      </c>
      <c r="E1594" t="str">
        <f>HYPERLINK("/pdf/2023_10.1109_icodsa58501.2023.10276974_Public_Awareness_of_Phishing_in_Indonesia__System_Literature_Review.pdf","open")</f>
        <v>open</v>
      </c>
      <c r="F1594" t="s">
        <v>7119</v>
      </c>
      <c r="G1594" t="s">
        <v>10154</v>
      </c>
      <c r="H1594" t="s">
        <v>10155</v>
      </c>
      <c r="I1594" t="s">
        <v>10156</v>
      </c>
    </row>
    <row r="1595" spans="1:9" x14ac:dyDescent="0.2">
      <c r="A1595" t="s">
        <v>1465</v>
      </c>
      <c r="B1595" t="s">
        <v>1466</v>
      </c>
      <c r="C1595" t="s">
        <v>25</v>
      </c>
      <c r="D1595" t="s">
        <v>1468</v>
      </c>
      <c r="E1595" t="str">
        <f>HYPERLINK("/pdf/2023_10.1109_icodsa58501.2023.10276974_Public_Awareness_of_Phishing_in_Indonesia__System_Literature_Review.pdf","open")</f>
        <v>open</v>
      </c>
      <c r="F1595" t="s">
        <v>7119</v>
      </c>
      <c r="G1595" t="s">
        <v>10157</v>
      </c>
      <c r="H1595" t="s">
        <v>10158</v>
      </c>
      <c r="I1595" t="s">
        <v>10159</v>
      </c>
    </row>
    <row r="1596" spans="1:9" x14ac:dyDescent="0.2">
      <c r="A1596" t="s">
        <v>1465</v>
      </c>
      <c r="B1596" t="s">
        <v>1466</v>
      </c>
      <c r="C1596" t="s">
        <v>25</v>
      </c>
      <c r="D1596" t="s">
        <v>1468</v>
      </c>
      <c r="E1596" t="str">
        <f>HYPERLINK("/pdf/2023_10.1109_icodsa58501.2023.10276974_Public_Awareness_of_Phishing_in_Indonesia__System_Literature_Review.pdf","open")</f>
        <v>open</v>
      </c>
      <c r="F1596" t="s">
        <v>7130</v>
      </c>
      <c r="G1596" t="s">
        <v>1571</v>
      </c>
      <c r="I1596" t="s">
        <v>10160</v>
      </c>
    </row>
    <row r="1597" spans="1:9" x14ac:dyDescent="0.2">
      <c r="A1597" t="s">
        <v>1465</v>
      </c>
      <c r="B1597" t="s">
        <v>1466</v>
      </c>
      <c r="C1597" t="s">
        <v>25</v>
      </c>
      <c r="D1597" t="s">
        <v>1468</v>
      </c>
      <c r="E1597" t="str">
        <f>HYPERLINK("/pdf/2023_10.1109_icodsa58501.2023.10276974_Public_Awareness_of_Phishing_in_Indonesia__System_Literature_Review.pdf","open")</f>
        <v>open</v>
      </c>
      <c r="F1597" t="s">
        <v>7130</v>
      </c>
      <c r="G1597" t="s">
        <v>1601</v>
      </c>
      <c r="I1597" t="s">
        <v>10161</v>
      </c>
    </row>
    <row r="1598" spans="1:9" x14ac:dyDescent="0.2">
      <c r="A1598" t="s">
        <v>1470</v>
      </c>
      <c r="B1598" t="s">
        <v>779</v>
      </c>
      <c r="C1598" t="s">
        <v>60</v>
      </c>
      <c r="D1598" t="s">
        <v>778</v>
      </c>
      <c r="E1598" t="str">
        <f>HYPERLINK("/pdf/2024_10_20473_mi_v7i3_55931_data_leakage_of_the_indonesian_elections_commission_in_legal_aspects_of_personal_data_prot.pdf","open")</f>
        <v>open</v>
      </c>
      <c r="F1598" t="s">
        <v>7119</v>
      </c>
      <c r="G1598" t="s">
        <v>10162</v>
      </c>
      <c r="H1598" t="s">
        <v>10163</v>
      </c>
      <c r="I1598" t="s">
        <v>9240</v>
      </c>
    </row>
    <row r="1599" spans="1:9" x14ac:dyDescent="0.2">
      <c r="A1599" t="s">
        <v>1470</v>
      </c>
      <c r="B1599" t="s">
        <v>779</v>
      </c>
      <c r="C1599" t="s">
        <v>60</v>
      </c>
      <c r="D1599" t="s">
        <v>778</v>
      </c>
      <c r="E1599" t="str">
        <f>HYPERLINK("/pdf/2024_10_20473_mi_v7i3_55931_data_leakage_of_the_indonesian_elections_commission_in_legal_aspects_of_personal_data_prot.pdf","open")</f>
        <v>open</v>
      </c>
      <c r="F1599" t="s">
        <v>7119</v>
      </c>
      <c r="G1599" t="s">
        <v>10164</v>
      </c>
      <c r="H1599" t="s">
        <v>10165</v>
      </c>
      <c r="I1599" t="s">
        <v>9240</v>
      </c>
    </row>
    <row r="1600" spans="1:9" x14ac:dyDescent="0.2">
      <c r="A1600" t="s">
        <v>1470</v>
      </c>
      <c r="B1600" t="s">
        <v>779</v>
      </c>
      <c r="C1600" t="s">
        <v>60</v>
      </c>
      <c r="D1600" t="s">
        <v>778</v>
      </c>
      <c r="E1600" t="str">
        <f>HYPERLINK("/pdf/2024_10_20473_mi_v7i3_55931_data_leakage_of_the_indonesian_elections_commission_in_legal_aspects_of_personal_data_prot.pdf","open")</f>
        <v>open</v>
      </c>
      <c r="F1600" t="s">
        <v>7130</v>
      </c>
      <c r="G1600" t="s">
        <v>10166</v>
      </c>
      <c r="I1600" t="s">
        <v>7713</v>
      </c>
    </row>
    <row r="1601" spans="1:9" x14ac:dyDescent="0.2">
      <c r="A1601" t="s">
        <v>1472</v>
      </c>
      <c r="B1601" t="s">
        <v>1222</v>
      </c>
      <c r="C1601" t="s">
        <v>25</v>
      </c>
      <c r="D1601" t="s">
        <v>1224</v>
      </c>
      <c r="E1601" t="str">
        <f>HYPERLINK("/pdf/2023_10_1109_fmec59375_2023_10305886_an_overview_of_using_of_artificial_intelligence_in_enhancing_security_and_privacy_in_mobil.pdf","open")</f>
        <v>open</v>
      </c>
      <c r="F1601" t="s">
        <v>7119</v>
      </c>
      <c r="G1601" t="s">
        <v>10167</v>
      </c>
      <c r="H1601" t="s">
        <v>10168</v>
      </c>
      <c r="I1601" t="s">
        <v>7709</v>
      </c>
    </row>
    <row r="1602" spans="1:9" x14ac:dyDescent="0.2">
      <c r="A1602" t="s">
        <v>1472</v>
      </c>
      <c r="B1602" t="s">
        <v>1222</v>
      </c>
      <c r="C1602" t="s">
        <v>25</v>
      </c>
      <c r="D1602" t="s">
        <v>1224</v>
      </c>
      <c r="E1602" t="str">
        <f>HYPERLINK("/pdf/2023_10_1109_fmec59375_2023_10305886_an_overview_of_using_of_artificial_intelligence_in_enhancing_security_and_privacy_in_mobil.pdf","open")</f>
        <v>open</v>
      </c>
      <c r="F1602" t="s">
        <v>7119</v>
      </c>
      <c r="G1602" t="s">
        <v>10169</v>
      </c>
      <c r="H1602" t="s">
        <v>7014</v>
      </c>
      <c r="I1602" t="s">
        <v>10170</v>
      </c>
    </row>
    <row r="1603" spans="1:9" x14ac:dyDescent="0.2">
      <c r="A1603" t="s">
        <v>1472</v>
      </c>
      <c r="B1603" t="s">
        <v>1222</v>
      </c>
      <c r="C1603" t="s">
        <v>25</v>
      </c>
      <c r="D1603" t="s">
        <v>1224</v>
      </c>
      <c r="E1603" t="str">
        <f>HYPERLINK("/pdf/2023_10_1109_fmec59375_2023_10305886_an_overview_of_using_of_artificial_intelligence_in_enhancing_security_and_privacy_in_mobil.pdf","open")</f>
        <v>open</v>
      </c>
      <c r="F1603" t="s">
        <v>7130</v>
      </c>
      <c r="G1603" t="s">
        <v>10171</v>
      </c>
      <c r="I1603" t="s">
        <v>7709</v>
      </c>
    </row>
    <row r="1604" spans="1:9" x14ac:dyDescent="0.2">
      <c r="A1604" t="s">
        <v>1472</v>
      </c>
      <c r="B1604" t="s">
        <v>1222</v>
      </c>
      <c r="C1604" t="s">
        <v>25</v>
      </c>
      <c r="D1604" t="s">
        <v>1224</v>
      </c>
      <c r="E1604" t="str">
        <f>HYPERLINK("/pdf/2023_10_1109_fmec59375_2023_10305886_an_overview_of_using_of_artificial_intelligence_in_enhancing_security_and_privacy_in_mobil.pdf","open")</f>
        <v>open</v>
      </c>
      <c r="F1604" t="s">
        <v>7130</v>
      </c>
      <c r="G1604" t="s">
        <v>9673</v>
      </c>
      <c r="I1604" t="s">
        <v>10170</v>
      </c>
    </row>
    <row r="1605" spans="1:9" x14ac:dyDescent="0.2">
      <c r="A1605" t="s">
        <v>1475</v>
      </c>
      <c r="B1605" t="s">
        <v>1476</v>
      </c>
      <c r="C1605" t="s">
        <v>19</v>
      </c>
      <c r="D1605" t="s">
        <v>1477</v>
      </c>
      <c r="E1605" t="str">
        <f>HYPERLINK("/pdf/2025_10_1007_s10207_025_01044_w_a_survey_on_malware_attacks_in_industrial_air_gap_systems.pdf","open")</f>
        <v>open</v>
      </c>
      <c r="F1605" t="s">
        <v>7119</v>
      </c>
      <c r="G1605" t="s">
        <v>10172</v>
      </c>
      <c r="H1605" t="s">
        <v>10173</v>
      </c>
      <c r="I1605" t="s">
        <v>10174</v>
      </c>
    </row>
    <row r="1606" spans="1:9" x14ac:dyDescent="0.2">
      <c r="A1606" t="s">
        <v>1475</v>
      </c>
      <c r="B1606" t="s">
        <v>1476</v>
      </c>
      <c r="C1606" t="s">
        <v>19</v>
      </c>
      <c r="D1606" t="s">
        <v>1477</v>
      </c>
      <c r="E1606" t="str">
        <f>HYPERLINK("/pdf/2025_10_1007_s10207_025_01044_w_a_survey_on_malware_attacks_in_industrial_air_gap_systems.pdf","open")</f>
        <v>open</v>
      </c>
      <c r="F1606" t="s">
        <v>7119</v>
      </c>
      <c r="G1606" t="s">
        <v>10175</v>
      </c>
      <c r="H1606" t="s">
        <v>10176</v>
      </c>
      <c r="I1606" t="s">
        <v>10177</v>
      </c>
    </row>
    <row r="1607" spans="1:9" x14ac:dyDescent="0.2">
      <c r="A1607" t="s">
        <v>1475</v>
      </c>
      <c r="B1607" t="s">
        <v>1476</v>
      </c>
      <c r="C1607" t="s">
        <v>19</v>
      </c>
      <c r="D1607" t="s">
        <v>1477</v>
      </c>
      <c r="E1607" t="str">
        <f>HYPERLINK("/pdf/2025_10_1007_s10207_025_01044_w_a_survey_on_malware_attacks_in_industrial_air_gap_systems.pdf","open")</f>
        <v>open</v>
      </c>
      <c r="F1607" t="s">
        <v>7130</v>
      </c>
      <c r="G1607" t="s">
        <v>10178</v>
      </c>
      <c r="I1607" t="s">
        <v>10179</v>
      </c>
    </row>
    <row r="1608" spans="1:9" x14ac:dyDescent="0.2">
      <c r="A1608" t="s">
        <v>1479</v>
      </c>
      <c r="B1608" t="s">
        <v>1480</v>
      </c>
      <c r="C1608" t="s">
        <v>60</v>
      </c>
      <c r="D1608" t="s">
        <v>1481</v>
      </c>
      <c r="E1608" t="str">
        <f>HYPERLINK("/pdf/2024_10_3390_jcp4040039_enhancing_cybersecurity_through_comprehensive_investigation_of_data_flow_based_attack_scen.pdf","open")</f>
        <v>open</v>
      </c>
      <c r="F1608" t="s">
        <v>7119</v>
      </c>
      <c r="G1608" t="s">
        <v>10180</v>
      </c>
      <c r="H1608" t="s">
        <v>10181</v>
      </c>
      <c r="I1608" t="s">
        <v>10182</v>
      </c>
    </row>
    <row r="1609" spans="1:9" x14ac:dyDescent="0.2">
      <c r="A1609" t="s">
        <v>1479</v>
      </c>
      <c r="B1609" t="s">
        <v>1480</v>
      </c>
      <c r="C1609" t="s">
        <v>60</v>
      </c>
      <c r="D1609" t="s">
        <v>1481</v>
      </c>
      <c r="E1609" t="str">
        <f>HYPERLINK("/pdf/2024_10_3390_jcp4040039_enhancing_cybersecurity_through_comprehensive_investigation_of_data_flow_based_attack_scen.pdf","open")</f>
        <v>open</v>
      </c>
      <c r="F1609" t="s">
        <v>7119</v>
      </c>
      <c r="G1609" t="s">
        <v>10183</v>
      </c>
      <c r="H1609" t="s">
        <v>10184</v>
      </c>
      <c r="I1609" t="s">
        <v>10185</v>
      </c>
    </row>
    <row r="1610" spans="1:9" x14ac:dyDescent="0.2">
      <c r="A1610" t="s">
        <v>1479</v>
      </c>
      <c r="B1610" t="s">
        <v>1480</v>
      </c>
      <c r="C1610" t="s">
        <v>60</v>
      </c>
      <c r="D1610" t="s">
        <v>1481</v>
      </c>
      <c r="E1610" t="str">
        <f>HYPERLINK("/pdf/2024_10_3390_jcp4040039_enhancing_cybersecurity_through_comprehensive_investigation_of_data_flow_based_attack_scen.pdf","open")</f>
        <v>open</v>
      </c>
      <c r="F1610" t="s">
        <v>7119</v>
      </c>
      <c r="G1610" t="s">
        <v>10186</v>
      </c>
      <c r="H1610" t="s">
        <v>10187</v>
      </c>
      <c r="I1610" t="s">
        <v>10188</v>
      </c>
    </row>
    <row r="1611" spans="1:9" x14ac:dyDescent="0.2">
      <c r="A1611" t="s">
        <v>1479</v>
      </c>
      <c r="B1611" t="s">
        <v>1480</v>
      </c>
      <c r="C1611" t="s">
        <v>60</v>
      </c>
      <c r="D1611" t="s">
        <v>1481</v>
      </c>
      <c r="E1611" t="str">
        <f>HYPERLINK("/pdf/2024_10_3390_jcp4040039_enhancing_cybersecurity_through_comprehensive_investigation_of_data_flow_based_attack_scen.pdf","open")</f>
        <v>open</v>
      </c>
      <c r="F1611" t="s">
        <v>7130</v>
      </c>
      <c r="G1611" t="s">
        <v>1597</v>
      </c>
      <c r="I1611" t="s">
        <v>10189</v>
      </c>
    </row>
    <row r="1612" spans="1:9" x14ac:dyDescent="0.2">
      <c r="A1612" t="s">
        <v>1479</v>
      </c>
      <c r="B1612" t="s">
        <v>1480</v>
      </c>
      <c r="C1612" t="s">
        <v>60</v>
      </c>
      <c r="D1612" t="s">
        <v>1481</v>
      </c>
      <c r="E1612" t="str">
        <f>HYPERLINK("/pdf/2024_10_3390_jcp4040039_enhancing_cybersecurity_through_comprehensive_investigation_of_data_flow_based_attack_scen.pdf","open")</f>
        <v>open</v>
      </c>
      <c r="F1612" t="s">
        <v>7130</v>
      </c>
      <c r="G1612" t="s">
        <v>5649</v>
      </c>
      <c r="I1612" t="s">
        <v>10190</v>
      </c>
    </row>
    <row r="1613" spans="1:9" x14ac:dyDescent="0.2">
      <c r="A1613" t="s">
        <v>1483</v>
      </c>
      <c r="B1613" t="s">
        <v>1484</v>
      </c>
      <c r="C1613" t="s">
        <v>25</v>
      </c>
      <c r="D1613" t="s">
        <v>1486</v>
      </c>
      <c r="E1613" t="str">
        <f>HYPERLINK("/pdf/2023_10.1109_icicsp59554.2023.10390572_Network_Traffic_Forensics_and_Traceability_Technology_Based_on_Blockchain.pdf","open")</f>
        <v>open</v>
      </c>
      <c r="F1613" t="s">
        <v>7119</v>
      </c>
      <c r="G1613" t="s">
        <v>7843</v>
      </c>
      <c r="H1613" t="s">
        <v>10191</v>
      </c>
      <c r="I1613" t="s">
        <v>8225</v>
      </c>
    </row>
    <row r="1614" spans="1:9" x14ac:dyDescent="0.2">
      <c r="A1614" t="s">
        <v>1483</v>
      </c>
      <c r="B1614" t="s">
        <v>1484</v>
      </c>
      <c r="C1614" t="s">
        <v>25</v>
      </c>
      <c r="D1614" t="s">
        <v>1486</v>
      </c>
      <c r="E1614" t="str">
        <f>HYPERLINK("/pdf/2023_10.1109_icicsp59554.2023.10390572_Network_Traffic_Forensics_and_Traceability_Technology_Based_on_Blockchain.pdf","open")</f>
        <v>open</v>
      </c>
      <c r="F1614" t="s">
        <v>7119</v>
      </c>
      <c r="G1614" t="s">
        <v>7203</v>
      </c>
      <c r="H1614" t="s">
        <v>10192</v>
      </c>
      <c r="I1614" t="s">
        <v>9048</v>
      </c>
    </row>
    <row r="1615" spans="1:9" x14ac:dyDescent="0.2">
      <c r="A1615" t="s">
        <v>1483</v>
      </c>
      <c r="B1615" t="s">
        <v>1484</v>
      </c>
      <c r="C1615" t="s">
        <v>25</v>
      </c>
      <c r="D1615" t="s">
        <v>1486</v>
      </c>
      <c r="E1615" t="str">
        <f>HYPERLINK("/pdf/2023_10.1109_icicsp59554.2023.10390572_Network_Traffic_Forensics_and_Traceability_Technology_Based_on_Blockchain.pdf","open")</f>
        <v>open</v>
      </c>
      <c r="F1615" t="s">
        <v>7119</v>
      </c>
      <c r="G1615" t="s">
        <v>10193</v>
      </c>
      <c r="H1615" t="s">
        <v>10194</v>
      </c>
      <c r="I1615" t="s">
        <v>10195</v>
      </c>
    </row>
    <row r="1616" spans="1:9" x14ac:dyDescent="0.2">
      <c r="A1616" t="s">
        <v>1483</v>
      </c>
      <c r="B1616" t="s">
        <v>1484</v>
      </c>
      <c r="C1616" t="s">
        <v>25</v>
      </c>
      <c r="D1616" t="s">
        <v>1486</v>
      </c>
      <c r="E1616" t="str">
        <f>HYPERLINK("/pdf/2023_10.1109_icicsp59554.2023.10390572_Network_Traffic_Forensics_and_Traceability_Technology_Based_on_Blockchain.pdf","open")</f>
        <v>open</v>
      </c>
      <c r="F1616" t="s">
        <v>7130</v>
      </c>
      <c r="G1616" t="s">
        <v>7183</v>
      </c>
      <c r="I1616" t="s">
        <v>10196</v>
      </c>
    </row>
    <row r="1617" spans="1:9" x14ac:dyDescent="0.2">
      <c r="A1617" t="s">
        <v>1488</v>
      </c>
      <c r="B1617" t="s">
        <v>1441</v>
      </c>
      <c r="C1617" t="s">
        <v>19</v>
      </c>
      <c r="D1617" t="s">
        <v>1443</v>
      </c>
      <c r="E1617" t="str">
        <f t="shared" ref="E1617:E1622" si="91">HYPERLINK("/pdf/2025_10.1007_s11227-025-07116-x_GDT-IDS__graph-based_decision_tree_intrusion_detection_system_for_controller_area_network.pdf","open")</f>
        <v>open</v>
      </c>
      <c r="F1617" t="s">
        <v>7119</v>
      </c>
      <c r="G1617" t="s">
        <v>10197</v>
      </c>
      <c r="H1617" t="s">
        <v>10198</v>
      </c>
      <c r="I1617" t="s">
        <v>10199</v>
      </c>
    </row>
    <row r="1618" spans="1:9" x14ac:dyDescent="0.2">
      <c r="A1618" t="s">
        <v>1488</v>
      </c>
      <c r="B1618" t="s">
        <v>1441</v>
      </c>
      <c r="C1618" t="s">
        <v>19</v>
      </c>
      <c r="D1618" t="s">
        <v>1443</v>
      </c>
      <c r="E1618" t="str">
        <f t="shared" si="91"/>
        <v>open</v>
      </c>
      <c r="F1618" t="s">
        <v>7119</v>
      </c>
      <c r="G1618" t="s">
        <v>10200</v>
      </c>
      <c r="H1618" t="s">
        <v>10201</v>
      </c>
      <c r="I1618" t="s">
        <v>10202</v>
      </c>
    </row>
    <row r="1619" spans="1:9" x14ac:dyDescent="0.2">
      <c r="A1619" t="s">
        <v>1488</v>
      </c>
      <c r="B1619" t="s">
        <v>1441</v>
      </c>
      <c r="C1619" t="s">
        <v>19</v>
      </c>
      <c r="D1619" t="s">
        <v>1443</v>
      </c>
      <c r="E1619" t="str">
        <f t="shared" si="91"/>
        <v>open</v>
      </c>
      <c r="F1619" t="s">
        <v>7119</v>
      </c>
      <c r="G1619" t="s">
        <v>10203</v>
      </c>
      <c r="H1619" t="s">
        <v>10204</v>
      </c>
      <c r="I1619" t="s">
        <v>10202</v>
      </c>
    </row>
    <row r="1620" spans="1:9" x14ac:dyDescent="0.2">
      <c r="A1620" t="s">
        <v>1488</v>
      </c>
      <c r="B1620" t="s">
        <v>1441</v>
      </c>
      <c r="C1620" t="s">
        <v>19</v>
      </c>
      <c r="D1620" t="s">
        <v>1443</v>
      </c>
      <c r="E1620" t="str">
        <f t="shared" si="91"/>
        <v>open</v>
      </c>
      <c r="F1620" t="s">
        <v>7119</v>
      </c>
      <c r="G1620" t="s">
        <v>10205</v>
      </c>
      <c r="H1620" t="s">
        <v>10206</v>
      </c>
      <c r="I1620" t="s">
        <v>9769</v>
      </c>
    </row>
    <row r="1621" spans="1:9" x14ac:dyDescent="0.2">
      <c r="A1621" t="s">
        <v>1488</v>
      </c>
      <c r="B1621" t="s">
        <v>1441</v>
      </c>
      <c r="C1621" t="s">
        <v>19</v>
      </c>
      <c r="D1621" t="s">
        <v>1443</v>
      </c>
      <c r="E1621" t="str">
        <f t="shared" si="91"/>
        <v>open</v>
      </c>
      <c r="F1621" t="s">
        <v>7130</v>
      </c>
      <c r="G1621" t="s">
        <v>1584</v>
      </c>
      <c r="I1621" t="s">
        <v>10207</v>
      </c>
    </row>
    <row r="1622" spans="1:9" x14ac:dyDescent="0.2">
      <c r="A1622" t="s">
        <v>1488</v>
      </c>
      <c r="B1622" t="s">
        <v>1441</v>
      </c>
      <c r="C1622" t="s">
        <v>19</v>
      </c>
      <c r="D1622" t="s">
        <v>1443</v>
      </c>
      <c r="E1622" t="str">
        <f t="shared" si="91"/>
        <v>open</v>
      </c>
      <c r="F1622" t="s">
        <v>7130</v>
      </c>
      <c r="G1622" t="s">
        <v>1576</v>
      </c>
      <c r="I1622" t="s">
        <v>10208</v>
      </c>
    </row>
    <row r="1623" spans="1:9" x14ac:dyDescent="0.2">
      <c r="A1623" t="s">
        <v>1490</v>
      </c>
      <c r="B1623" t="s">
        <v>1491</v>
      </c>
      <c r="C1623" t="s">
        <v>54</v>
      </c>
      <c r="D1623" t="s">
        <v>1493</v>
      </c>
      <c r="E1623" t="str">
        <f>HYPERLINK("/pdf/2020_10.1109_discover50404.2020.9278053_The_Mechanism_to_Combat_Data_Leakage_Trojans_in_Circuits_using_Ranomized_Encoding.pdf","open")</f>
        <v>open</v>
      </c>
      <c r="F1623" t="s">
        <v>7119</v>
      </c>
      <c r="G1623" t="s">
        <v>10209</v>
      </c>
      <c r="H1623" t="s">
        <v>10210</v>
      </c>
      <c r="I1623" t="s">
        <v>10211</v>
      </c>
    </row>
    <row r="1624" spans="1:9" x14ac:dyDescent="0.2">
      <c r="A1624" t="s">
        <v>1490</v>
      </c>
      <c r="B1624" t="s">
        <v>1491</v>
      </c>
      <c r="C1624" t="s">
        <v>54</v>
      </c>
      <c r="D1624" t="s">
        <v>1493</v>
      </c>
      <c r="E1624" t="str">
        <f>HYPERLINK("/pdf/2020_10.1109_discover50404.2020.9278053_The_Mechanism_to_Combat_Data_Leakage_Trojans_in_Circuits_using_Ranomized_Encoding.pdf","open")</f>
        <v>open</v>
      </c>
      <c r="F1624" t="s">
        <v>7119</v>
      </c>
      <c r="G1624" t="s">
        <v>10212</v>
      </c>
      <c r="H1624" t="s">
        <v>10213</v>
      </c>
      <c r="I1624" t="s">
        <v>9623</v>
      </c>
    </row>
    <row r="1625" spans="1:9" x14ac:dyDescent="0.2">
      <c r="A1625" t="s">
        <v>1490</v>
      </c>
      <c r="B1625" t="s">
        <v>1491</v>
      </c>
      <c r="C1625" t="s">
        <v>54</v>
      </c>
      <c r="D1625" t="s">
        <v>1493</v>
      </c>
      <c r="E1625" t="str">
        <f>HYPERLINK("/pdf/2020_10.1109_discover50404.2020.9278053_The_Mechanism_to_Combat_Data_Leakage_Trojans_in_Circuits_using_Ranomized_Encoding.pdf","open")</f>
        <v>open</v>
      </c>
      <c r="F1625" t="s">
        <v>7119</v>
      </c>
      <c r="G1625" t="s">
        <v>10214</v>
      </c>
      <c r="H1625" t="s">
        <v>10215</v>
      </c>
      <c r="I1625" t="s">
        <v>7151</v>
      </c>
    </row>
    <row r="1626" spans="1:9" x14ac:dyDescent="0.2">
      <c r="A1626" t="s">
        <v>1490</v>
      </c>
      <c r="B1626" t="s">
        <v>1491</v>
      </c>
      <c r="C1626" t="s">
        <v>54</v>
      </c>
      <c r="D1626" t="s">
        <v>1493</v>
      </c>
      <c r="E1626" t="str">
        <f>HYPERLINK("/pdf/2020_10.1109_discover50404.2020.9278053_The_Mechanism_to_Combat_Data_Leakage_Trojans_in_Circuits_using_Ranomized_Encoding.pdf","open")</f>
        <v>open</v>
      </c>
      <c r="F1626" t="s">
        <v>7130</v>
      </c>
      <c r="G1626" t="s">
        <v>1571</v>
      </c>
      <c r="I1626" t="s">
        <v>7178</v>
      </c>
    </row>
    <row r="1627" spans="1:9" x14ac:dyDescent="0.2">
      <c r="A1627" t="s">
        <v>1490</v>
      </c>
      <c r="B1627" t="s">
        <v>1491</v>
      </c>
      <c r="C1627" t="s">
        <v>54</v>
      </c>
      <c r="D1627" t="s">
        <v>1493</v>
      </c>
      <c r="E1627" t="str">
        <f>HYPERLINK("/pdf/2020_10.1109_discover50404.2020.9278053_The_Mechanism_to_Combat_Data_Leakage_Trojans_in_Circuits_using_Ranomized_Encoding.pdf","open")</f>
        <v>open</v>
      </c>
      <c r="F1627" t="s">
        <v>7130</v>
      </c>
      <c r="G1627" t="s">
        <v>7203</v>
      </c>
      <c r="I1627" t="s">
        <v>10216</v>
      </c>
    </row>
    <row r="1628" spans="1:9" x14ac:dyDescent="0.2">
      <c r="A1628" t="s">
        <v>1495</v>
      </c>
      <c r="B1628" t="s">
        <v>1496</v>
      </c>
      <c r="C1628" t="s">
        <v>36</v>
      </c>
      <c r="D1628" t="s">
        <v>1495</v>
      </c>
      <c r="E1628" t="str">
        <f t="shared" ref="E1628:E1633" si="92">HYPERLINK("/pdf/2021_10.1145_3453800.3453824_Detect_Android_malware_by_using_deep_learning__Experiment_and_Evaluation.pdf","open")</f>
        <v>open</v>
      </c>
      <c r="F1628" t="s">
        <v>7119</v>
      </c>
      <c r="G1628" t="s">
        <v>7319</v>
      </c>
      <c r="H1628" t="s">
        <v>10217</v>
      </c>
      <c r="I1628" t="s">
        <v>7163</v>
      </c>
    </row>
    <row r="1629" spans="1:9" x14ac:dyDescent="0.2">
      <c r="A1629" t="s">
        <v>1495</v>
      </c>
      <c r="B1629" t="s">
        <v>1496</v>
      </c>
      <c r="C1629" t="s">
        <v>36</v>
      </c>
      <c r="D1629" t="s">
        <v>1495</v>
      </c>
      <c r="E1629" t="str">
        <f t="shared" si="92"/>
        <v>open</v>
      </c>
      <c r="F1629" t="s">
        <v>7119</v>
      </c>
      <c r="G1629" t="s">
        <v>7173</v>
      </c>
      <c r="H1629" t="s">
        <v>10218</v>
      </c>
      <c r="I1629" t="s">
        <v>10219</v>
      </c>
    </row>
    <row r="1630" spans="1:9" x14ac:dyDescent="0.2">
      <c r="A1630" t="s">
        <v>1495</v>
      </c>
      <c r="B1630" t="s">
        <v>1496</v>
      </c>
      <c r="C1630" t="s">
        <v>36</v>
      </c>
      <c r="D1630" t="s">
        <v>1495</v>
      </c>
      <c r="E1630" t="str">
        <f t="shared" si="92"/>
        <v>open</v>
      </c>
      <c r="F1630" t="s">
        <v>7119</v>
      </c>
      <c r="G1630" t="s">
        <v>10220</v>
      </c>
      <c r="H1630" t="s">
        <v>10221</v>
      </c>
      <c r="I1630" t="s">
        <v>10219</v>
      </c>
    </row>
    <row r="1631" spans="1:9" x14ac:dyDescent="0.2">
      <c r="A1631" t="s">
        <v>1495</v>
      </c>
      <c r="B1631" t="s">
        <v>1496</v>
      </c>
      <c r="C1631" t="s">
        <v>36</v>
      </c>
      <c r="D1631" t="s">
        <v>1495</v>
      </c>
      <c r="E1631" t="str">
        <f t="shared" si="92"/>
        <v>open</v>
      </c>
      <c r="F1631" t="s">
        <v>7119</v>
      </c>
      <c r="G1631" t="s">
        <v>7215</v>
      </c>
      <c r="H1631" t="s">
        <v>10222</v>
      </c>
      <c r="I1631" t="s">
        <v>8477</v>
      </c>
    </row>
    <row r="1632" spans="1:9" x14ac:dyDescent="0.2">
      <c r="A1632" t="s">
        <v>1495</v>
      </c>
      <c r="B1632" t="s">
        <v>1496</v>
      </c>
      <c r="C1632" t="s">
        <v>36</v>
      </c>
      <c r="D1632" t="s">
        <v>1495</v>
      </c>
      <c r="E1632" t="str">
        <f t="shared" si="92"/>
        <v>open</v>
      </c>
      <c r="F1632" t="s">
        <v>7130</v>
      </c>
      <c r="G1632" t="s">
        <v>7173</v>
      </c>
      <c r="I1632" t="s">
        <v>10108</v>
      </c>
    </row>
    <row r="1633" spans="1:9" x14ac:dyDescent="0.2">
      <c r="A1633" t="s">
        <v>1495</v>
      </c>
      <c r="B1633" t="s">
        <v>1496</v>
      </c>
      <c r="C1633" t="s">
        <v>36</v>
      </c>
      <c r="D1633" t="s">
        <v>1495</v>
      </c>
      <c r="E1633" t="str">
        <f t="shared" si="92"/>
        <v>open</v>
      </c>
      <c r="F1633" t="s">
        <v>7130</v>
      </c>
      <c r="G1633" t="s">
        <v>1597</v>
      </c>
      <c r="I1633" t="s">
        <v>10223</v>
      </c>
    </row>
    <row r="1634" spans="1:9" x14ac:dyDescent="0.2">
      <c r="A1634" t="s">
        <v>1499</v>
      </c>
      <c r="B1634" t="s">
        <v>1500</v>
      </c>
      <c r="C1634" t="s">
        <v>60</v>
      </c>
      <c r="D1634" t="s">
        <v>1502</v>
      </c>
      <c r="E1634" t="str">
        <f>HYPERLINK("/pdf/2024_10.1109_itcem65710.2024.00030_Research_on_Network_Security_Threat_Detection_and_Defense_Mechanism_Based_on_Artificial_Intelligence.pdf","open")</f>
        <v>open</v>
      </c>
      <c r="F1634" t="s">
        <v>7119</v>
      </c>
      <c r="G1634" t="s">
        <v>10224</v>
      </c>
      <c r="H1634" t="s">
        <v>10225</v>
      </c>
      <c r="I1634" t="s">
        <v>8247</v>
      </c>
    </row>
    <row r="1635" spans="1:9" x14ac:dyDescent="0.2">
      <c r="A1635" t="s">
        <v>1499</v>
      </c>
      <c r="B1635" t="s">
        <v>1500</v>
      </c>
      <c r="C1635" t="s">
        <v>60</v>
      </c>
      <c r="D1635" t="s">
        <v>1502</v>
      </c>
      <c r="E1635" t="str">
        <f>HYPERLINK("/pdf/2024_10.1109_itcem65710.2024.00030_Research_on_Network_Security_Threat_Detection_and_Defense_Mechanism_Based_on_Artificial_Intelligence.pdf","open")</f>
        <v>open</v>
      </c>
      <c r="F1635" t="s">
        <v>7119</v>
      </c>
      <c r="G1635" t="s">
        <v>10226</v>
      </c>
      <c r="H1635" t="s">
        <v>10227</v>
      </c>
      <c r="I1635" t="s">
        <v>8247</v>
      </c>
    </row>
    <row r="1636" spans="1:9" x14ac:dyDescent="0.2">
      <c r="A1636" t="s">
        <v>1499</v>
      </c>
      <c r="B1636" t="s">
        <v>1500</v>
      </c>
      <c r="C1636" t="s">
        <v>60</v>
      </c>
      <c r="D1636" t="s">
        <v>1502</v>
      </c>
      <c r="E1636" t="str">
        <f>HYPERLINK("/pdf/2024_10.1109_itcem65710.2024.00030_Research_on_Network_Security_Threat_Detection_and_Defense_Mechanism_Based_on_Artificial_Intelligence.pdf","open")</f>
        <v>open</v>
      </c>
      <c r="F1636" t="s">
        <v>7119</v>
      </c>
      <c r="G1636" t="s">
        <v>10228</v>
      </c>
      <c r="H1636" t="s">
        <v>10229</v>
      </c>
      <c r="I1636" t="s">
        <v>9934</v>
      </c>
    </row>
    <row r="1637" spans="1:9" x14ac:dyDescent="0.2">
      <c r="A1637" t="s">
        <v>1499</v>
      </c>
      <c r="B1637" t="s">
        <v>1500</v>
      </c>
      <c r="C1637" t="s">
        <v>60</v>
      </c>
      <c r="D1637" t="s">
        <v>1502</v>
      </c>
      <c r="E1637" t="str">
        <f>HYPERLINK("/pdf/2024_10.1109_itcem65710.2024.00030_Research_on_Network_Security_Threat_Detection_and_Defense_Mechanism_Based_on_Artificial_Intelligence.pdf","open")</f>
        <v>open</v>
      </c>
      <c r="F1637" t="s">
        <v>7119</v>
      </c>
      <c r="G1637" t="s">
        <v>10230</v>
      </c>
      <c r="H1637" t="s">
        <v>10231</v>
      </c>
      <c r="I1637" t="s">
        <v>9934</v>
      </c>
    </row>
    <row r="1638" spans="1:9" x14ac:dyDescent="0.2">
      <c r="A1638" t="s">
        <v>1499</v>
      </c>
      <c r="B1638" t="s">
        <v>1500</v>
      </c>
      <c r="C1638" t="s">
        <v>60</v>
      </c>
      <c r="D1638" t="s">
        <v>1502</v>
      </c>
      <c r="E1638" t="str">
        <f>HYPERLINK("/pdf/2024_10.1109_itcem65710.2024.00030_Research_on_Network_Security_Threat_Detection_and_Defense_Mechanism_Based_on_Artificial_Intelligence.pdf","open")</f>
        <v>open</v>
      </c>
      <c r="F1638" t="s">
        <v>7130</v>
      </c>
      <c r="G1638" t="s">
        <v>1597</v>
      </c>
      <c r="I1638" t="s">
        <v>10232</v>
      </c>
    </row>
    <row r="1639" spans="1:9" x14ac:dyDescent="0.2">
      <c r="A1639" t="s">
        <v>1504</v>
      </c>
      <c r="B1639" t="s">
        <v>1505</v>
      </c>
      <c r="C1639" t="s">
        <v>19</v>
      </c>
      <c r="D1639" t="s">
        <v>1507</v>
      </c>
      <c r="E1639" t="str">
        <f>HYPERLINK("/pdf/2025_10.1109_sami63904.2025.10883123_Improving_Cybersecurity_in_Hospital_Information_Systems_through_Anonymization_Techniques.pdf","open")</f>
        <v>open</v>
      </c>
      <c r="F1639" t="s">
        <v>7119</v>
      </c>
      <c r="G1639" t="s">
        <v>10233</v>
      </c>
      <c r="H1639" t="s">
        <v>10234</v>
      </c>
      <c r="I1639" t="s">
        <v>7178</v>
      </c>
    </row>
    <row r="1640" spans="1:9" x14ac:dyDescent="0.2">
      <c r="A1640" t="s">
        <v>1504</v>
      </c>
      <c r="B1640" t="s">
        <v>1505</v>
      </c>
      <c r="C1640" t="s">
        <v>19</v>
      </c>
      <c r="D1640" t="s">
        <v>1507</v>
      </c>
      <c r="E1640" t="str">
        <f>HYPERLINK("/pdf/2025_10.1109_sami63904.2025.10883123_Improving_Cybersecurity_in_Hospital_Information_Systems_through_Anonymization_Techniques.pdf","open")</f>
        <v>open</v>
      </c>
      <c r="F1640" t="s">
        <v>7119</v>
      </c>
      <c r="G1640" t="s">
        <v>7330</v>
      </c>
      <c r="H1640" t="s">
        <v>10235</v>
      </c>
      <c r="I1640" t="s">
        <v>10236</v>
      </c>
    </row>
    <row r="1641" spans="1:9" x14ac:dyDescent="0.2">
      <c r="A1641" t="s">
        <v>1504</v>
      </c>
      <c r="B1641" t="s">
        <v>1505</v>
      </c>
      <c r="C1641" t="s">
        <v>19</v>
      </c>
      <c r="D1641" t="s">
        <v>1507</v>
      </c>
      <c r="E1641" t="str">
        <f>HYPERLINK("/pdf/2025_10.1109_sami63904.2025.10883123_Improving_Cybersecurity_in_Hospital_Information_Systems_through_Anonymization_Techniques.pdf","open")</f>
        <v>open</v>
      </c>
      <c r="F1641" t="s">
        <v>7119</v>
      </c>
      <c r="G1641" t="s">
        <v>10237</v>
      </c>
      <c r="H1641" t="s">
        <v>10238</v>
      </c>
      <c r="I1641" t="s">
        <v>10239</v>
      </c>
    </row>
    <row r="1642" spans="1:9" x14ac:dyDescent="0.2">
      <c r="A1642" t="s">
        <v>1504</v>
      </c>
      <c r="B1642" t="s">
        <v>1505</v>
      </c>
      <c r="C1642" t="s">
        <v>19</v>
      </c>
      <c r="D1642" t="s">
        <v>1507</v>
      </c>
      <c r="E1642" t="str">
        <f>HYPERLINK("/pdf/2025_10.1109_sami63904.2025.10883123_Improving_Cybersecurity_in_Hospital_Information_Systems_through_Anonymization_Techniques.pdf","open")</f>
        <v>open</v>
      </c>
      <c r="F1642" t="s">
        <v>7119</v>
      </c>
      <c r="G1642" t="s">
        <v>10240</v>
      </c>
      <c r="H1642" t="s">
        <v>10241</v>
      </c>
      <c r="I1642" t="s">
        <v>10236</v>
      </c>
    </row>
    <row r="1643" spans="1:9" x14ac:dyDescent="0.2">
      <c r="A1643" t="s">
        <v>1504</v>
      </c>
      <c r="B1643" t="s">
        <v>1505</v>
      </c>
      <c r="C1643" t="s">
        <v>19</v>
      </c>
      <c r="D1643" t="s">
        <v>1507</v>
      </c>
      <c r="E1643" t="str">
        <f>HYPERLINK("/pdf/2025_10.1109_sami63904.2025.10883123_Improving_Cybersecurity_in_Hospital_Information_Systems_through_Anonymization_Techniques.pdf","open")</f>
        <v>open</v>
      </c>
      <c r="F1643" t="s">
        <v>7130</v>
      </c>
      <c r="G1643" t="s">
        <v>7203</v>
      </c>
      <c r="I1643" t="s">
        <v>10236</v>
      </c>
    </row>
    <row r="1644" spans="1:9" x14ac:dyDescent="0.2">
      <c r="A1644" t="s">
        <v>1509</v>
      </c>
      <c r="B1644" t="s">
        <v>1088</v>
      </c>
      <c r="C1644" t="s">
        <v>19</v>
      </c>
      <c r="D1644" t="s">
        <v>1087</v>
      </c>
      <c r="E1644" t="str">
        <f t="shared" ref="E1644:E1649" si="93">HYPERLINK("/pdf/2025_10_11591_ijai_v14_i6_pp4913_4922_comparative_evaluation_of_machine_learning_models_for_intrusion_detection_in_wsn.pdf","open")</f>
        <v>open</v>
      </c>
      <c r="F1644" t="s">
        <v>7119</v>
      </c>
      <c r="G1644" t="s">
        <v>10242</v>
      </c>
      <c r="H1644" t="s">
        <v>10243</v>
      </c>
      <c r="I1644" t="s">
        <v>10244</v>
      </c>
    </row>
    <row r="1645" spans="1:9" x14ac:dyDescent="0.2">
      <c r="A1645" t="s">
        <v>1509</v>
      </c>
      <c r="B1645" t="s">
        <v>1088</v>
      </c>
      <c r="C1645" t="s">
        <v>19</v>
      </c>
      <c r="D1645" t="s">
        <v>1087</v>
      </c>
      <c r="E1645" t="str">
        <f t="shared" si="93"/>
        <v>open</v>
      </c>
      <c r="F1645" t="s">
        <v>7119</v>
      </c>
      <c r="G1645" t="s">
        <v>7615</v>
      </c>
      <c r="H1645" t="s">
        <v>10245</v>
      </c>
      <c r="I1645" t="s">
        <v>7151</v>
      </c>
    </row>
    <row r="1646" spans="1:9" x14ac:dyDescent="0.2">
      <c r="A1646" t="s">
        <v>1509</v>
      </c>
      <c r="B1646" t="s">
        <v>1088</v>
      </c>
      <c r="C1646" t="s">
        <v>19</v>
      </c>
      <c r="D1646" t="s">
        <v>1087</v>
      </c>
      <c r="E1646" t="str">
        <f t="shared" si="93"/>
        <v>open</v>
      </c>
      <c r="F1646" t="s">
        <v>7119</v>
      </c>
      <c r="G1646" t="s">
        <v>10246</v>
      </c>
      <c r="H1646" t="s">
        <v>10247</v>
      </c>
      <c r="I1646" t="s">
        <v>10248</v>
      </c>
    </row>
    <row r="1647" spans="1:9" x14ac:dyDescent="0.2">
      <c r="A1647" t="s">
        <v>1509</v>
      </c>
      <c r="B1647" t="s">
        <v>1088</v>
      </c>
      <c r="C1647" t="s">
        <v>19</v>
      </c>
      <c r="D1647" t="s">
        <v>1087</v>
      </c>
      <c r="E1647" t="str">
        <f t="shared" si="93"/>
        <v>open</v>
      </c>
      <c r="F1647" t="s">
        <v>7119</v>
      </c>
      <c r="G1647" t="s">
        <v>10249</v>
      </c>
      <c r="H1647" t="s">
        <v>10250</v>
      </c>
      <c r="I1647" t="s">
        <v>7151</v>
      </c>
    </row>
    <row r="1648" spans="1:9" x14ac:dyDescent="0.2">
      <c r="A1648" t="s">
        <v>1509</v>
      </c>
      <c r="B1648" t="s">
        <v>1088</v>
      </c>
      <c r="C1648" t="s">
        <v>19</v>
      </c>
      <c r="D1648" t="s">
        <v>1087</v>
      </c>
      <c r="E1648" t="str">
        <f t="shared" si="93"/>
        <v>open</v>
      </c>
      <c r="F1648" t="s">
        <v>7130</v>
      </c>
      <c r="G1648" t="s">
        <v>7203</v>
      </c>
      <c r="I1648" t="s">
        <v>10251</v>
      </c>
    </row>
    <row r="1649" spans="1:9" x14ac:dyDescent="0.2">
      <c r="A1649" t="s">
        <v>1509</v>
      </c>
      <c r="B1649" t="s">
        <v>1088</v>
      </c>
      <c r="C1649" t="s">
        <v>19</v>
      </c>
      <c r="D1649" t="s">
        <v>1087</v>
      </c>
      <c r="E1649" t="str">
        <f t="shared" si="93"/>
        <v>open</v>
      </c>
      <c r="F1649" t="s">
        <v>7130</v>
      </c>
      <c r="G1649" t="s">
        <v>7383</v>
      </c>
      <c r="I1649" t="s">
        <v>10252</v>
      </c>
    </row>
    <row r="1650" spans="1:9" x14ac:dyDescent="0.2">
      <c r="A1650" t="s">
        <v>1511</v>
      </c>
      <c r="B1650" t="s">
        <v>1512</v>
      </c>
      <c r="C1650" t="s">
        <v>60</v>
      </c>
      <c r="D1650" t="s">
        <v>1514</v>
      </c>
      <c r="E1650" t="str">
        <f t="shared" ref="E1650:E1657" si="94">HYPERLINK("/pdf/2024_10.1109_icctit64404.2024.10928389_Research_and_Construction_of_Multi-model_Fusionbased_Malicious_URL_Detection_Method.pdf","open")</f>
        <v>open</v>
      </c>
      <c r="F1650" t="s">
        <v>7119</v>
      </c>
      <c r="G1650" t="s">
        <v>8274</v>
      </c>
      <c r="H1650" t="s">
        <v>10253</v>
      </c>
      <c r="I1650" t="s">
        <v>7307</v>
      </c>
    </row>
    <row r="1651" spans="1:9" x14ac:dyDescent="0.2">
      <c r="A1651" t="s">
        <v>1511</v>
      </c>
      <c r="B1651" t="s">
        <v>1512</v>
      </c>
      <c r="C1651" t="s">
        <v>60</v>
      </c>
      <c r="D1651" t="s">
        <v>1514</v>
      </c>
      <c r="E1651" t="str">
        <f t="shared" si="94"/>
        <v>open</v>
      </c>
      <c r="F1651" t="s">
        <v>7119</v>
      </c>
      <c r="G1651" t="s">
        <v>10254</v>
      </c>
      <c r="H1651" t="s">
        <v>10255</v>
      </c>
      <c r="I1651" t="s">
        <v>7379</v>
      </c>
    </row>
    <row r="1652" spans="1:9" x14ac:dyDescent="0.2">
      <c r="A1652" t="s">
        <v>1511</v>
      </c>
      <c r="B1652" t="s">
        <v>1512</v>
      </c>
      <c r="C1652" t="s">
        <v>60</v>
      </c>
      <c r="D1652" t="s">
        <v>1514</v>
      </c>
      <c r="E1652" t="str">
        <f t="shared" si="94"/>
        <v>open</v>
      </c>
      <c r="F1652" t="s">
        <v>7119</v>
      </c>
      <c r="G1652" t="s">
        <v>8598</v>
      </c>
      <c r="H1652" t="s">
        <v>10256</v>
      </c>
      <c r="I1652" t="s">
        <v>8225</v>
      </c>
    </row>
    <row r="1653" spans="1:9" x14ac:dyDescent="0.2">
      <c r="A1653" t="s">
        <v>1511</v>
      </c>
      <c r="B1653" t="s">
        <v>1512</v>
      </c>
      <c r="C1653" t="s">
        <v>60</v>
      </c>
      <c r="D1653" t="s">
        <v>1514</v>
      </c>
      <c r="E1653" t="str">
        <f t="shared" si="94"/>
        <v>open</v>
      </c>
      <c r="F1653" t="s">
        <v>7119</v>
      </c>
      <c r="G1653" t="s">
        <v>10257</v>
      </c>
      <c r="H1653" t="s">
        <v>10258</v>
      </c>
      <c r="I1653" t="s">
        <v>8225</v>
      </c>
    </row>
    <row r="1654" spans="1:9" x14ac:dyDescent="0.2">
      <c r="A1654" t="s">
        <v>1511</v>
      </c>
      <c r="B1654" t="s">
        <v>1512</v>
      </c>
      <c r="C1654" t="s">
        <v>60</v>
      </c>
      <c r="D1654" t="s">
        <v>1514</v>
      </c>
      <c r="E1654" t="str">
        <f t="shared" si="94"/>
        <v>open</v>
      </c>
      <c r="F1654" t="s">
        <v>7119</v>
      </c>
      <c r="G1654" t="s">
        <v>10259</v>
      </c>
      <c r="H1654" t="s">
        <v>10260</v>
      </c>
      <c r="I1654" t="s">
        <v>10261</v>
      </c>
    </row>
    <row r="1655" spans="1:9" x14ac:dyDescent="0.2">
      <c r="A1655" t="s">
        <v>1511</v>
      </c>
      <c r="B1655" t="s">
        <v>1512</v>
      </c>
      <c r="C1655" t="s">
        <v>60</v>
      </c>
      <c r="D1655" t="s">
        <v>1514</v>
      </c>
      <c r="E1655" t="str">
        <f t="shared" si="94"/>
        <v>open</v>
      </c>
      <c r="F1655" t="s">
        <v>7119</v>
      </c>
      <c r="G1655" t="s">
        <v>10262</v>
      </c>
      <c r="H1655" t="s">
        <v>10263</v>
      </c>
      <c r="I1655" t="s">
        <v>7151</v>
      </c>
    </row>
    <row r="1656" spans="1:9" x14ac:dyDescent="0.2">
      <c r="A1656" t="s">
        <v>1511</v>
      </c>
      <c r="B1656" t="s">
        <v>1512</v>
      </c>
      <c r="C1656" t="s">
        <v>60</v>
      </c>
      <c r="D1656" t="s">
        <v>1514</v>
      </c>
      <c r="E1656" t="str">
        <f t="shared" si="94"/>
        <v>open</v>
      </c>
      <c r="F1656" t="s">
        <v>7130</v>
      </c>
      <c r="G1656" t="s">
        <v>8470</v>
      </c>
      <c r="I1656" t="s">
        <v>10264</v>
      </c>
    </row>
    <row r="1657" spans="1:9" x14ac:dyDescent="0.2">
      <c r="A1657" t="s">
        <v>1511</v>
      </c>
      <c r="B1657" t="s">
        <v>1512</v>
      </c>
      <c r="C1657" t="s">
        <v>60</v>
      </c>
      <c r="D1657" t="s">
        <v>1514</v>
      </c>
      <c r="E1657" t="str">
        <f t="shared" si="94"/>
        <v>open</v>
      </c>
      <c r="F1657" t="s">
        <v>7130</v>
      </c>
      <c r="G1657" t="s">
        <v>9700</v>
      </c>
      <c r="I1657" t="s">
        <v>10265</v>
      </c>
    </row>
    <row r="1658" spans="1:9" x14ac:dyDescent="0.2">
      <c r="A1658" t="s">
        <v>1516</v>
      </c>
      <c r="B1658" t="s">
        <v>1517</v>
      </c>
      <c r="C1658" t="s">
        <v>19</v>
      </c>
      <c r="D1658" t="s">
        <v>1518</v>
      </c>
      <c r="E1658" t="str">
        <f>HYPERLINK("/pdf/2025_10.1109_access.2025.3588808_A_Federated_Learning_Model_for_Detecting_Cyberattacks_in_Internet_of_Medical_Things_Networks.pdf","open")</f>
        <v>open</v>
      </c>
      <c r="F1658" t="s">
        <v>7119</v>
      </c>
      <c r="G1658" t="s">
        <v>10266</v>
      </c>
      <c r="H1658" t="s">
        <v>10267</v>
      </c>
      <c r="I1658" t="s">
        <v>7982</v>
      </c>
    </row>
    <row r="1659" spans="1:9" x14ac:dyDescent="0.2">
      <c r="A1659" t="s">
        <v>1516</v>
      </c>
      <c r="B1659" t="s">
        <v>1517</v>
      </c>
      <c r="C1659" t="s">
        <v>19</v>
      </c>
      <c r="D1659" t="s">
        <v>1518</v>
      </c>
      <c r="E1659" t="str">
        <f>HYPERLINK("/pdf/2025_10.1109_access.2025.3588808_A_Federated_Learning_Model_for_Detecting_Cyberattacks_in_Internet_of_Medical_Things_Networks.pdf","open")</f>
        <v>open</v>
      </c>
      <c r="F1659" t="s">
        <v>7119</v>
      </c>
      <c r="G1659" t="s">
        <v>10268</v>
      </c>
      <c r="H1659" t="s">
        <v>10269</v>
      </c>
      <c r="I1659" t="s">
        <v>10270</v>
      </c>
    </row>
    <row r="1660" spans="1:9" x14ac:dyDescent="0.2">
      <c r="A1660" t="s">
        <v>1516</v>
      </c>
      <c r="B1660" t="s">
        <v>1517</v>
      </c>
      <c r="C1660" t="s">
        <v>19</v>
      </c>
      <c r="D1660" t="s">
        <v>1518</v>
      </c>
      <c r="E1660" t="str">
        <f>HYPERLINK("/pdf/2025_10.1109_access.2025.3588808_A_Federated_Learning_Model_for_Detecting_Cyberattacks_in_Internet_of_Medical_Things_Networks.pdf","open")</f>
        <v>open</v>
      </c>
      <c r="F1660" t="s">
        <v>7119</v>
      </c>
      <c r="G1660" t="s">
        <v>10271</v>
      </c>
      <c r="H1660" t="s">
        <v>10272</v>
      </c>
      <c r="I1660" t="s">
        <v>10273</v>
      </c>
    </row>
    <row r="1661" spans="1:9" x14ac:dyDescent="0.2">
      <c r="A1661" t="s">
        <v>1516</v>
      </c>
      <c r="B1661" t="s">
        <v>1517</v>
      </c>
      <c r="C1661" t="s">
        <v>19</v>
      </c>
      <c r="D1661" t="s">
        <v>1518</v>
      </c>
      <c r="E1661" t="str">
        <f>HYPERLINK("/pdf/2025_10.1109_access.2025.3588808_A_Federated_Learning_Model_for_Detecting_Cyberattacks_in_Internet_of_Medical_Things_Networks.pdf","open")</f>
        <v>open</v>
      </c>
      <c r="F1661" t="s">
        <v>7130</v>
      </c>
      <c r="G1661" t="s">
        <v>7173</v>
      </c>
      <c r="I1661" t="s">
        <v>10274</v>
      </c>
    </row>
    <row r="1662" spans="1:9" x14ac:dyDescent="0.2">
      <c r="A1662" t="s">
        <v>1516</v>
      </c>
      <c r="B1662" t="s">
        <v>1517</v>
      </c>
      <c r="C1662" t="s">
        <v>19</v>
      </c>
      <c r="D1662" t="s">
        <v>1518</v>
      </c>
      <c r="E1662" t="str">
        <f>HYPERLINK("/pdf/2025_10.1109_access.2025.3588808_A_Federated_Learning_Model_for_Detecting_Cyberattacks_in_Internet_of_Medical_Things_Networks.pdf","open")</f>
        <v>open</v>
      </c>
      <c r="F1662" t="s">
        <v>7130</v>
      </c>
      <c r="G1662" t="s">
        <v>7288</v>
      </c>
      <c r="I1662" t="s">
        <v>10275</v>
      </c>
    </row>
    <row r="1663" spans="1:9" x14ac:dyDescent="0.2">
      <c r="A1663" t="s">
        <v>1520</v>
      </c>
      <c r="B1663" t="s">
        <v>1521</v>
      </c>
      <c r="C1663" t="s">
        <v>25</v>
      </c>
      <c r="D1663" t="s">
        <v>1523</v>
      </c>
      <c r="E1663" t="str">
        <f t="shared" ref="E1663:E1669" si="95">HYPERLINK("/pdf/2023_10.1109_ictc58733.2023.10392902_Federated_Learning_with_Differential_Privacy_for_Intrusion_Detection_in_Internet_of_Flying_Things__A_Robust_Ap.pdf","open")</f>
        <v>open</v>
      </c>
      <c r="F1663" t="s">
        <v>7119</v>
      </c>
      <c r="G1663" t="s">
        <v>10276</v>
      </c>
      <c r="H1663" t="s">
        <v>10277</v>
      </c>
      <c r="I1663" t="s">
        <v>10278</v>
      </c>
    </row>
    <row r="1664" spans="1:9" x14ac:dyDescent="0.2">
      <c r="A1664" t="s">
        <v>1520</v>
      </c>
      <c r="B1664" t="s">
        <v>1521</v>
      </c>
      <c r="C1664" t="s">
        <v>25</v>
      </c>
      <c r="D1664" t="s">
        <v>1523</v>
      </c>
      <c r="E1664" t="str">
        <f t="shared" si="95"/>
        <v>open</v>
      </c>
      <c r="F1664" t="s">
        <v>7119</v>
      </c>
      <c r="G1664" t="s">
        <v>7288</v>
      </c>
      <c r="H1664" t="s">
        <v>10279</v>
      </c>
      <c r="I1664" t="s">
        <v>10278</v>
      </c>
    </row>
    <row r="1665" spans="1:9" x14ac:dyDescent="0.2">
      <c r="A1665" t="s">
        <v>1520</v>
      </c>
      <c r="B1665" t="s">
        <v>1521</v>
      </c>
      <c r="C1665" t="s">
        <v>25</v>
      </c>
      <c r="D1665" t="s">
        <v>1523</v>
      </c>
      <c r="E1665" t="str">
        <f t="shared" si="95"/>
        <v>open</v>
      </c>
      <c r="F1665" t="s">
        <v>7119</v>
      </c>
      <c r="G1665" t="s">
        <v>10280</v>
      </c>
      <c r="H1665" t="s">
        <v>10281</v>
      </c>
      <c r="I1665" t="s">
        <v>10278</v>
      </c>
    </row>
    <row r="1666" spans="1:9" x14ac:dyDescent="0.2">
      <c r="A1666" t="s">
        <v>1520</v>
      </c>
      <c r="B1666" t="s">
        <v>1521</v>
      </c>
      <c r="C1666" t="s">
        <v>25</v>
      </c>
      <c r="D1666" t="s">
        <v>1523</v>
      </c>
      <c r="E1666" t="str">
        <f t="shared" si="95"/>
        <v>open</v>
      </c>
      <c r="F1666" t="s">
        <v>7119</v>
      </c>
      <c r="G1666" t="s">
        <v>10282</v>
      </c>
      <c r="H1666" t="s">
        <v>10283</v>
      </c>
      <c r="I1666" t="s">
        <v>7151</v>
      </c>
    </row>
    <row r="1667" spans="1:9" x14ac:dyDescent="0.2">
      <c r="A1667" t="s">
        <v>1520</v>
      </c>
      <c r="B1667" t="s">
        <v>1521</v>
      </c>
      <c r="C1667" t="s">
        <v>25</v>
      </c>
      <c r="D1667" t="s">
        <v>1523</v>
      </c>
      <c r="E1667" t="str">
        <f t="shared" si="95"/>
        <v>open</v>
      </c>
      <c r="F1667" t="s">
        <v>7119</v>
      </c>
      <c r="G1667" t="s">
        <v>7330</v>
      </c>
      <c r="H1667" t="s">
        <v>10284</v>
      </c>
      <c r="I1667" t="s">
        <v>10278</v>
      </c>
    </row>
    <row r="1668" spans="1:9" x14ac:dyDescent="0.2">
      <c r="A1668" t="s">
        <v>1520</v>
      </c>
      <c r="B1668" t="s">
        <v>1521</v>
      </c>
      <c r="C1668" t="s">
        <v>25</v>
      </c>
      <c r="D1668" t="s">
        <v>1523</v>
      </c>
      <c r="E1668" t="str">
        <f t="shared" si="95"/>
        <v>open</v>
      </c>
      <c r="F1668" t="s">
        <v>7130</v>
      </c>
      <c r="G1668" t="s">
        <v>1584</v>
      </c>
      <c r="I1668" t="s">
        <v>10285</v>
      </c>
    </row>
    <row r="1669" spans="1:9" x14ac:dyDescent="0.2">
      <c r="A1669" t="s">
        <v>1520</v>
      </c>
      <c r="B1669" t="s">
        <v>1521</v>
      </c>
      <c r="C1669" t="s">
        <v>25</v>
      </c>
      <c r="D1669" t="s">
        <v>1523</v>
      </c>
      <c r="E1669" t="str">
        <f t="shared" si="95"/>
        <v>open</v>
      </c>
      <c r="F1669" t="s">
        <v>7130</v>
      </c>
      <c r="G1669" t="s">
        <v>1597</v>
      </c>
      <c r="I1669" t="s">
        <v>10286</v>
      </c>
    </row>
    <row r="1670" spans="1:9" x14ac:dyDescent="0.2">
      <c r="A1670" t="s">
        <v>1525</v>
      </c>
      <c r="B1670" t="s">
        <v>1526</v>
      </c>
      <c r="C1670" t="s">
        <v>36</v>
      </c>
      <c r="D1670" t="s">
        <v>1528</v>
      </c>
      <c r="E1670" t="str">
        <f t="shared" ref="E1670:E1675" si="96">HYPERLINK("/pdf/2021_10.1109_infocom42981.2021.9488914_Finding_critical_files_from_a_packet.pdf","open")</f>
        <v>open</v>
      </c>
      <c r="F1670" t="s">
        <v>7119</v>
      </c>
      <c r="G1670" t="s">
        <v>7349</v>
      </c>
      <c r="H1670" t="s">
        <v>10287</v>
      </c>
      <c r="I1670" t="s">
        <v>7151</v>
      </c>
    </row>
    <row r="1671" spans="1:9" x14ac:dyDescent="0.2">
      <c r="A1671" t="s">
        <v>1525</v>
      </c>
      <c r="B1671" t="s">
        <v>1526</v>
      </c>
      <c r="C1671" t="s">
        <v>36</v>
      </c>
      <c r="D1671" t="s">
        <v>1528</v>
      </c>
      <c r="E1671" t="str">
        <f t="shared" si="96"/>
        <v>open</v>
      </c>
      <c r="F1671" t="s">
        <v>7119</v>
      </c>
      <c r="G1671" t="s">
        <v>7651</v>
      </c>
      <c r="H1671" t="s">
        <v>10288</v>
      </c>
      <c r="I1671" t="s">
        <v>10289</v>
      </c>
    </row>
    <row r="1672" spans="1:9" x14ac:dyDescent="0.2">
      <c r="A1672" t="s">
        <v>1525</v>
      </c>
      <c r="B1672" t="s">
        <v>1526</v>
      </c>
      <c r="C1672" t="s">
        <v>36</v>
      </c>
      <c r="D1672" t="s">
        <v>1528</v>
      </c>
      <c r="E1672" t="str">
        <f t="shared" si="96"/>
        <v>open</v>
      </c>
      <c r="F1672" t="s">
        <v>7119</v>
      </c>
      <c r="G1672" t="s">
        <v>10290</v>
      </c>
      <c r="H1672" t="s">
        <v>10291</v>
      </c>
      <c r="I1672" t="s">
        <v>10289</v>
      </c>
    </row>
    <row r="1673" spans="1:9" x14ac:dyDescent="0.2">
      <c r="A1673" t="s">
        <v>1525</v>
      </c>
      <c r="B1673" t="s">
        <v>1526</v>
      </c>
      <c r="C1673" t="s">
        <v>36</v>
      </c>
      <c r="D1673" t="s">
        <v>1528</v>
      </c>
      <c r="E1673" t="str">
        <f t="shared" si="96"/>
        <v>open</v>
      </c>
      <c r="F1673" t="s">
        <v>7119</v>
      </c>
      <c r="G1673" t="s">
        <v>10292</v>
      </c>
      <c r="H1673" t="s">
        <v>10293</v>
      </c>
      <c r="I1673" t="s">
        <v>10294</v>
      </c>
    </row>
    <row r="1674" spans="1:9" x14ac:dyDescent="0.2">
      <c r="A1674" t="s">
        <v>1525</v>
      </c>
      <c r="B1674" t="s">
        <v>1526</v>
      </c>
      <c r="C1674" t="s">
        <v>36</v>
      </c>
      <c r="D1674" t="s">
        <v>1528</v>
      </c>
      <c r="E1674" t="str">
        <f t="shared" si="96"/>
        <v>open</v>
      </c>
      <c r="F1674" t="s">
        <v>7130</v>
      </c>
      <c r="G1674" t="s">
        <v>1597</v>
      </c>
      <c r="I1674" t="s">
        <v>10295</v>
      </c>
    </row>
    <row r="1675" spans="1:9" x14ac:dyDescent="0.2">
      <c r="A1675" t="s">
        <v>1525</v>
      </c>
      <c r="B1675" t="s">
        <v>1526</v>
      </c>
      <c r="C1675" t="s">
        <v>36</v>
      </c>
      <c r="D1675" t="s">
        <v>1528</v>
      </c>
      <c r="E1675" t="str">
        <f t="shared" si="96"/>
        <v>open</v>
      </c>
      <c r="F1675" t="s">
        <v>7130</v>
      </c>
      <c r="G1675" t="s">
        <v>10296</v>
      </c>
      <c r="I1675" t="s">
        <v>10297</v>
      </c>
    </row>
    <row r="1676" spans="1:9" x14ac:dyDescent="0.2">
      <c r="A1676" t="s">
        <v>1530</v>
      </c>
      <c r="B1676" t="s">
        <v>541</v>
      </c>
      <c r="C1676" t="s">
        <v>25</v>
      </c>
      <c r="D1676" t="s">
        <v>540</v>
      </c>
      <c r="E1676" t="str">
        <f t="shared" ref="E1676:E1681" si="97">HYPERLINK("/pdf/2024_10_1109_tdsc_2023_3323713_leakage_of_authorization_data_in_iot_device_sharing_new_attacks_and_countermeasure.pdf","open")</f>
        <v>open</v>
      </c>
      <c r="F1676" t="s">
        <v>7119</v>
      </c>
      <c r="G1676" t="s">
        <v>10298</v>
      </c>
      <c r="H1676" t="s">
        <v>10299</v>
      </c>
      <c r="I1676" t="s">
        <v>7151</v>
      </c>
    </row>
    <row r="1677" spans="1:9" x14ac:dyDescent="0.2">
      <c r="A1677" t="s">
        <v>1530</v>
      </c>
      <c r="B1677" t="s">
        <v>541</v>
      </c>
      <c r="C1677" t="s">
        <v>25</v>
      </c>
      <c r="D1677" t="s">
        <v>540</v>
      </c>
      <c r="E1677" t="str">
        <f t="shared" si="97"/>
        <v>open</v>
      </c>
      <c r="F1677" t="s">
        <v>7119</v>
      </c>
      <c r="G1677" t="s">
        <v>10300</v>
      </c>
      <c r="H1677" t="s">
        <v>10301</v>
      </c>
      <c r="I1677" t="s">
        <v>7163</v>
      </c>
    </row>
    <row r="1678" spans="1:9" x14ac:dyDescent="0.2">
      <c r="A1678" t="s">
        <v>1530</v>
      </c>
      <c r="B1678" t="s">
        <v>541</v>
      </c>
      <c r="C1678" t="s">
        <v>25</v>
      </c>
      <c r="D1678" t="s">
        <v>540</v>
      </c>
      <c r="E1678" t="str">
        <f t="shared" si="97"/>
        <v>open</v>
      </c>
      <c r="F1678" t="s">
        <v>7119</v>
      </c>
      <c r="G1678" t="s">
        <v>10302</v>
      </c>
      <c r="H1678" t="s">
        <v>10303</v>
      </c>
      <c r="I1678" t="s">
        <v>10304</v>
      </c>
    </row>
    <row r="1679" spans="1:9" x14ac:dyDescent="0.2">
      <c r="A1679" t="s">
        <v>1530</v>
      </c>
      <c r="B1679" t="s">
        <v>541</v>
      </c>
      <c r="C1679" t="s">
        <v>25</v>
      </c>
      <c r="D1679" t="s">
        <v>540</v>
      </c>
      <c r="E1679" t="str">
        <f t="shared" si="97"/>
        <v>open</v>
      </c>
      <c r="F1679" t="s">
        <v>7119</v>
      </c>
      <c r="G1679" t="s">
        <v>7183</v>
      </c>
      <c r="H1679" t="s">
        <v>10305</v>
      </c>
      <c r="I1679" t="s">
        <v>10306</v>
      </c>
    </row>
    <row r="1680" spans="1:9" x14ac:dyDescent="0.2">
      <c r="A1680" t="s">
        <v>1530</v>
      </c>
      <c r="B1680" t="s">
        <v>541</v>
      </c>
      <c r="C1680" t="s">
        <v>25</v>
      </c>
      <c r="D1680" t="s">
        <v>540</v>
      </c>
      <c r="E1680" t="str">
        <f t="shared" si="97"/>
        <v>open</v>
      </c>
      <c r="F1680" t="s">
        <v>7130</v>
      </c>
      <c r="G1680" t="s">
        <v>1571</v>
      </c>
      <c r="I1680" t="s">
        <v>7178</v>
      </c>
    </row>
    <row r="1681" spans="1:9" x14ac:dyDescent="0.2">
      <c r="A1681" t="s">
        <v>1530</v>
      </c>
      <c r="B1681" t="s">
        <v>541</v>
      </c>
      <c r="C1681" t="s">
        <v>25</v>
      </c>
      <c r="D1681" t="s">
        <v>540</v>
      </c>
      <c r="E1681" t="str">
        <f t="shared" si="97"/>
        <v>open</v>
      </c>
      <c r="F1681" t="s">
        <v>7130</v>
      </c>
      <c r="G1681" t="s">
        <v>7183</v>
      </c>
      <c r="I1681" t="s">
        <v>8638</v>
      </c>
    </row>
    <row r="1682" spans="1:9" x14ac:dyDescent="0.2">
      <c r="A1682" t="s">
        <v>1532</v>
      </c>
      <c r="B1682" t="s">
        <v>1533</v>
      </c>
      <c r="C1682" t="s">
        <v>36</v>
      </c>
      <c r="D1682" t="s">
        <v>1535</v>
      </c>
      <c r="E1682" t="str">
        <f>HYPERLINK("/pdf/2021_10.1109_mi-sta52233.2021.9464458_Deploying_Risk_Access_Models_in_a_Cloud_Environment__Possibilities_and_Challenges.pdf","open")</f>
        <v>open</v>
      </c>
      <c r="F1682" t="s">
        <v>7119</v>
      </c>
      <c r="G1682" t="s">
        <v>10307</v>
      </c>
      <c r="H1682" t="s">
        <v>10308</v>
      </c>
      <c r="I1682" t="s">
        <v>7151</v>
      </c>
    </row>
    <row r="1683" spans="1:9" x14ac:dyDescent="0.2">
      <c r="A1683" t="s">
        <v>1532</v>
      </c>
      <c r="B1683" t="s">
        <v>1533</v>
      </c>
      <c r="C1683" t="s">
        <v>36</v>
      </c>
      <c r="D1683" t="s">
        <v>1535</v>
      </c>
      <c r="E1683" t="str">
        <f>HYPERLINK("/pdf/2021_10.1109_mi-sta52233.2021.9464458_Deploying_Risk_Access_Models_in_a_Cloud_Environment__Possibilities_and_Challenges.pdf","open")</f>
        <v>open</v>
      </c>
      <c r="F1683" t="s">
        <v>7119</v>
      </c>
      <c r="G1683" t="s">
        <v>10309</v>
      </c>
      <c r="H1683" t="s">
        <v>10310</v>
      </c>
      <c r="I1683" t="s">
        <v>7332</v>
      </c>
    </row>
    <row r="1684" spans="1:9" x14ac:dyDescent="0.2">
      <c r="A1684" t="s">
        <v>1532</v>
      </c>
      <c r="B1684" t="s">
        <v>1533</v>
      </c>
      <c r="C1684" t="s">
        <v>36</v>
      </c>
      <c r="D1684" t="s">
        <v>1535</v>
      </c>
      <c r="E1684" t="str">
        <f>HYPERLINK("/pdf/2021_10.1109_mi-sta52233.2021.9464458_Deploying_Risk_Access_Models_in_a_Cloud_Environment__Possibilities_and_Challenges.pdf","open")</f>
        <v>open</v>
      </c>
      <c r="F1684" t="s">
        <v>7119</v>
      </c>
      <c r="G1684" t="s">
        <v>10311</v>
      </c>
      <c r="H1684" t="s">
        <v>10312</v>
      </c>
      <c r="I1684" t="s">
        <v>10313</v>
      </c>
    </row>
    <row r="1685" spans="1:9" x14ac:dyDescent="0.2">
      <c r="A1685" t="s">
        <v>1532</v>
      </c>
      <c r="B1685" t="s">
        <v>1533</v>
      </c>
      <c r="C1685" t="s">
        <v>36</v>
      </c>
      <c r="D1685" t="s">
        <v>1535</v>
      </c>
      <c r="E1685" t="str">
        <f>HYPERLINK("/pdf/2021_10.1109_mi-sta52233.2021.9464458_Deploying_Risk_Access_Models_in_a_Cloud_Environment__Possibilities_and_Challenges.pdf","open")</f>
        <v>open</v>
      </c>
      <c r="F1685" t="s">
        <v>7130</v>
      </c>
      <c r="G1685" t="s">
        <v>1571</v>
      </c>
      <c r="I1685" t="s">
        <v>7158</v>
      </c>
    </row>
    <row r="1686" spans="1:9" x14ac:dyDescent="0.2">
      <c r="A1686" t="s">
        <v>1532</v>
      </c>
      <c r="B1686" t="s">
        <v>1533</v>
      </c>
      <c r="C1686" t="s">
        <v>36</v>
      </c>
      <c r="D1686" t="s">
        <v>1535</v>
      </c>
      <c r="E1686" t="str">
        <f>HYPERLINK("/pdf/2021_10.1109_mi-sta52233.2021.9464458_Deploying_Risk_Access_Models_in_a_Cloud_Environment__Possibilities_and_Challenges.pdf","open")</f>
        <v>open</v>
      </c>
      <c r="F1686" t="s">
        <v>7130</v>
      </c>
      <c r="G1686" t="s">
        <v>7159</v>
      </c>
      <c r="I1686" t="s">
        <v>10314</v>
      </c>
    </row>
    <row r="1687" spans="1:9" x14ac:dyDescent="0.2">
      <c r="A1687" t="s">
        <v>1537</v>
      </c>
      <c r="B1687" t="s">
        <v>1283</v>
      </c>
      <c r="C1687" t="s">
        <v>100</v>
      </c>
      <c r="D1687" t="s">
        <v>1285</v>
      </c>
      <c r="E1687" t="str">
        <f t="shared" ref="E1687:E1692" si="98">HYPERLINK("/pdf/2022_10_17341_gazimmfd_641580_a_new_document_classification_algorithm_against_malicious_data_leakage_attacks.pdf","open")</f>
        <v>open</v>
      </c>
      <c r="F1687" t="s">
        <v>7119</v>
      </c>
      <c r="G1687" t="s">
        <v>7173</v>
      </c>
      <c r="H1687" t="s">
        <v>10315</v>
      </c>
      <c r="I1687" t="s">
        <v>9792</v>
      </c>
    </row>
    <row r="1688" spans="1:9" x14ac:dyDescent="0.2">
      <c r="A1688" t="s">
        <v>1537</v>
      </c>
      <c r="B1688" t="s">
        <v>1283</v>
      </c>
      <c r="C1688" t="s">
        <v>100</v>
      </c>
      <c r="D1688" t="s">
        <v>1285</v>
      </c>
      <c r="E1688" t="str">
        <f t="shared" si="98"/>
        <v>open</v>
      </c>
      <c r="F1688" t="s">
        <v>7119</v>
      </c>
      <c r="G1688" t="s">
        <v>7319</v>
      </c>
      <c r="H1688" t="s">
        <v>10316</v>
      </c>
      <c r="I1688" t="s">
        <v>7151</v>
      </c>
    </row>
    <row r="1689" spans="1:9" x14ac:dyDescent="0.2">
      <c r="A1689" t="s">
        <v>1537</v>
      </c>
      <c r="B1689" t="s">
        <v>1283</v>
      </c>
      <c r="C1689" t="s">
        <v>100</v>
      </c>
      <c r="D1689" t="s">
        <v>1285</v>
      </c>
      <c r="E1689" t="str">
        <f t="shared" si="98"/>
        <v>open</v>
      </c>
      <c r="F1689" t="s">
        <v>7119</v>
      </c>
      <c r="G1689" t="s">
        <v>7380</v>
      </c>
      <c r="H1689" t="s">
        <v>10317</v>
      </c>
      <c r="I1689" t="s">
        <v>9792</v>
      </c>
    </row>
    <row r="1690" spans="1:9" x14ac:dyDescent="0.2">
      <c r="A1690" t="s">
        <v>1537</v>
      </c>
      <c r="B1690" t="s">
        <v>1283</v>
      </c>
      <c r="C1690" t="s">
        <v>100</v>
      </c>
      <c r="D1690" t="s">
        <v>1285</v>
      </c>
      <c r="E1690" t="str">
        <f t="shared" si="98"/>
        <v>open</v>
      </c>
      <c r="F1690" t="s">
        <v>7119</v>
      </c>
      <c r="G1690" t="s">
        <v>7330</v>
      </c>
      <c r="H1690" t="s">
        <v>10318</v>
      </c>
      <c r="I1690" t="s">
        <v>9792</v>
      </c>
    </row>
    <row r="1691" spans="1:9" x14ac:dyDescent="0.2">
      <c r="A1691" t="s">
        <v>1537</v>
      </c>
      <c r="B1691" t="s">
        <v>1283</v>
      </c>
      <c r="C1691" t="s">
        <v>100</v>
      </c>
      <c r="D1691" t="s">
        <v>1285</v>
      </c>
      <c r="E1691" t="str">
        <f t="shared" si="98"/>
        <v>open</v>
      </c>
      <c r="F1691" t="s">
        <v>7130</v>
      </c>
      <c r="G1691" t="s">
        <v>1584</v>
      </c>
      <c r="I1691" t="s">
        <v>9793</v>
      </c>
    </row>
    <row r="1692" spans="1:9" x14ac:dyDescent="0.2">
      <c r="A1692" t="s">
        <v>1537</v>
      </c>
      <c r="B1692" t="s">
        <v>1283</v>
      </c>
      <c r="C1692" t="s">
        <v>100</v>
      </c>
      <c r="D1692" t="s">
        <v>1285</v>
      </c>
      <c r="E1692" t="str">
        <f t="shared" si="98"/>
        <v>open</v>
      </c>
      <c r="F1692" t="s">
        <v>7130</v>
      </c>
      <c r="G1692" t="s">
        <v>1597</v>
      </c>
      <c r="I1692" t="s">
        <v>10319</v>
      </c>
    </row>
    <row r="1693" spans="1:9" x14ac:dyDescent="0.2">
      <c r="A1693" t="s">
        <v>1540</v>
      </c>
      <c r="B1693" t="s">
        <v>1541</v>
      </c>
      <c r="C1693" t="s">
        <v>100</v>
      </c>
      <c r="D1693" t="s">
        <v>1543</v>
      </c>
      <c r="E1693" t="str">
        <f>HYPERLINK("/pdf/2022_10_1109_ipsn54338_2022_00040_deepauditor_distributed_online_intrusion_detection_system_for_iot_devices_via_power_side.pdf","open")</f>
        <v>open</v>
      </c>
      <c r="F1693" t="s">
        <v>7119</v>
      </c>
      <c r="G1693" t="s">
        <v>10320</v>
      </c>
      <c r="H1693" t="s">
        <v>10321</v>
      </c>
      <c r="I1693" t="s">
        <v>7297</v>
      </c>
    </row>
    <row r="1694" spans="1:9" x14ac:dyDescent="0.2">
      <c r="A1694" t="s">
        <v>1540</v>
      </c>
      <c r="B1694" t="s">
        <v>1541</v>
      </c>
      <c r="C1694" t="s">
        <v>100</v>
      </c>
      <c r="D1694" t="s">
        <v>1543</v>
      </c>
      <c r="E1694" t="str">
        <f>HYPERLINK("/pdf/2022_10_1109_ipsn54338_2022_00040_deepauditor_distributed_online_intrusion_detection_system_for_iot_devices_via_power_side.pdf","open")</f>
        <v>open</v>
      </c>
      <c r="F1694" t="s">
        <v>7119</v>
      </c>
      <c r="G1694" t="s">
        <v>7380</v>
      </c>
      <c r="H1694" t="s">
        <v>10322</v>
      </c>
      <c r="I1694" t="s">
        <v>10323</v>
      </c>
    </row>
    <row r="1695" spans="1:9" x14ac:dyDescent="0.2">
      <c r="A1695" t="s">
        <v>1540</v>
      </c>
      <c r="B1695" t="s">
        <v>1541</v>
      </c>
      <c r="C1695" t="s">
        <v>100</v>
      </c>
      <c r="D1695" t="s">
        <v>1543</v>
      </c>
      <c r="E1695" t="str">
        <f>HYPERLINK("/pdf/2022_10_1109_ipsn54338_2022_00040_deepauditor_distributed_online_intrusion_detection_system_for_iot_devices_via_power_side.pdf","open")</f>
        <v>open</v>
      </c>
      <c r="F1695" t="s">
        <v>7119</v>
      </c>
      <c r="G1695" t="s">
        <v>10324</v>
      </c>
      <c r="H1695" t="s">
        <v>10325</v>
      </c>
      <c r="I1695" t="s">
        <v>10326</v>
      </c>
    </row>
    <row r="1696" spans="1:9" x14ac:dyDescent="0.2">
      <c r="A1696" t="s">
        <v>1540</v>
      </c>
      <c r="B1696" t="s">
        <v>1541</v>
      </c>
      <c r="C1696" t="s">
        <v>100</v>
      </c>
      <c r="D1696" t="s">
        <v>1543</v>
      </c>
      <c r="E1696" t="str">
        <f>HYPERLINK("/pdf/2022_10_1109_ipsn54338_2022_00040_deepauditor_distributed_online_intrusion_detection_system_for_iot_devices_via_power_side.pdf","open")</f>
        <v>open</v>
      </c>
      <c r="F1696" t="s">
        <v>7130</v>
      </c>
      <c r="G1696" t="s">
        <v>1584</v>
      </c>
      <c r="I1696" t="s">
        <v>10327</v>
      </c>
    </row>
    <row r="1697" spans="1:9" x14ac:dyDescent="0.2">
      <c r="A1697" t="s">
        <v>1540</v>
      </c>
      <c r="B1697" t="s">
        <v>1541</v>
      </c>
      <c r="C1697" t="s">
        <v>100</v>
      </c>
      <c r="D1697" t="s">
        <v>1543</v>
      </c>
      <c r="E1697" t="str">
        <f>HYPERLINK("/pdf/2022_10_1109_ipsn54338_2022_00040_deepauditor_distributed_online_intrusion_detection_system_for_iot_devices_via_power_side.pdf","open")</f>
        <v>open</v>
      </c>
      <c r="F1697" t="s">
        <v>7130</v>
      </c>
      <c r="G1697" t="s">
        <v>1571</v>
      </c>
      <c r="I1697" t="s">
        <v>10328</v>
      </c>
    </row>
    <row r="1698" spans="1:9" x14ac:dyDescent="0.2">
      <c r="A1698" t="s">
        <v>1545</v>
      </c>
      <c r="B1698" t="s">
        <v>1546</v>
      </c>
      <c r="C1698" t="s">
        <v>36</v>
      </c>
      <c r="D1698" t="s">
        <v>1548</v>
      </c>
      <c r="E1698" t="str">
        <f>HYPERLINK("/pdf/2021_10.1109_icsip52628.2021.9689011_A_Covert_Communication_Method_Based_on_Gradient_Model.pdf","open")</f>
        <v>open</v>
      </c>
      <c r="F1698" t="s">
        <v>7119</v>
      </c>
      <c r="G1698" t="s">
        <v>10329</v>
      </c>
      <c r="H1698" t="s">
        <v>10330</v>
      </c>
      <c r="I1698" t="s">
        <v>10331</v>
      </c>
    </row>
    <row r="1699" spans="1:9" x14ac:dyDescent="0.2">
      <c r="A1699" t="s">
        <v>1545</v>
      </c>
      <c r="B1699" t="s">
        <v>1546</v>
      </c>
      <c r="C1699" t="s">
        <v>36</v>
      </c>
      <c r="D1699" t="s">
        <v>1548</v>
      </c>
      <c r="E1699" t="str">
        <f>HYPERLINK("/pdf/2021_10.1109_icsip52628.2021.9689011_A_Covert_Communication_Method_Based_on_Gradient_Model.pdf","open")</f>
        <v>open</v>
      </c>
      <c r="F1699" t="s">
        <v>7119</v>
      </c>
      <c r="G1699" t="s">
        <v>10332</v>
      </c>
      <c r="H1699" t="s">
        <v>10333</v>
      </c>
      <c r="I1699" t="s">
        <v>10334</v>
      </c>
    </row>
    <row r="1700" spans="1:9" x14ac:dyDescent="0.2">
      <c r="A1700" t="s">
        <v>1545</v>
      </c>
      <c r="B1700" t="s">
        <v>1546</v>
      </c>
      <c r="C1700" t="s">
        <v>36</v>
      </c>
      <c r="D1700" t="s">
        <v>1548</v>
      </c>
      <c r="E1700" t="str">
        <f>HYPERLINK("/pdf/2021_10.1109_icsip52628.2021.9689011_A_Covert_Communication_Method_Based_on_Gradient_Model.pdf","open")</f>
        <v>open</v>
      </c>
      <c r="F1700" t="s">
        <v>7119</v>
      </c>
      <c r="G1700" t="s">
        <v>10335</v>
      </c>
      <c r="H1700" t="s">
        <v>10336</v>
      </c>
      <c r="I1700" t="s">
        <v>7178</v>
      </c>
    </row>
    <row r="1701" spans="1:9" x14ac:dyDescent="0.2">
      <c r="A1701" t="s">
        <v>1545</v>
      </c>
      <c r="B1701" t="s">
        <v>1546</v>
      </c>
      <c r="C1701" t="s">
        <v>36</v>
      </c>
      <c r="D1701" t="s">
        <v>1548</v>
      </c>
      <c r="E1701" t="str">
        <f>HYPERLINK("/pdf/2021_10.1109_icsip52628.2021.9689011_A_Covert_Communication_Method_Based_on_Gradient_Model.pdf","open")</f>
        <v>open</v>
      </c>
      <c r="F1701" t="s">
        <v>7130</v>
      </c>
      <c r="G1701" t="s">
        <v>7295</v>
      </c>
      <c r="I1701" t="s">
        <v>10337</v>
      </c>
    </row>
    <row r="1702" spans="1:9" x14ac:dyDescent="0.2">
      <c r="A1702" t="s">
        <v>1545</v>
      </c>
      <c r="B1702" t="s">
        <v>1546</v>
      </c>
      <c r="C1702" t="s">
        <v>36</v>
      </c>
      <c r="D1702" t="s">
        <v>1548</v>
      </c>
      <c r="E1702" t="str">
        <f>HYPERLINK("/pdf/2021_10.1109_icsip52628.2021.9689011_A_Covert_Communication_Method_Based_on_Gradient_Model.pdf","open")</f>
        <v>open</v>
      </c>
      <c r="F1702" t="s">
        <v>7130</v>
      </c>
      <c r="G1702" t="s">
        <v>7173</v>
      </c>
      <c r="I1702" t="s">
        <v>10338</v>
      </c>
    </row>
    <row r="1703" spans="1:9" x14ac:dyDescent="0.2">
      <c r="A1703" t="s">
        <v>1550</v>
      </c>
      <c r="B1703" t="s">
        <v>1551</v>
      </c>
      <c r="C1703" t="s">
        <v>25</v>
      </c>
      <c r="D1703" t="s">
        <v>148</v>
      </c>
      <c r="E1703" t="str">
        <f t="shared" ref="E1703:E1708" si="99">HYPERLINK("/pdf/2024_10_1109_tase_2023_3267034_transactive_energy_system_deployment_over_insecure_communication_links.pdf","open")</f>
        <v>open</v>
      </c>
      <c r="F1703" t="s">
        <v>7119</v>
      </c>
      <c r="G1703" t="s">
        <v>10339</v>
      </c>
      <c r="H1703" t="s">
        <v>10340</v>
      </c>
      <c r="I1703" t="s">
        <v>10341</v>
      </c>
    </row>
    <row r="1704" spans="1:9" x14ac:dyDescent="0.2">
      <c r="A1704" t="s">
        <v>1550</v>
      </c>
      <c r="B1704" t="s">
        <v>1551</v>
      </c>
      <c r="C1704" t="s">
        <v>25</v>
      </c>
      <c r="D1704" t="s">
        <v>148</v>
      </c>
      <c r="E1704" t="str">
        <f t="shared" si="99"/>
        <v>open</v>
      </c>
      <c r="F1704" t="s">
        <v>7119</v>
      </c>
      <c r="G1704" t="s">
        <v>10342</v>
      </c>
      <c r="H1704" t="s">
        <v>10343</v>
      </c>
      <c r="I1704" t="s">
        <v>10344</v>
      </c>
    </row>
    <row r="1705" spans="1:9" x14ac:dyDescent="0.2">
      <c r="A1705" t="s">
        <v>1550</v>
      </c>
      <c r="B1705" t="s">
        <v>1551</v>
      </c>
      <c r="C1705" t="s">
        <v>25</v>
      </c>
      <c r="D1705" t="s">
        <v>148</v>
      </c>
      <c r="E1705" t="str">
        <f t="shared" si="99"/>
        <v>open</v>
      </c>
      <c r="F1705" t="s">
        <v>7119</v>
      </c>
      <c r="G1705" t="s">
        <v>10345</v>
      </c>
      <c r="H1705" t="s">
        <v>10346</v>
      </c>
      <c r="I1705" t="s">
        <v>10347</v>
      </c>
    </row>
    <row r="1706" spans="1:9" x14ac:dyDescent="0.2">
      <c r="A1706" t="s">
        <v>1550</v>
      </c>
      <c r="B1706" t="s">
        <v>1551</v>
      </c>
      <c r="C1706" t="s">
        <v>25</v>
      </c>
      <c r="D1706" t="s">
        <v>148</v>
      </c>
      <c r="E1706" t="str">
        <f t="shared" si="99"/>
        <v>open</v>
      </c>
      <c r="F1706" t="s">
        <v>7119</v>
      </c>
      <c r="G1706" t="s">
        <v>10348</v>
      </c>
      <c r="H1706" t="s">
        <v>10349</v>
      </c>
      <c r="I1706" t="s">
        <v>10350</v>
      </c>
    </row>
    <row r="1707" spans="1:9" x14ac:dyDescent="0.2">
      <c r="A1707" t="s">
        <v>1550</v>
      </c>
      <c r="B1707" t="s">
        <v>1551</v>
      </c>
      <c r="C1707" t="s">
        <v>25</v>
      </c>
      <c r="D1707" t="s">
        <v>148</v>
      </c>
      <c r="E1707" t="str">
        <f t="shared" si="99"/>
        <v>open</v>
      </c>
      <c r="F1707" t="s">
        <v>7130</v>
      </c>
      <c r="G1707" t="s">
        <v>1571</v>
      </c>
      <c r="I1707" t="s">
        <v>10351</v>
      </c>
    </row>
    <row r="1708" spans="1:9" x14ac:dyDescent="0.2">
      <c r="A1708" t="s">
        <v>1550</v>
      </c>
      <c r="B1708" t="s">
        <v>1551</v>
      </c>
      <c r="C1708" t="s">
        <v>25</v>
      </c>
      <c r="D1708" t="s">
        <v>148</v>
      </c>
      <c r="E1708" t="str">
        <f t="shared" si="99"/>
        <v>open</v>
      </c>
      <c r="F1708" t="s">
        <v>7130</v>
      </c>
      <c r="G1708" t="s">
        <v>1592</v>
      </c>
      <c r="I1708" t="s">
        <v>10352</v>
      </c>
    </row>
    <row r="1709" spans="1:9" x14ac:dyDescent="0.2">
      <c r="A1709" t="s">
        <v>1554</v>
      </c>
      <c r="B1709" t="s">
        <v>1555</v>
      </c>
      <c r="C1709" t="s">
        <v>36</v>
      </c>
      <c r="D1709" t="s">
        <v>1557</v>
      </c>
      <c r="E1709" t="str">
        <f>HYPERLINK("/pdf/2021_10.1145_3503823.3503886_Uncuffed__A_Blockchain-based_Secure_Messaging_System.pdf","open")</f>
        <v>open</v>
      </c>
      <c r="F1709" t="s">
        <v>7119</v>
      </c>
      <c r="G1709" t="s">
        <v>10353</v>
      </c>
      <c r="H1709" t="s">
        <v>10354</v>
      </c>
      <c r="I1709" t="s">
        <v>10355</v>
      </c>
    </row>
    <row r="1710" spans="1:9" x14ac:dyDescent="0.2">
      <c r="A1710" t="s">
        <v>1554</v>
      </c>
      <c r="B1710" t="s">
        <v>1555</v>
      </c>
      <c r="C1710" t="s">
        <v>36</v>
      </c>
      <c r="D1710" t="s">
        <v>1557</v>
      </c>
      <c r="E1710" t="str">
        <f>HYPERLINK("/pdf/2021_10.1145_3503823.3503886_Uncuffed__A_Blockchain-based_Secure_Messaging_System.pdf","open")</f>
        <v>open</v>
      </c>
      <c r="F1710" t="s">
        <v>7119</v>
      </c>
      <c r="G1710" t="s">
        <v>7124</v>
      </c>
      <c r="H1710" t="s">
        <v>10356</v>
      </c>
      <c r="I1710" t="s">
        <v>10357</v>
      </c>
    </row>
    <row r="1711" spans="1:9" x14ac:dyDescent="0.2">
      <c r="A1711" t="s">
        <v>1554</v>
      </c>
      <c r="B1711" t="s">
        <v>1555</v>
      </c>
      <c r="C1711" t="s">
        <v>36</v>
      </c>
      <c r="D1711" t="s">
        <v>1557</v>
      </c>
      <c r="E1711" t="str">
        <f>HYPERLINK("/pdf/2021_10.1145_3503823.3503886_Uncuffed__A_Blockchain-based_Secure_Messaging_System.pdf","open")</f>
        <v>open</v>
      </c>
      <c r="F1711" t="s">
        <v>7119</v>
      </c>
      <c r="G1711" t="s">
        <v>10358</v>
      </c>
      <c r="H1711" t="s">
        <v>10359</v>
      </c>
      <c r="I1711" t="s">
        <v>10360</v>
      </c>
    </row>
    <row r="1712" spans="1:9" x14ac:dyDescent="0.2">
      <c r="A1712" t="s">
        <v>1554</v>
      </c>
      <c r="B1712" t="s">
        <v>1555</v>
      </c>
      <c r="C1712" t="s">
        <v>36</v>
      </c>
      <c r="D1712" t="s">
        <v>1557</v>
      </c>
      <c r="E1712" t="str">
        <f>HYPERLINK("/pdf/2021_10.1145_3503823.3503886_Uncuffed__A_Blockchain-based_Secure_Messaging_System.pdf","open")</f>
        <v>open</v>
      </c>
      <c r="F1712" t="s">
        <v>7130</v>
      </c>
      <c r="G1712" t="s">
        <v>10361</v>
      </c>
      <c r="I1712" t="s">
        <v>10362</v>
      </c>
    </row>
    <row r="1713" spans="1:9" x14ac:dyDescent="0.2">
      <c r="A1713" t="s">
        <v>1559</v>
      </c>
      <c r="B1713" t="s">
        <v>337</v>
      </c>
      <c r="C1713" t="s">
        <v>19</v>
      </c>
      <c r="D1713" t="s">
        <v>1560</v>
      </c>
      <c r="E1713" t="str">
        <f>HYPERLINK("/pdf/2025_10_1007_s13198_025_03013_x_mobile_network_intelligent_recommendation_based_on_data_mining_and_network_secur.pdf","open")</f>
        <v>open</v>
      </c>
      <c r="F1713" t="s">
        <v>7119</v>
      </c>
      <c r="G1713" t="s">
        <v>10363</v>
      </c>
      <c r="H1713" t="s">
        <v>10364</v>
      </c>
      <c r="I1713" t="s">
        <v>10365</v>
      </c>
    </row>
    <row r="1714" spans="1:9" x14ac:dyDescent="0.2">
      <c r="A1714" t="s">
        <v>1559</v>
      </c>
      <c r="B1714" t="s">
        <v>337</v>
      </c>
      <c r="C1714" t="s">
        <v>19</v>
      </c>
      <c r="D1714" t="s">
        <v>1560</v>
      </c>
      <c r="E1714" t="str">
        <f>HYPERLINK("/pdf/2025_10_1007_s13198_025_03013_x_mobile_network_intelligent_recommendation_based_on_data_mining_and_network_secur.pdf","open")</f>
        <v>open</v>
      </c>
      <c r="F1714" t="s">
        <v>7119</v>
      </c>
      <c r="G1714" t="s">
        <v>10366</v>
      </c>
      <c r="H1714" t="s">
        <v>10367</v>
      </c>
      <c r="I1714" t="s">
        <v>7151</v>
      </c>
    </row>
    <row r="1715" spans="1:9" x14ac:dyDescent="0.2">
      <c r="A1715" t="s">
        <v>1559</v>
      </c>
      <c r="B1715" t="s">
        <v>337</v>
      </c>
      <c r="C1715" t="s">
        <v>19</v>
      </c>
      <c r="D1715" t="s">
        <v>1560</v>
      </c>
      <c r="E1715" t="str">
        <f>HYPERLINK("/pdf/2025_10_1007_s13198_025_03013_x_mobile_network_intelligent_recommendation_based_on_data_mining_and_network_secur.pdf","open")</f>
        <v>open</v>
      </c>
      <c r="F1715" t="s">
        <v>7119</v>
      </c>
      <c r="G1715" t="s">
        <v>10368</v>
      </c>
      <c r="H1715" t="s">
        <v>10369</v>
      </c>
      <c r="I1715" t="s">
        <v>7151</v>
      </c>
    </row>
    <row r="1716" spans="1:9" x14ac:dyDescent="0.2">
      <c r="A1716" t="s">
        <v>1559</v>
      </c>
      <c r="B1716" t="s">
        <v>337</v>
      </c>
      <c r="C1716" t="s">
        <v>19</v>
      </c>
      <c r="D1716" t="s">
        <v>1560</v>
      </c>
      <c r="E1716" t="str">
        <f>HYPERLINK("/pdf/2025_10_1007_s13198_025_03013_x_mobile_network_intelligent_recommendation_based_on_data_mining_and_network_secur.pdf","open")</f>
        <v>open</v>
      </c>
      <c r="F1716" t="s">
        <v>7130</v>
      </c>
      <c r="G1716" t="s">
        <v>1571</v>
      </c>
      <c r="I1716" t="s">
        <v>7178</v>
      </c>
    </row>
    <row r="1717" spans="1:9" x14ac:dyDescent="0.2">
      <c r="A1717" t="s">
        <v>1559</v>
      </c>
      <c r="B1717" t="s">
        <v>337</v>
      </c>
      <c r="C1717" t="s">
        <v>19</v>
      </c>
      <c r="D1717" t="s">
        <v>1560</v>
      </c>
      <c r="E1717" t="str">
        <f>HYPERLINK("/pdf/2025_10_1007_s13198_025_03013_x_mobile_network_intelligent_recommendation_based_on_data_mining_and_network_secur.pdf","open")</f>
        <v>open</v>
      </c>
      <c r="F1717" t="s">
        <v>7130</v>
      </c>
      <c r="G1717" t="s">
        <v>7200</v>
      </c>
      <c r="I1717" t="s">
        <v>7839</v>
      </c>
    </row>
    <row r="1718" spans="1:9" x14ac:dyDescent="0.2">
      <c r="A1718" t="s">
        <v>1562</v>
      </c>
      <c r="B1718" t="s">
        <v>59</v>
      </c>
      <c r="C1718" t="s">
        <v>60</v>
      </c>
      <c r="D1718" t="s">
        <v>62</v>
      </c>
      <c r="E1718" t="str">
        <f>HYPERLINK("/pdf/2024_10_17770_etr2024vol2_8062_management_approaches_and_application_areas_of_information_security_in_organizat.pdf","open")</f>
        <v>open</v>
      </c>
      <c r="F1718" t="s">
        <v>7119</v>
      </c>
      <c r="G1718" t="s">
        <v>10370</v>
      </c>
      <c r="H1718" t="s">
        <v>10371</v>
      </c>
      <c r="I1718" t="s">
        <v>7313</v>
      </c>
    </row>
    <row r="1719" spans="1:9" x14ac:dyDescent="0.2">
      <c r="A1719" t="s">
        <v>1562</v>
      </c>
      <c r="B1719" t="s">
        <v>59</v>
      </c>
      <c r="C1719" t="s">
        <v>60</v>
      </c>
      <c r="D1719" t="s">
        <v>62</v>
      </c>
      <c r="E1719" t="str">
        <f>HYPERLINK("/pdf/2024_10_17770_etr2024vol2_8062_management_approaches_and_application_areas_of_information_security_in_organizat.pdf","open")</f>
        <v>open</v>
      </c>
      <c r="F1719" t="s">
        <v>7119</v>
      </c>
      <c r="G1719" t="s">
        <v>10372</v>
      </c>
      <c r="H1719" t="s">
        <v>10373</v>
      </c>
      <c r="I1719" t="s">
        <v>7225</v>
      </c>
    </row>
    <row r="1720" spans="1:9" x14ac:dyDescent="0.2">
      <c r="A1720" t="s">
        <v>1562</v>
      </c>
      <c r="B1720" t="s">
        <v>59</v>
      </c>
      <c r="C1720" t="s">
        <v>60</v>
      </c>
      <c r="D1720" t="s">
        <v>62</v>
      </c>
      <c r="E1720" t="str">
        <f>HYPERLINK("/pdf/2024_10_17770_etr2024vol2_8062_management_approaches_and_application_areas_of_information_security_in_organizat.pdf","open")</f>
        <v>open</v>
      </c>
      <c r="F1720" t="s">
        <v>7119</v>
      </c>
      <c r="G1720" t="s">
        <v>10374</v>
      </c>
      <c r="H1720" t="s">
        <v>10375</v>
      </c>
      <c r="I1720" t="s">
        <v>7313</v>
      </c>
    </row>
    <row r="1721" spans="1:9" x14ac:dyDescent="0.2">
      <c r="A1721" t="s">
        <v>1562</v>
      </c>
      <c r="B1721" t="s">
        <v>59</v>
      </c>
      <c r="C1721" t="s">
        <v>60</v>
      </c>
      <c r="D1721" t="s">
        <v>62</v>
      </c>
      <c r="E1721" t="str">
        <f>HYPERLINK("/pdf/2024_10_17770_etr2024vol2_8062_management_approaches_and_application_areas_of_information_security_in_organizat.pdf","open")</f>
        <v>open</v>
      </c>
      <c r="F1721" t="s">
        <v>7130</v>
      </c>
      <c r="G1721" t="s">
        <v>1571</v>
      </c>
      <c r="I1721" t="s">
        <v>7178</v>
      </c>
    </row>
    <row r="1722" spans="1:9" x14ac:dyDescent="0.2">
      <c r="A1722" t="s">
        <v>1562</v>
      </c>
      <c r="B1722" t="s">
        <v>59</v>
      </c>
      <c r="C1722" t="s">
        <v>60</v>
      </c>
      <c r="D1722" t="s">
        <v>62</v>
      </c>
      <c r="E1722" t="str">
        <f>HYPERLINK("/pdf/2024_10_17770_etr2024vol2_8062_management_approaches_and_application_areas_of_information_security_in_organizat.pdf","open")</f>
        <v>open</v>
      </c>
      <c r="F1722" t="s">
        <v>7130</v>
      </c>
      <c r="G1722" t="s">
        <v>7159</v>
      </c>
      <c r="I1722" t="s">
        <v>10376</v>
      </c>
    </row>
    <row r="1723" spans="1:9" x14ac:dyDescent="0.2">
      <c r="A1723" t="s">
        <v>1565</v>
      </c>
      <c r="B1723" t="s">
        <v>1566</v>
      </c>
      <c r="C1723" t="s">
        <v>60</v>
      </c>
      <c r="D1723" t="s">
        <v>1417</v>
      </c>
      <c r="E1723" t="str">
        <f>HYPERLINK("/pdf/2024_10_17770_etr2024vol2_8045_data_leakage_prevention_and_detection_in_digital_configurations_a_survey.pdf","open")</f>
        <v>open</v>
      </c>
      <c r="F1723" t="s">
        <v>7119</v>
      </c>
      <c r="G1723" t="s">
        <v>7593</v>
      </c>
      <c r="H1723" t="s">
        <v>10060</v>
      </c>
      <c r="I1723" t="s">
        <v>10377</v>
      </c>
    </row>
    <row r="1724" spans="1:9" x14ac:dyDescent="0.2">
      <c r="A1724" t="s">
        <v>1565</v>
      </c>
      <c r="B1724" t="s">
        <v>1566</v>
      </c>
      <c r="C1724" t="s">
        <v>60</v>
      </c>
      <c r="D1724" t="s">
        <v>1417</v>
      </c>
      <c r="E1724" t="str">
        <f>HYPERLINK("/pdf/2024_10_17770_etr2024vol2_8045_data_leakage_prevention_and_detection_in_digital_configurations_a_survey.pdf","open")</f>
        <v>open</v>
      </c>
      <c r="F1724" t="s">
        <v>7119</v>
      </c>
      <c r="G1724" t="s">
        <v>10378</v>
      </c>
      <c r="H1724" t="s">
        <v>10379</v>
      </c>
      <c r="I1724" t="s">
        <v>10380</v>
      </c>
    </row>
    <row r="1725" spans="1:9" x14ac:dyDescent="0.2">
      <c r="A1725" t="s">
        <v>1565</v>
      </c>
      <c r="B1725" t="s">
        <v>1566</v>
      </c>
      <c r="C1725" t="s">
        <v>60</v>
      </c>
      <c r="D1725" t="s">
        <v>1417</v>
      </c>
      <c r="E1725" t="str">
        <f>HYPERLINK("/pdf/2024_10_17770_etr2024vol2_8045_data_leakage_prevention_and_detection_in_digital_configurations_a_survey.pdf","open")</f>
        <v>open</v>
      </c>
      <c r="F1725" t="s">
        <v>7119</v>
      </c>
      <c r="G1725" t="s">
        <v>10381</v>
      </c>
      <c r="H1725" t="s">
        <v>10382</v>
      </c>
      <c r="I1725" t="s">
        <v>10383</v>
      </c>
    </row>
    <row r="1726" spans="1:9" x14ac:dyDescent="0.2">
      <c r="A1726" t="s">
        <v>1565</v>
      </c>
      <c r="B1726" t="s">
        <v>1566</v>
      </c>
      <c r="C1726" t="s">
        <v>60</v>
      </c>
      <c r="D1726" t="s">
        <v>1417</v>
      </c>
      <c r="E1726" t="str">
        <f>HYPERLINK("/pdf/2024_10_17770_etr2024vol2_8045_data_leakage_prevention_and_detection_in_digital_configurations_a_survey.pdf","open")</f>
        <v>open</v>
      </c>
      <c r="F1726" t="s">
        <v>7130</v>
      </c>
      <c r="G1726" t="s">
        <v>7317</v>
      </c>
      <c r="I1726" t="s">
        <v>10384</v>
      </c>
    </row>
    <row r="1727" spans="1:9" x14ac:dyDescent="0.2">
      <c r="A1727" t="s">
        <v>1565</v>
      </c>
      <c r="B1727" t="s">
        <v>1566</v>
      </c>
      <c r="C1727" t="s">
        <v>60</v>
      </c>
      <c r="D1727" t="s">
        <v>1417</v>
      </c>
      <c r="E1727" t="str">
        <f>HYPERLINK("/pdf/2024_10_17770_etr2024vol2_8045_data_leakage_prevention_and_detection_in_digital_configurations_a_survey.pdf","open")</f>
        <v>open</v>
      </c>
      <c r="F1727" t="s">
        <v>7130</v>
      </c>
      <c r="G1727" t="s">
        <v>10385</v>
      </c>
      <c r="I1727" t="s">
        <v>8888</v>
      </c>
    </row>
    <row r="1728" spans="1:9" x14ac:dyDescent="0.2">
      <c r="A1728" t="s">
        <v>34</v>
      </c>
      <c r="B1728" t="s">
        <v>35</v>
      </c>
      <c r="C1728" t="s">
        <v>36</v>
      </c>
      <c r="D1728" t="s">
        <v>38</v>
      </c>
      <c r="E1728" t="str">
        <f t="shared" ref="E1728:E1733" si="100">HYPERLINK("/pdf/2021_10_32604_cmc_2021_016626_an_optimal_big_data_analytics_with_concept_drift_detection_on_high_dimensional_s.pdf","open")</f>
        <v>open</v>
      </c>
      <c r="F1728" t="s">
        <v>7119</v>
      </c>
      <c r="G1728" t="s">
        <v>10386</v>
      </c>
      <c r="H1728" t="s">
        <v>10387</v>
      </c>
      <c r="I1728" t="s">
        <v>10388</v>
      </c>
    </row>
    <row r="1729" spans="1:9" x14ac:dyDescent="0.2">
      <c r="A1729" t="s">
        <v>34</v>
      </c>
      <c r="B1729" t="s">
        <v>35</v>
      </c>
      <c r="C1729" t="s">
        <v>36</v>
      </c>
      <c r="D1729" t="s">
        <v>38</v>
      </c>
      <c r="E1729" t="str">
        <f t="shared" si="100"/>
        <v>open</v>
      </c>
      <c r="F1729" t="s">
        <v>7119</v>
      </c>
      <c r="G1729" t="s">
        <v>10389</v>
      </c>
      <c r="H1729" t="s">
        <v>10390</v>
      </c>
      <c r="I1729" t="s">
        <v>10391</v>
      </c>
    </row>
    <row r="1730" spans="1:9" x14ac:dyDescent="0.2">
      <c r="A1730" t="s">
        <v>34</v>
      </c>
      <c r="B1730" t="s">
        <v>35</v>
      </c>
      <c r="C1730" t="s">
        <v>36</v>
      </c>
      <c r="D1730" t="s">
        <v>38</v>
      </c>
      <c r="E1730" t="str">
        <f t="shared" si="100"/>
        <v>open</v>
      </c>
      <c r="F1730" t="s">
        <v>7119</v>
      </c>
      <c r="G1730" t="s">
        <v>10392</v>
      </c>
      <c r="H1730" t="s">
        <v>10393</v>
      </c>
      <c r="I1730" t="s">
        <v>10394</v>
      </c>
    </row>
    <row r="1731" spans="1:9" x14ac:dyDescent="0.2">
      <c r="A1731" t="s">
        <v>34</v>
      </c>
      <c r="B1731" t="s">
        <v>35</v>
      </c>
      <c r="C1731" t="s">
        <v>36</v>
      </c>
      <c r="D1731" t="s">
        <v>38</v>
      </c>
      <c r="E1731" t="str">
        <f t="shared" si="100"/>
        <v>open</v>
      </c>
      <c r="F1731" t="s">
        <v>7119</v>
      </c>
      <c r="G1731" t="s">
        <v>10395</v>
      </c>
      <c r="H1731" t="s">
        <v>10396</v>
      </c>
      <c r="I1731" t="s">
        <v>10397</v>
      </c>
    </row>
    <row r="1732" spans="1:9" x14ac:dyDescent="0.2">
      <c r="A1732" t="s">
        <v>34</v>
      </c>
      <c r="B1732" t="s">
        <v>35</v>
      </c>
      <c r="C1732" t="s">
        <v>36</v>
      </c>
      <c r="D1732" t="s">
        <v>38</v>
      </c>
      <c r="E1732" t="str">
        <f t="shared" si="100"/>
        <v>open</v>
      </c>
      <c r="F1732" t="s">
        <v>7130</v>
      </c>
      <c r="G1732" t="s">
        <v>10398</v>
      </c>
      <c r="I1732" t="s">
        <v>10399</v>
      </c>
    </row>
    <row r="1733" spans="1:9" x14ac:dyDescent="0.2">
      <c r="A1733" t="s">
        <v>34</v>
      </c>
      <c r="B1733" t="s">
        <v>35</v>
      </c>
      <c r="C1733" t="s">
        <v>36</v>
      </c>
      <c r="D1733" t="s">
        <v>38</v>
      </c>
      <c r="E1733" t="str">
        <f t="shared" si="100"/>
        <v>open</v>
      </c>
      <c r="F1733" t="s">
        <v>7130</v>
      </c>
      <c r="G1733" t="s">
        <v>10220</v>
      </c>
      <c r="I1733" t="s">
        <v>10400</v>
      </c>
    </row>
    <row r="1734" spans="1:9" x14ac:dyDescent="0.2">
      <c r="A1734" t="s">
        <v>69</v>
      </c>
      <c r="B1734" t="s">
        <v>70</v>
      </c>
      <c r="C1734" t="s">
        <v>25</v>
      </c>
      <c r="D1734" t="s">
        <v>72</v>
      </c>
      <c r="E1734" t="str">
        <f>HYPERLINK("/pdf/2023_10_7717_peerj_cs_1543_scheduling_algorithms_for_data_protection_based_on_security_classification_const.pdf","open")</f>
        <v>open</v>
      </c>
      <c r="F1734" t="s">
        <v>7119</v>
      </c>
      <c r="G1734" t="s">
        <v>10401</v>
      </c>
      <c r="H1734" t="s">
        <v>10402</v>
      </c>
      <c r="I1734" t="s">
        <v>8082</v>
      </c>
    </row>
    <row r="1735" spans="1:9" x14ac:dyDescent="0.2">
      <c r="A1735" t="s">
        <v>69</v>
      </c>
      <c r="B1735" t="s">
        <v>70</v>
      </c>
      <c r="C1735" t="s">
        <v>25</v>
      </c>
      <c r="D1735" t="s">
        <v>72</v>
      </c>
      <c r="E1735" t="str">
        <f>HYPERLINK("/pdf/2023_10_7717_peerj_cs_1543_scheduling_algorithms_for_data_protection_based_on_security_classification_const.pdf","open")</f>
        <v>open</v>
      </c>
      <c r="F1735" t="s">
        <v>7119</v>
      </c>
      <c r="G1735" t="s">
        <v>10403</v>
      </c>
      <c r="H1735" t="s">
        <v>10404</v>
      </c>
      <c r="I1735" t="s">
        <v>10405</v>
      </c>
    </row>
    <row r="1736" spans="1:9" x14ac:dyDescent="0.2">
      <c r="A1736" t="s">
        <v>69</v>
      </c>
      <c r="B1736" t="s">
        <v>70</v>
      </c>
      <c r="C1736" t="s">
        <v>25</v>
      </c>
      <c r="D1736" t="s">
        <v>72</v>
      </c>
      <c r="E1736" t="str">
        <f>HYPERLINK("/pdf/2023_10_7717_peerj_cs_1543_scheduling_algorithms_for_data_protection_based_on_security_classification_const.pdf","open")</f>
        <v>open</v>
      </c>
      <c r="F1736" t="s">
        <v>7119</v>
      </c>
      <c r="G1736" t="s">
        <v>10406</v>
      </c>
      <c r="H1736" t="s">
        <v>10407</v>
      </c>
      <c r="I1736" t="s">
        <v>10408</v>
      </c>
    </row>
    <row r="1737" spans="1:9" x14ac:dyDescent="0.2">
      <c r="A1737" t="s">
        <v>69</v>
      </c>
      <c r="B1737" t="s">
        <v>70</v>
      </c>
      <c r="C1737" t="s">
        <v>25</v>
      </c>
      <c r="D1737" t="s">
        <v>72</v>
      </c>
      <c r="E1737" t="str">
        <f>HYPERLINK("/pdf/2023_10_7717_peerj_cs_1543_scheduling_algorithms_for_data_protection_based_on_security_classification_const.pdf","open")</f>
        <v>open</v>
      </c>
      <c r="F1737" t="s">
        <v>7130</v>
      </c>
      <c r="G1737" t="s">
        <v>1571</v>
      </c>
      <c r="I1737" t="s">
        <v>7158</v>
      </c>
    </row>
    <row r="1738" spans="1:9" x14ac:dyDescent="0.2">
      <c r="A1738" t="s">
        <v>69</v>
      </c>
      <c r="B1738" t="s">
        <v>70</v>
      </c>
      <c r="C1738" t="s">
        <v>25</v>
      </c>
      <c r="D1738" t="s">
        <v>72</v>
      </c>
      <c r="E1738" t="str">
        <f>HYPERLINK("/pdf/2023_10_7717_peerj_cs_1543_scheduling_algorithms_for_data_protection_based_on_security_classification_const.pdf","open")</f>
        <v>open</v>
      </c>
      <c r="F1738" t="s">
        <v>7130</v>
      </c>
      <c r="G1738" t="s">
        <v>1592</v>
      </c>
      <c r="I1738" t="s">
        <v>7248</v>
      </c>
    </row>
    <row r="1739" spans="1:9" x14ac:dyDescent="0.2">
      <c r="A1739" t="s">
        <v>1554</v>
      </c>
      <c r="B1739" t="s">
        <v>1555</v>
      </c>
      <c r="C1739" t="s">
        <v>36</v>
      </c>
      <c r="D1739" t="s">
        <v>1557</v>
      </c>
      <c r="E1739" t="str">
        <f>HYPERLINK("/pdf/2021_10_1145_3503823_3503886_uncuffed_a_blockchain_based_secure_messaging_system.pdf","open")</f>
        <v>open</v>
      </c>
      <c r="F1739" t="s">
        <v>7119</v>
      </c>
      <c r="G1739" t="s">
        <v>10409</v>
      </c>
      <c r="H1739" t="s">
        <v>10410</v>
      </c>
      <c r="I1739" t="s">
        <v>7178</v>
      </c>
    </row>
    <row r="1740" spans="1:9" x14ac:dyDescent="0.2">
      <c r="A1740" t="s">
        <v>1554</v>
      </c>
      <c r="B1740" t="s">
        <v>1555</v>
      </c>
      <c r="C1740" t="s">
        <v>36</v>
      </c>
      <c r="D1740" t="s">
        <v>1557</v>
      </c>
      <c r="E1740" t="str">
        <f>HYPERLINK("/pdf/2021_10_1145_3503823_3503886_uncuffed_a_blockchain_based_secure_messaging_system.pdf","open")</f>
        <v>open</v>
      </c>
      <c r="F1740" t="s">
        <v>7119</v>
      </c>
      <c r="G1740" t="s">
        <v>10411</v>
      </c>
      <c r="H1740" t="s">
        <v>10412</v>
      </c>
      <c r="I1740" t="s">
        <v>10413</v>
      </c>
    </row>
    <row r="1741" spans="1:9" x14ac:dyDescent="0.2">
      <c r="A1741" t="s">
        <v>1554</v>
      </c>
      <c r="B1741" t="s">
        <v>1555</v>
      </c>
      <c r="C1741" t="s">
        <v>36</v>
      </c>
      <c r="D1741" t="s">
        <v>1557</v>
      </c>
      <c r="E1741" t="str">
        <f>HYPERLINK("/pdf/2021_10_1145_3503823_3503886_uncuffed_a_blockchain_based_secure_messaging_system.pdf","open")</f>
        <v>open</v>
      </c>
      <c r="F1741" t="s">
        <v>7119</v>
      </c>
      <c r="G1741" t="s">
        <v>7124</v>
      </c>
      <c r="H1741" t="s">
        <v>10356</v>
      </c>
      <c r="I1741" t="s">
        <v>10414</v>
      </c>
    </row>
    <row r="1742" spans="1:9" x14ac:dyDescent="0.2">
      <c r="A1742" t="s">
        <v>1554</v>
      </c>
      <c r="B1742" t="s">
        <v>1555</v>
      </c>
      <c r="C1742" t="s">
        <v>36</v>
      </c>
      <c r="D1742" t="s">
        <v>1557</v>
      </c>
      <c r="E1742" t="str">
        <f>HYPERLINK("/pdf/2021_10_1145_3503823_3503886_uncuffed_a_blockchain_based_secure_messaging_system.pdf","open")</f>
        <v>open</v>
      </c>
      <c r="F1742" t="s">
        <v>7119</v>
      </c>
      <c r="G1742" t="s">
        <v>10415</v>
      </c>
      <c r="H1742" t="s">
        <v>10416</v>
      </c>
      <c r="I1742" t="s">
        <v>7178</v>
      </c>
    </row>
    <row r="1743" spans="1:9" x14ac:dyDescent="0.2">
      <c r="A1743" t="s">
        <v>1554</v>
      </c>
      <c r="B1743" t="s">
        <v>1555</v>
      </c>
      <c r="C1743" t="s">
        <v>36</v>
      </c>
      <c r="D1743" t="s">
        <v>1557</v>
      </c>
      <c r="E1743" t="str">
        <f>HYPERLINK("/pdf/2021_10_1145_3503823_3503886_uncuffed_a_blockchain_based_secure_messaging_system.pdf","open")</f>
        <v>open</v>
      </c>
      <c r="F1743" t="s">
        <v>7130</v>
      </c>
      <c r="G1743" t="s">
        <v>1596</v>
      </c>
      <c r="I1743" t="s">
        <v>10417</v>
      </c>
    </row>
  </sheetData>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54"/>
  <sheetViews>
    <sheetView workbookViewId="0">
      <pane ySplit="1" topLeftCell="A2" activePane="bottomLeft" state="frozen"/>
      <selection pane="bottomLeft"/>
    </sheetView>
  </sheetViews>
  <sheetFormatPr baseColWidth="10" defaultColWidth="8.83203125" defaultRowHeight="15" x14ac:dyDescent="0.2"/>
  <cols>
    <col min="1" max="5" width="12" customWidth="1"/>
    <col min="6" max="6" width="23" customWidth="1"/>
    <col min="7" max="7" width="28" customWidth="1"/>
    <col min="8" max="8" width="20" customWidth="1"/>
  </cols>
  <sheetData>
    <row r="1" spans="1:8" ht="16" x14ac:dyDescent="0.2">
      <c r="A1" s="1" t="s">
        <v>0</v>
      </c>
      <c r="B1" s="1" t="s">
        <v>1</v>
      </c>
      <c r="C1" s="1" t="s">
        <v>2</v>
      </c>
      <c r="D1" s="1" t="s">
        <v>4</v>
      </c>
      <c r="E1" s="1" t="s">
        <v>6</v>
      </c>
      <c r="F1" s="1" t="s">
        <v>7</v>
      </c>
      <c r="G1" s="1" t="s">
        <v>10418</v>
      </c>
      <c r="H1" s="1" t="s">
        <v>8</v>
      </c>
    </row>
    <row r="2" spans="1:8" x14ac:dyDescent="0.2">
      <c r="A2" t="s">
        <v>10</v>
      </c>
      <c r="B2" t="s">
        <v>11</v>
      </c>
      <c r="C2" t="s">
        <v>12</v>
      </c>
      <c r="D2" t="s">
        <v>14</v>
      </c>
      <c r="E2" t="str">
        <f>HYPERLINK("/pdf/2018_10_1007_978_1_4842_3700_7_defending_iot_infrastructures_with_the_raspberry_pi_monitoring_and_detecting_ne.pdf","open")</f>
        <v>open</v>
      </c>
      <c r="F2" t="s">
        <v>15</v>
      </c>
      <c r="G2" t="s">
        <v>10419</v>
      </c>
      <c r="H2" t="b">
        <v>0</v>
      </c>
    </row>
    <row r="3" spans="1:8" x14ac:dyDescent="0.2">
      <c r="A3" t="s">
        <v>17</v>
      </c>
      <c r="B3" t="s">
        <v>18</v>
      </c>
      <c r="C3" t="s">
        <v>19</v>
      </c>
      <c r="D3" t="s">
        <v>21</v>
      </c>
      <c r="E3" t="str">
        <f>HYPERLINK("/pdf/2025_10.1109_ecce64574.2025.11013816_Intrusion_Detection_System_on_IoT_Devices_via_Federated_Learning.pdf","open")</f>
        <v>open</v>
      </c>
      <c r="F3" t="s">
        <v>15</v>
      </c>
      <c r="G3" t="s">
        <v>148</v>
      </c>
      <c r="H3" t="b">
        <v>0</v>
      </c>
    </row>
    <row r="4" spans="1:8" x14ac:dyDescent="0.2">
      <c r="A4" t="s">
        <v>23</v>
      </c>
      <c r="B4" t="s">
        <v>24</v>
      </c>
      <c r="C4" t="s">
        <v>25</v>
      </c>
      <c r="D4" t="s">
        <v>27</v>
      </c>
      <c r="E4" t="str">
        <f>HYPERLINK("/pdf/2023_10.1109_icict57646.2023.10133997_Enhancing_Home_Security__user_Authentication_Techniques_for_Home_Automation.pdf","open")</f>
        <v>open</v>
      </c>
      <c r="F4" t="s">
        <v>15</v>
      </c>
      <c r="G4" t="s">
        <v>148</v>
      </c>
      <c r="H4" t="b">
        <v>0</v>
      </c>
    </row>
    <row r="5" spans="1:8" x14ac:dyDescent="0.2">
      <c r="A5" t="s">
        <v>29</v>
      </c>
      <c r="B5" t="s">
        <v>30</v>
      </c>
      <c r="C5" t="s">
        <v>25</v>
      </c>
      <c r="D5" t="s">
        <v>32</v>
      </c>
      <c r="E5" t="str">
        <f>HYPERLINK("/pdf/2023_10_3390_s23208407_a_lightweight_unsupervised_intrusion_detection_model_based_on_variational_auto_encoder.pdf","open")</f>
        <v>open</v>
      </c>
      <c r="F5" t="s">
        <v>15</v>
      </c>
      <c r="H5" t="b">
        <v>0</v>
      </c>
    </row>
    <row r="6" spans="1:8" x14ac:dyDescent="0.2">
      <c r="A6" t="s">
        <v>34</v>
      </c>
      <c r="B6" t="s">
        <v>35</v>
      </c>
      <c r="C6" t="s">
        <v>36</v>
      </c>
      <c r="D6" t="s">
        <v>38</v>
      </c>
      <c r="E6" t="str">
        <f>HYPERLINK("/pdf/2021_10.32604_cmc.2021.016626_An_optimal_big_data_analytics_with_concept_drift_detection_on_high-dimensional_streaming_data.pdf","open")</f>
        <v>open</v>
      </c>
      <c r="F6" t="s">
        <v>15</v>
      </c>
      <c r="G6" t="s">
        <v>148</v>
      </c>
      <c r="H6" t="b">
        <v>0</v>
      </c>
    </row>
    <row r="7" spans="1:8" x14ac:dyDescent="0.2">
      <c r="A7" t="s">
        <v>40</v>
      </c>
      <c r="B7" t="s">
        <v>41</v>
      </c>
      <c r="C7" t="s">
        <v>19</v>
      </c>
      <c r="D7" t="s">
        <v>43</v>
      </c>
      <c r="E7" t="str">
        <f>HYPERLINK("/pdf/2025_10.1002_9781394250141.ch11_Security_and_privacy_issues_in_RIS-based_wireless_communication_systems.pdf","open")</f>
        <v>open</v>
      </c>
      <c r="F7" t="s">
        <v>44</v>
      </c>
      <c r="G7" t="s">
        <v>10420</v>
      </c>
      <c r="H7" t="b">
        <v>0</v>
      </c>
    </row>
    <row r="8" spans="1:8" x14ac:dyDescent="0.2">
      <c r="A8" t="s">
        <v>46</v>
      </c>
      <c r="B8" t="s">
        <v>47</v>
      </c>
      <c r="C8" t="s">
        <v>48</v>
      </c>
      <c r="D8" t="s">
        <v>50</v>
      </c>
      <c r="E8" t="str">
        <f>HYPERLINK("/pdf/2026_10.1109_mcomstd.2026.3653959_Robust_and_Privacy-Aware_Network_Flow_Watermarking_for_Digital_Twin_Communications_in_5G_6G_Edge_Environments.pdf","open")</f>
        <v>open</v>
      </c>
      <c r="F8" t="s">
        <v>15</v>
      </c>
      <c r="G8" t="s">
        <v>148</v>
      </c>
      <c r="H8" t="b">
        <v>0</v>
      </c>
    </row>
    <row r="9" spans="1:8" x14ac:dyDescent="0.2">
      <c r="A9" t="s">
        <v>52</v>
      </c>
      <c r="B9" t="s">
        <v>53</v>
      </c>
      <c r="C9" t="s">
        <v>54</v>
      </c>
      <c r="D9" t="s">
        <v>56</v>
      </c>
      <c r="E9" t="str">
        <f>HYPERLINK("/pdf/2020_10_3390_app10113978_droid_portrait_android_malware_portrait_construction_based_on_multidimensional_behavior_a.pdf","open")</f>
        <v>open</v>
      </c>
      <c r="F9" t="s">
        <v>15</v>
      </c>
      <c r="G9" t="s">
        <v>148</v>
      </c>
      <c r="H9" t="b">
        <v>0</v>
      </c>
    </row>
    <row r="10" spans="1:8" x14ac:dyDescent="0.2">
      <c r="A10" t="s">
        <v>58</v>
      </c>
      <c r="B10" t="s">
        <v>59</v>
      </c>
      <c r="C10" t="s">
        <v>60</v>
      </c>
      <c r="D10" t="s">
        <v>62</v>
      </c>
      <c r="E10" t="str">
        <f>HYPERLINK("/pdf/2024_10.17770_etr2024vol2.8062_Management_approaches_and_application_areas_of_information_security_in_organizations.pdf","open")</f>
        <v>open</v>
      </c>
      <c r="F10" t="s">
        <v>15</v>
      </c>
      <c r="H10" t="b">
        <v>0</v>
      </c>
    </row>
    <row r="11" spans="1:8" x14ac:dyDescent="0.2">
      <c r="A11" t="s">
        <v>64</v>
      </c>
      <c r="B11" t="s">
        <v>65</v>
      </c>
      <c r="C11" t="s">
        <v>12</v>
      </c>
      <c r="D11" t="s">
        <v>67</v>
      </c>
      <c r="E11" t="str">
        <f>HYPERLINK("/pdf/2018_10.1109_tse.2017.2697848_Towards_Model_Checking_Android_Applications.pdf","open")</f>
        <v>open</v>
      </c>
      <c r="F11" t="s">
        <v>15</v>
      </c>
      <c r="G11" t="s">
        <v>148</v>
      </c>
      <c r="H11" t="b">
        <v>0</v>
      </c>
    </row>
    <row r="12" spans="1:8" x14ac:dyDescent="0.2">
      <c r="A12" t="s">
        <v>69</v>
      </c>
      <c r="B12" t="s">
        <v>70</v>
      </c>
      <c r="C12" t="s">
        <v>25</v>
      </c>
      <c r="D12" t="s">
        <v>72</v>
      </c>
      <c r="E12" t="str">
        <f>HYPERLINK("/pdf/2023_10.7717_peerj-cs.1543_Scheduling_algorithms_for_data-protection_based_on_security-classification_constraints_to_data-dissemination.pdf","open")</f>
        <v>open</v>
      </c>
      <c r="F12" t="s">
        <v>15</v>
      </c>
      <c r="G12" t="s">
        <v>10421</v>
      </c>
      <c r="H12" t="b">
        <v>0</v>
      </c>
    </row>
    <row r="13" spans="1:8" x14ac:dyDescent="0.2">
      <c r="A13" t="s">
        <v>74</v>
      </c>
      <c r="B13" t="s">
        <v>75</v>
      </c>
      <c r="C13" t="s">
        <v>25</v>
      </c>
      <c r="D13" t="s">
        <v>74</v>
      </c>
      <c r="E13" t="str">
        <f>HYPERLINK("/pdf/2024_10_1109_access_2024_3363640_how_can_credit_supervision_mechanism_improve_security_crowdsourcing_ecosystem_go.pdf","open")</f>
        <v>open</v>
      </c>
      <c r="F13" t="s">
        <v>15</v>
      </c>
      <c r="G13" t="s">
        <v>148</v>
      </c>
      <c r="H13" t="b">
        <v>1</v>
      </c>
    </row>
    <row r="14" spans="1:8" x14ac:dyDescent="0.2">
      <c r="A14" t="s">
        <v>78</v>
      </c>
      <c r="B14" t="s">
        <v>79</v>
      </c>
      <c r="C14" t="s">
        <v>19</v>
      </c>
      <c r="D14" t="s">
        <v>81</v>
      </c>
      <c r="E14" t="str">
        <f>HYPERLINK("/pdf/2025_10_26583_sv_17_5_11_performance_comparison_of_various_software_tools_in_photogrammetry_based_digitiz.pdf","open")</f>
        <v>open</v>
      </c>
      <c r="F14" t="s">
        <v>15</v>
      </c>
      <c r="G14" t="s">
        <v>10422</v>
      </c>
      <c r="H14" t="b">
        <v>1</v>
      </c>
    </row>
    <row r="15" spans="1:8" x14ac:dyDescent="0.2">
      <c r="A15" t="s">
        <v>83</v>
      </c>
      <c r="B15" t="s">
        <v>84</v>
      </c>
      <c r="C15" t="s">
        <v>19</v>
      </c>
      <c r="D15" t="s">
        <v>86</v>
      </c>
      <c r="E15" t="str">
        <f>HYPERLINK("/pdf/2025_10.1016_j.icte.2025.05.002_Lightweight_federated_learning-based_intrusion_detection_system_for_industrial_internet_of_things.pdf","open")</f>
        <v>open</v>
      </c>
      <c r="F15" t="s">
        <v>15</v>
      </c>
      <c r="G15" t="s">
        <v>148</v>
      </c>
      <c r="H15" t="b">
        <v>0</v>
      </c>
    </row>
    <row r="16" spans="1:8" x14ac:dyDescent="0.2">
      <c r="A16" t="s">
        <v>88</v>
      </c>
      <c r="B16" t="s">
        <v>89</v>
      </c>
      <c r="C16" t="s">
        <v>60</v>
      </c>
      <c r="D16" t="s">
        <v>91</v>
      </c>
      <c r="E16" t="str">
        <f>HYPERLINK("/pdf/2024_10.1109_icstem61137.2024.10560825_SentinelGuard__An_Integration_of_Intelligent_Text_Data_Loss_Prevention_Mechanism_for_Organizational_Security_(.pdf","open")</f>
        <v>open</v>
      </c>
      <c r="F16" t="s">
        <v>15</v>
      </c>
      <c r="G16" t="s">
        <v>148</v>
      </c>
      <c r="H16" t="b">
        <v>0</v>
      </c>
    </row>
    <row r="17" spans="1:8" x14ac:dyDescent="0.2">
      <c r="A17" t="s">
        <v>93</v>
      </c>
      <c r="B17" t="s">
        <v>94</v>
      </c>
      <c r="C17" t="s">
        <v>19</v>
      </c>
      <c r="D17" t="s">
        <v>96</v>
      </c>
      <c r="E17" t="str">
        <f>HYPERLINK("/pdf/2025_10.1109_itc58126.2025.00011_QuEST__Quantitative_Entropy_based_Security_and_Trojan_Detection_Framework_for_Confidentiality_Verification.pdf","open")</f>
        <v>open</v>
      </c>
      <c r="F17" t="s">
        <v>15</v>
      </c>
      <c r="G17" t="s">
        <v>148</v>
      </c>
      <c r="H17" t="b">
        <v>0</v>
      </c>
    </row>
    <row r="18" spans="1:8" x14ac:dyDescent="0.2">
      <c r="A18" t="s">
        <v>98</v>
      </c>
      <c r="B18" t="s">
        <v>99</v>
      </c>
      <c r="C18" t="s">
        <v>100</v>
      </c>
      <c r="D18" t="s">
        <v>102</v>
      </c>
      <c r="E18" t="str">
        <f>HYPERLINK("/pdf/2022_10.1109_icced56140.2022.10010685_Patient_Data_Security_in_Telemedicine_Services_from_Data_Misuse_in_Health_Practice.pdf","open")</f>
        <v>open</v>
      </c>
      <c r="F18" t="s">
        <v>44</v>
      </c>
      <c r="G18" t="s">
        <v>10423</v>
      </c>
      <c r="H18" t="b">
        <v>0</v>
      </c>
    </row>
    <row r="19" spans="1:8" x14ac:dyDescent="0.2">
      <c r="A19" t="s">
        <v>104</v>
      </c>
      <c r="B19" t="s">
        <v>105</v>
      </c>
      <c r="C19" t="s">
        <v>25</v>
      </c>
      <c r="D19" t="s">
        <v>107</v>
      </c>
      <c r="E19" t="str">
        <f>HYPERLINK("/pdf/2023_10.1109_cises58720.2023.10183402_Security_Threats_in_Healthcare_Big_Data__A_Comparative_Study.pdf","open")</f>
        <v>open</v>
      </c>
      <c r="F19" t="s">
        <v>15</v>
      </c>
      <c r="G19" t="s">
        <v>148</v>
      </c>
      <c r="H19" t="b">
        <v>0</v>
      </c>
    </row>
    <row r="20" spans="1:8" x14ac:dyDescent="0.2">
      <c r="A20" t="s">
        <v>109</v>
      </c>
      <c r="B20" t="s">
        <v>110</v>
      </c>
      <c r="C20" t="s">
        <v>36</v>
      </c>
      <c r="D20" t="s">
        <v>112</v>
      </c>
      <c r="E20" t="str">
        <f>HYPERLINK("/pdf/2021_10_1109_iccd53106_2021_00097_qflow_quantitative_information_flow_for_security_aware_hardware_design_in_verilog.pdf","open")</f>
        <v>open</v>
      </c>
      <c r="F20" t="s">
        <v>15</v>
      </c>
      <c r="H20" t="b">
        <v>0</v>
      </c>
    </row>
    <row r="21" spans="1:8" x14ac:dyDescent="0.2">
      <c r="A21" t="s">
        <v>114</v>
      </c>
      <c r="B21" t="s">
        <v>115</v>
      </c>
      <c r="C21" t="s">
        <v>100</v>
      </c>
      <c r="D21" t="s">
        <v>117</v>
      </c>
      <c r="E21" t="str">
        <f>HYPERLINK("/pdf/2022_10.1016_j.cose.2022.102874_Background_knowledge_attacks_in_privacy-preserving_data_publishing_models.pdf","open")</f>
        <v>open</v>
      </c>
      <c r="F21" t="s">
        <v>15</v>
      </c>
      <c r="G21" t="s">
        <v>148</v>
      </c>
      <c r="H21" t="b">
        <v>0</v>
      </c>
    </row>
    <row r="22" spans="1:8" x14ac:dyDescent="0.2">
      <c r="A22" t="s">
        <v>119</v>
      </c>
      <c r="B22" t="s">
        <v>120</v>
      </c>
      <c r="C22" t="s">
        <v>19</v>
      </c>
      <c r="D22" t="s">
        <v>122</v>
      </c>
      <c r="E22" t="str">
        <f>HYPERLINK("/pdf/2025_10_14445_23488549_ijece_v12i10p115_qryptashield_quantum_inspired_feature_selection_and_rl_calibrated_federated_lea.pdf","open")</f>
        <v>open</v>
      </c>
      <c r="F22" t="s">
        <v>15</v>
      </c>
      <c r="H22" t="b">
        <v>0</v>
      </c>
    </row>
    <row r="23" spans="1:8" x14ac:dyDescent="0.2">
      <c r="A23" t="s">
        <v>124</v>
      </c>
      <c r="B23" t="s">
        <v>125</v>
      </c>
      <c r="C23" t="s">
        <v>100</v>
      </c>
      <c r="D23" t="s">
        <v>127</v>
      </c>
      <c r="E23" t="str">
        <f>HYPERLINK("/pdf/2022_10.1109_i2ct54291.2022.9824368_Security_Challenges_and_Cyber_Forensics_For_IoT_Driven_BYOD_Systems.pdf","open")</f>
        <v>open</v>
      </c>
      <c r="F23" t="s">
        <v>15</v>
      </c>
      <c r="G23" t="s">
        <v>148</v>
      </c>
      <c r="H23" t="b">
        <v>0</v>
      </c>
    </row>
    <row r="24" spans="1:8" x14ac:dyDescent="0.2">
      <c r="A24" t="s">
        <v>129</v>
      </c>
      <c r="B24" t="s">
        <v>130</v>
      </c>
      <c r="C24" t="s">
        <v>25</v>
      </c>
      <c r="D24" t="s">
        <v>132</v>
      </c>
      <c r="E24" t="str">
        <f>HYPERLINK("/pdf/2023_10.1109_socc58585.2023.10256758_μThingNet__Leveraging_Fine-Grained_Power_Analysis_towards_A_Robust_Zero-Day_Defender.pdf","open")</f>
        <v>open</v>
      </c>
      <c r="F24" t="s">
        <v>15</v>
      </c>
      <c r="H24" t="b">
        <v>0</v>
      </c>
    </row>
    <row r="25" spans="1:8" x14ac:dyDescent="0.2">
      <c r="A25" t="s">
        <v>134</v>
      </c>
      <c r="B25" t="s">
        <v>135</v>
      </c>
      <c r="C25" t="s">
        <v>136</v>
      </c>
      <c r="D25" t="s">
        <v>138</v>
      </c>
      <c r="E25" t="str">
        <f>HYPERLINK("/pdf/2019_10_35940_ijeat_f8202_088619_byod_secured_solution_framework.pdf","open")</f>
        <v>open</v>
      </c>
      <c r="F25" t="s">
        <v>15</v>
      </c>
      <c r="G25" t="s">
        <v>148</v>
      </c>
      <c r="H25" t="b">
        <v>0</v>
      </c>
    </row>
    <row r="26" spans="1:8" x14ac:dyDescent="0.2">
      <c r="A26" t="s">
        <v>140</v>
      </c>
      <c r="B26" t="s">
        <v>141</v>
      </c>
      <c r="C26" t="s">
        <v>25</v>
      </c>
      <c r="D26" t="s">
        <v>143</v>
      </c>
      <c r="E26" t="str">
        <f>HYPERLINK("/pdf/2023_10_11591_ijece_v13i5_pp5560_5568_concept_drift_and_machine_learning_model_for_detecting_fraudulent_transactions_in_streamin.pdf","open")</f>
        <v>open</v>
      </c>
      <c r="F26" t="s">
        <v>15</v>
      </c>
      <c r="G26" t="s">
        <v>148</v>
      </c>
      <c r="H26" t="b">
        <v>0</v>
      </c>
    </row>
    <row r="27" spans="1:8" x14ac:dyDescent="0.2">
      <c r="A27" t="s">
        <v>145</v>
      </c>
      <c r="B27" t="s">
        <v>146</v>
      </c>
      <c r="C27" t="s">
        <v>136</v>
      </c>
      <c r="D27" t="s">
        <v>148</v>
      </c>
      <c r="E27" t="str">
        <f>HYPERLINK("/pdf/2020_10.1109_idea49133.2020.9170738_Android_data_leakage_and_anomaly_based_Intrusion_detection_System.pdf","open")</f>
        <v>open</v>
      </c>
      <c r="F27" t="s">
        <v>15</v>
      </c>
      <c r="G27" t="s">
        <v>148</v>
      </c>
      <c r="H27" t="b">
        <v>0</v>
      </c>
    </row>
    <row r="28" spans="1:8" x14ac:dyDescent="0.2">
      <c r="A28" t="s">
        <v>150</v>
      </c>
      <c r="B28" t="s">
        <v>151</v>
      </c>
      <c r="C28" t="s">
        <v>19</v>
      </c>
      <c r="D28" t="s">
        <v>152</v>
      </c>
      <c r="E28" t="str">
        <f>HYPERLINK("/pdf/2025_10.1109_access.2025.3635667_PPATF__A_Privacy-Preserving_Adversarial_Training_Framework_to_Enhance_the_Robustness_of_Lightweight_Intrusion_.pdf","open")</f>
        <v>open</v>
      </c>
      <c r="F28" t="s">
        <v>15</v>
      </c>
      <c r="H28" t="b">
        <v>0</v>
      </c>
    </row>
    <row r="29" spans="1:8" x14ac:dyDescent="0.2">
      <c r="A29" t="s">
        <v>154</v>
      </c>
      <c r="B29" t="s">
        <v>155</v>
      </c>
      <c r="C29" t="s">
        <v>156</v>
      </c>
      <c r="D29" t="s">
        <v>158</v>
      </c>
      <c r="E29" t="str">
        <f>HYPERLINK("/pdf/2013_10_1007_s10796_013_9419_8_guest_editorial_a_brief_overview_of_data_leakage_and_insider_threats.pdf","open")</f>
        <v>open</v>
      </c>
      <c r="F29" t="s">
        <v>15</v>
      </c>
      <c r="G29" t="s">
        <v>148</v>
      </c>
      <c r="H29" t="b">
        <v>0</v>
      </c>
    </row>
    <row r="30" spans="1:8" x14ac:dyDescent="0.2">
      <c r="A30" t="s">
        <v>160</v>
      </c>
      <c r="B30" t="s">
        <v>161</v>
      </c>
      <c r="C30" t="s">
        <v>100</v>
      </c>
      <c r="D30" t="s">
        <v>163</v>
      </c>
      <c r="E30" t="str">
        <f>HYPERLINK("/pdf/2022_10.1109_eircon56026.2022.9934810_Model_to_Identify_the_Profile_of_Countermeasures_for_Information_Leakage_in_Financial_Organizations.pdf","open")</f>
        <v>open</v>
      </c>
      <c r="F30" t="s">
        <v>15</v>
      </c>
      <c r="G30" t="s">
        <v>148</v>
      </c>
      <c r="H30" t="b">
        <v>0</v>
      </c>
    </row>
    <row r="31" spans="1:8" x14ac:dyDescent="0.2">
      <c r="A31" t="s">
        <v>165</v>
      </c>
      <c r="B31" t="s">
        <v>166</v>
      </c>
      <c r="C31" t="s">
        <v>60</v>
      </c>
      <c r="D31" t="s">
        <v>168</v>
      </c>
      <c r="E31" t="str">
        <f>HYPERLINK("/pdf/2024_10.1109_ithings-greencom-cpscom-smartdata-cybermatics62450.2024.00102_On_the_Security_and_Privacy_Implications_of_Large_Language_Models__In-Depth_Threat_Analysis.pdf","open")</f>
        <v>open</v>
      </c>
      <c r="F31" t="s">
        <v>15</v>
      </c>
      <c r="G31" t="s">
        <v>148</v>
      </c>
      <c r="H31" t="b">
        <v>0</v>
      </c>
    </row>
    <row r="32" spans="1:8" x14ac:dyDescent="0.2">
      <c r="A32" t="s">
        <v>170</v>
      </c>
      <c r="B32" t="s">
        <v>171</v>
      </c>
      <c r="C32" t="s">
        <v>19</v>
      </c>
      <c r="D32" t="s">
        <v>173</v>
      </c>
      <c r="E32" t="str">
        <f>HYPERLINK("/pdf/2025_10_3390_cryptography9040072_a_post_quantum_cryptography_enabled_feature_level_fusion_framework_for_privacy_preserving.pdf","open")</f>
        <v>open</v>
      </c>
      <c r="F32" t="s">
        <v>15</v>
      </c>
      <c r="G32" t="s">
        <v>10424</v>
      </c>
      <c r="H32" t="b">
        <v>1</v>
      </c>
    </row>
    <row r="33" spans="1:8" x14ac:dyDescent="0.2">
      <c r="A33" t="s">
        <v>175</v>
      </c>
      <c r="B33" t="s">
        <v>176</v>
      </c>
      <c r="C33" t="s">
        <v>19</v>
      </c>
      <c r="D33" t="s">
        <v>178</v>
      </c>
      <c r="E33" t="str">
        <f>HYPERLINK("/pdf/2025_10.1109_etfa65518.2025.11205756_Trustworthy_AI_for_Security_Decision-Making_in_ICSs__Towards_Compliance_with_the_EU_AI_Act.pdf","open")</f>
        <v>open</v>
      </c>
      <c r="F33" t="s">
        <v>15</v>
      </c>
      <c r="G33" t="s">
        <v>148</v>
      </c>
      <c r="H33" t="b">
        <v>0</v>
      </c>
    </row>
    <row r="34" spans="1:8" x14ac:dyDescent="0.2">
      <c r="A34" t="s">
        <v>180</v>
      </c>
      <c r="B34" t="s">
        <v>181</v>
      </c>
      <c r="C34" t="s">
        <v>19</v>
      </c>
      <c r="D34" t="s">
        <v>183</v>
      </c>
      <c r="E34" t="str">
        <f>HYPERLINK("/pdf/2025_10.1109_jiot.2025.3583304_BCTD-ICS__A_Blockchain-Aided_Framework_for_Trusted_Detection_of_Industrial_Control_System_Components.pdf","open")</f>
        <v>open</v>
      </c>
      <c r="F34" t="s">
        <v>15</v>
      </c>
      <c r="G34" t="s">
        <v>148</v>
      </c>
      <c r="H34" t="b">
        <v>0</v>
      </c>
    </row>
    <row r="35" spans="1:8" x14ac:dyDescent="0.2">
      <c r="A35" t="s">
        <v>185</v>
      </c>
      <c r="B35" t="s">
        <v>186</v>
      </c>
      <c r="C35" t="s">
        <v>148</v>
      </c>
      <c r="D35" t="s">
        <v>148</v>
      </c>
      <c r="E35" t="str">
        <f>HYPERLINK("/pdf/2019_Towards_automated_threat-based_risk_assessment_for_cyber_security_in_smarthomes.pdf","open")</f>
        <v>open</v>
      </c>
      <c r="F35" t="s">
        <v>15</v>
      </c>
      <c r="H35" t="b">
        <v>0</v>
      </c>
    </row>
    <row r="36" spans="1:8" x14ac:dyDescent="0.2">
      <c r="A36" t="s">
        <v>188</v>
      </c>
      <c r="B36" t="s">
        <v>189</v>
      </c>
      <c r="C36" t="s">
        <v>190</v>
      </c>
      <c r="D36" t="s">
        <v>192</v>
      </c>
      <c r="E36" t="str">
        <f>HYPERLINK("/pdf/2017_10.1016_j.jisa.2016.10.001_A_white-box_anomaly-based_framework_for_database_leakage_detection.pdf","open")</f>
        <v>open</v>
      </c>
      <c r="F36" t="s">
        <v>15</v>
      </c>
      <c r="H36" t="b">
        <v>0</v>
      </c>
    </row>
    <row r="37" spans="1:8" x14ac:dyDescent="0.2">
      <c r="A37" t="s">
        <v>194</v>
      </c>
      <c r="B37" t="s">
        <v>195</v>
      </c>
      <c r="C37" t="s">
        <v>148</v>
      </c>
      <c r="D37" t="s">
        <v>148</v>
      </c>
      <c r="E37" t="str">
        <f>HYPERLINK("/pdf/2020_10.1109_rivf48685.2020.9140781_Network_Analytics_for_Improving_Students'_Cybersecurity_Awareness_in_Online_Learning_Systems.pdf","open")</f>
        <v>open</v>
      </c>
      <c r="F37" t="s">
        <v>15</v>
      </c>
      <c r="G37" t="s">
        <v>10425</v>
      </c>
      <c r="H37" t="b">
        <v>1</v>
      </c>
    </row>
    <row r="38" spans="1:8" x14ac:dyDescent="0.2">
      <c r="A38" t="s">
        <v>198</v>
      </c>
      <c r="B38" t="s">
        <v>199</v>
      </c>
      <c r="C38" t="s">
        <v>25</v>
      </c>
      <c r="D38" t="s">
        <v>201</v>
      </c>
      <c r="E38" t="str">
        <f>HYPERLINK("/pdf/2023_10.1109_tcad.2022.3174171_IP-Tag__Tag-Based_Runtime_3PIP_Hardware_Trojan_Detection_in_SoC_Platforms.pdf","open")</f>
        <v>open</v>
      </c>
      <c r="F38" t="s">
        <v>15</v>
      </c>
      <c r="G38" t="s">
        <v>148</v>
      </c>
      <c r="H38" t="b">
        <v>0</v>
      </c>
    </row>
    <row r="39" spans="1:8" x14ac:dyDescent="0.2">
      <c r="A39" t="s">
        <v>203</v>
      </c>
      <c r="B39" t="s">
        <v>204</v>
      </c>
      <c r="C39" t="s">
        <v>19</v>
      </c>
      <c r="D39" t="s">
        <v>206</v>
      </c>
      <c r="E39" t="str">
        <f>HYPERLINK("/pdf/2025_10.1109_roma66616.2025.11155405_A_Survey_on_AI-Enabled_Anomaly_Detection_with_Privacy_Preservation_in_Wireless_Sensor_Healthcare_IoT_Environme.pdf","open")</f>
        <v>open</v>
      </c>
      <c r="F39" t="s">
        <v>15</v>
      </c>
      <c r="G39" t="s">
        <v>148</v>
      </c>
      <c r="H39" t="b">
        <v>0</v>
      </c>
    </row>
    <row r="40" spans="1:8" x14ac:dyDescent="0.2">
      <c r="A40" t="s">
        <v>208</v>
      </c>
      <c r="B40" t="s">
        <v>209</v>
      </c>
      <c r="C40" t="s">
        <v>210</v>
      </c>
      <c r="D40" t="s">
        <v>148</v>
      </c>
      <c r="E40" t="str">
        <f>HYPERLINK("/pdf/2015_Device_management_technology_for_preventing_data_leakage.pdf","open")</f>
        <v>open</v>
      </c>
      <c r="F40" t="s">
        <v>15</v>
      </c>
      <c r="G40" t="s">
        <v>10426</v>
      </c>
      <c r="H40" t="b">
        <v>1</v>
      </c>
    </row>
    <row r="41" spans="1:8" x14ac:dyDescent="0.2">
      <c r="A41" t="s">
        <v>213</v>
      </c>
      <c r="B41" t="s">
        <v>214</v>
      </c>
      <c r="C41" t="s">
        <v>215</v>
      </c>
      <c r="D41" t="s">
        <v>217</v>
      </c>
      <c r="E41" t="str">
        <f>HYPERLINK("/pdf/2015_10.1109_mass.2014.131_Android_smartphone_third_party_advertising_library_data_leak_analysis.pdf","open")</f>
        <v>open</v>
      </c>
      <c r="F41" t="s">
        <v>15</v>
      </c>
      <c r="H41" t="b">
        <v>0</v>
      </c>
    </row>
    <row r="42" spans="1:8" x14ac:dyDescent="0.2">
      <c r="A42" t="s">
        <v>219</v>
      </c>
      <c r="B42" t="s">
        <v>220</v>
      </c>
      <c r="C42" t="s">
        <v>19</v>
      </c>
      <c r="D42" t="s">
        <v>222</v>
      </c>
      <c r="E42" t="str">
        <f>HYPERLINK("/pdf/2025_10.1109_iacis65746.2025.11211489_A_Secure_Blockchain_Framework_Using_Stacked_SVM-RF_with_Advanced_Encryption_Standard_Galois_Counter_Mode.pdf","open")</f>
        <v>open</v>
      </c>
      <c r="F42" t="s">
        <v>15</v>
      </c>
      <c r="G42" t="s">
        <v>148</v>
      </c>
      <c r="H42" t="b">
        <v>0</v>
      </c>
    </row>
    <row r="43" spans="1:8" x14ac:dyDescent="0.2">
      <c r="A43" t="s">
        <v>224</v>
      </c>
      <c r="B43" t="s">
        <v>225</v>
      </c>
      <c r="C43" t="s">
        <v>100</v>
      </c>
      <c r="D43" t="s">
        <v>227</v>
      </c>
      <c r="E43" t="str">
        <f>HYPERLINK("/pdf/2022_10.1109_incoft55651.2022.10094509_Data_Leakage_Prevention_System_for_Internal_Security.pdf","open")</f>
        <v>open</v>
      </c>
      <c r="F43" t="s">
        <v>15</v>
      </c>
      <c r="G43" t="s">
        <v>10427</v>
      </c>
      <c r="H43" t="b">
        <v>0</v>
      </c>
    </row>
    <row r="44" spans="1:8" x14ac:dyDescent="0.2">
      <c r="A44" t="s">
        <v>229</v>
      </c>
      <c r="B44" t="s">
        <v>230</v>
      </c>
      <c r="C44" t="s">
        <v>19</v>
      </c>
      <c r="D44" t="s">
        <v>232</v>
      </c>
      <c r="E44" t="str">
        <f>HYPERLINK("/pdf/2025_10.1109_tsusc.2024.3409329_Safeguarding_Patient_Data-Sharing__Blockchain-Enabled_Federated_Learning_in_Medical_Diagnostics.pdf","open")</f>
        <v>open</v>
      </c>
      <c r="F44" t="s">
        <v>44</v>
      </c>
      <c r="G44" t="s">
        <v>10428</v>
      </c>
      <c r="H44" t="b">
        <v>1</v>
      </c>
    </row>
    <row r="45" spans="1:8" x14ac:dyDescent="0.2">
      <c r="A45" t="s">
        <v>234</v>
      </c>
      <c r="B45" t="s">
        <v>235</v>
      </c>
      <c r="C45" t="s">
        <v>36</v>
      </c>
      <c r="D45" t="s">
        <v>237</v>
      </c>
      <c r="E45" t="str">
        <f>HYPERLINK("/pdf/2021_10.1016_j.heliyon.2021.e06016_Measuring_the_level_of_cyber-security_awareness_for_cybercrime_in_Saudi_Arabia.pdf","open")</f>
        <v>open</v>
      </c>
      <c r="F45" t="s">
        <v>15</v>
      </c>
      <c r="H45" t="b">
        <v>1</v>
      </c>
    </row>
    <row r="46" spans="1:8" x14ac:dyDescent="0.2">
      <c r="A46" t="s">
        <v>239</v>
      </c>
      <c r="B46" t="s">
        <v>240</v>
      </c>
      <c r="C46" t="s">
        <v>60</v>
      </c>
      <c r="D46" t="s">
        <v>242</v>
      </c>
      <c r="E46" t="str">
        <f>HYPERLINK("/pdf/2024_10.1109_iccr61006.2024.10532886_Feed-forward_ANN_with_Random_Forest_Technique_for_Identifying_Malicious_Internet_of_Things_Network_Intrusion.pdf","open")</f>
        <v>open</v>
      </c>
      <c r="F46" t="s">
        <v>15</v>
      </c>
      <c r="G46" t="s">
        <v>148</v>
      </c>
      <c r="H46" t="b">
        <v>0</v>
      </c>
    </row>
    <row r="47" spans="1:8" x14ac:dyDescent="0.2">
      <c r="A47" t="s">
        <v>244</v>
      </c>
      <c r="B47" t="s">
        <v>245</v>
      </c>
      <c r="C47" t="s">
        <v>100</v>
      </c>
      <c r="D47" t="s">
        <v>247</v>
      </c>
      <c r="E47" t="str">
        <f>HYPERLINK("/pdf/2022_10.1049_cmu2.12401_Trust_management_and_data_protection_for_online_social_networks.pdf","open")</f>
        <v>open</v>
      </c>
      <c r="F47" t="s">
        <v>15</v>
      </c>
      <c r="G47" t="s">
        <v>148</v>
      </c>
      <c r="H47" t="b">
        <v>0</v>
      </c>
    </row>
    <row r="48" spans="1:8" x14ac:dyDescent="0.2">
      <c r="A48" t="s">
        <v>249</v>
      </c>
      <c r="B48" t="s">
        <v>250</v>
      </c>
      <c r="C48" t="s">
        <v>190</v>
      </c>
      <c r="D48" t="s">
        <v>252</v>
      </c>
      <c r="E48" t="str">
        <f>HYPERLINK("/pdf/2017_10.1109_dasc-picom-datacom-cyberscitec.2017.112_Combating_data_leakage_trojans_in_sequential_circuits_through_randomized_encoding.pdf","open")</f>
        <v>open</v>
      </c>
      <c r="F48" t="s">
        <v>44</v>
      </c>
      <c r="G48" t="s">
        <v>10429</v>
      </c>
      <c r="H48" t="b">
        <v>1</v>
      </c>
    </row>
    <row r="49" spans="1:8" x14ac:dyDescent="0.2">
      <c r="A49" t="s">
        <v>254</v>
      </c>
      <c r="B49" t="s">
        <v>255</v>
      </c>
      <c r="C49" t="s">
        <v>36</v>
      </c>
      <c r="D49" t="s">
        <v>257</v>
      </c>
      <c r="E49" t="str">
        <f>HYPERLINK("/pdf/2021_10.1109_ddecs52668.2021.9417061_A_Benchmark_Suite_of_RT-level_Hardware_Trojans_for_Pipelined_Microprocessor_Cores.pdf","open")</f>
        <v>open</v>
      </c>
      <c r="F49" t="s">
        <v>15</v>
      </c>
      <c r="G49" t="s">
        <v>148</v>
      </c>
      <c r="H49" t="b">
        <v>0</v>
      </c>
    </row>
    <row r="50" spans="1:8" x14ac:dyDescent="0.2">
      <c r="A50" t="s">
        <v>259</v>
      </c>
      <c r="B50" t="s">
        <v>75</v>
      </c>
      <c r="C50" t="s">
        <v>25</v>
      </c>
      <c r="D50" t="s">
        <v>74</v>
      </c>
      <c r="E50" t="str">
        <f>HYPERLINK("/pdf/2024_10_1109_access_2024_3363640_how_can_credit_supervision_mechanism_improve_security_crowdsourcing_ecosystem_governance.pdf","open")</f>
        <v>open</v>
      </c>
      <c r="F50" t="s">
        <v>15</v>
      </c>
      <c r="G50" t="s">
        <v>148</v>
      </c>
      <c r="H50" t="b">
        <v>0</v>
      </c>
    </row>
    <row r="51" spans="1:8" x14ac:dyDescent="0.2">
      <c r="A51" t="s">
        <v>261</v>
      </c>
      <c r="B51" t="s">
        <v>262</v>
      </c>
      <c r="C51" t="s">
        <v>36</v>
      </c>
      <c r="D51" t="s">
        <v>264</v>
      </c>
      <c r="E51" t="str">
        <f>HYPERLINK("/pdf/2021_10.1109_bigdatasecurityhpscids52275.2021.00038_Toward_Pinpointing_Data_Leakage_from_Advanced_Persistent_Threats.pdf","open")</f>
        <v>open</v>
      </c>
      <c r="F51" t="s">
        <v>15</v>
      </c>
      <c r="H51" t="b">
        <v>0</v>
      </c>
    </row>
    <row r="52" spans="1:8" x14ac:dyDescent="0.2">
      <c r="A52" t="s">
        <v>266</v>
      </c>
      <c r="B52" t="s">
        <v>267</v>
      </c>
      <c r="C52" t="s">
        <v>268</v>
      </c>
      <c r="D52" t="s">
        <v>148</v>
      </c>
      <c r="E52" t="str">
        <f>HYPERLINK("/pdf/2010_10.1109_cnsm.2010.5691292_User_identification_in_encrypted_network_communications.pdf","open")</f>
        <v>open</v>
      </c>
      <c r="F52" t="s">
        <v>15</v>
      </c>
      <c r="G52" t="s">
        <v>148</v>
      </c>
      <c r="H52" t="b">
        <v>0</v>
      </c>
    </row>
    <row r="53" spans="1:8" x14ac:dyDescent="0.2">
      <c r="A53" t="s">
        <v>271</v>
      </c>
      <c r="B53" t="s">
        <v>272</v>
      </c>
      <c r="C53" t="s">
        <v>60</v>
      </c>
      <c r="D53" t="s">
        <v>274</v>
      </c>
      <c r="E53" t="str">
        <f>HYPERLINK("/pdf/2024_10_4108_eetsis_5028_determining_intrusion_attacks_against_online_applications_using_cloud_based_data_security.pdf","open")</f>
        <v>open</v>
      </c>
      <c r="F53" t="s">
        <v>15</v>
      </c>
      <c r="G53" t="s">
        <v>148</v>
      </c>
      <c r="H53" t="b">
        <v>0</v>
      </c>
    </row>
    <row r="54" spans="1:8" x14ac:dyDescent="0.2">
      <c r="A54" t="s">
        <v>276</v>
      </c>
      <c r="B54" t="s">
        <v>277</v>
      </c>
      <c r="C54" t="s">
        <v>190</v>
      </c>
      <c r="D54" t="s">
        <v>279</v>
      </c>
      <c r="E54" t="str">
        <f>HYPERLINK("/pdf/2017_10_1109_netsoft_2017_8004195_automated_verification_of_security_chains_in_software_defined_networks_with_synaptic.pdf","open")</f>
        <v>open</v>
      </c>
      <c r="F54" t="s">
        <v>15</v>
      </c>
      <c r="G54" t="s">
        <v>148</v>
      </c>
      <c r="H54" t="b">
        <v>0</v>
      </c>
    </row>
    <row r="55" spans="1:8" x14ac:dyDescent="0.2">
      <c r="A55" t="s">
        <v>281</v>
      </c>
      <c r="B55" t="s">
        <v>282</v>
      </c>
      <c r="C55" t="s">
        <v>36</v>
      </c>
      <c r="D55" t="s">
        <v>284</v>
      </c>
      <c r="E55" t="str">
        <f>HYPERLINK("/pdf/2021_10.1109_vts50974.2021.9441032_Special_session__CAD_for_hardware_security_-_Automation_is_key_to_adoption_of_solutions.pdf","open")</f>
        <v>open</v>
      </c>
      <c r="F55" t="s">
        <v>15</v>
      </c>
      <c r="G55" t="s">
        <v>148</v>
      </c>
      <c r="H55" t="b">
        <v>0</v>
      </c>
    </row>
    <row r="56" spans="1:8" x14ac:dyDescent="0.2">
      <c r="A56" t="s">
        <v>286</v>
      </c>
      <c r="B56" t="s">
        <v>287</v>
      </c>
      <c r="C56" t="s">
        <v>60</v>
      </c>
      <c r="D56" t="s">
        <v>289</v>
      </c>
      <c r="E56" t="str">
        <f>HYPERLINK("/pdf/2024_10.1109_tifs.2024.3420233_SGD3QN__Joint_Stochastic_Games_and_Dueling_Double_Deep_Q-Networks_for_Defending_Malware_Propagation_in_Edge_In.pdf","open")</f>
        <v>open</v>
      </c>
      <c r="F56" t="s">
        <v>15</v>
      </c>
      <c r="H56" t="b">
        <v>0</v>
      </c>
    </row>
    <row r="57" spans="1:8" x14ac:dyDescent="0.2">
      <c r="A57" t="s">
        <v>291</v>
      </c>
      <c r="B57" t="s">
        <v>292</v>
      </c>
      <c r="C57" t="s">
        <v>60</v>
      </c>
      <c r="D57" t="s">
        <v>294</v>
      </c>
      <c r="E57" t="str">
        <f>HYPERLINK("/pdf/2024_10.1007_s10115-024-02184-6_An_online_ensemble_classification_algorithm_for_multi-class_imbalanced_data_stream.pdf","open")</f>
        <v>open</v>
      </c>
      <c r="F57" t="s">
        <v>15</v>
      </c>
      <c r="G57" t="s">
        <v>10430</v>
      </c>
      <c r="H57" t="b">
        <v>0</v>
      </c>
    </row>
    <row r="58" spans="1:8" x14ac:dyDescent="0.2">
      <c r="A58" t="s">
        <v>296</v>
      </c>
      <c r="B58" t="s">
        <v>297</v>
      </c>
      <c r="C58" t="s">
        <v>19</v>
      </c>
      <c r="D58" t="s">
        <v>296</v>
      </c>
      <c r="E58" t="str">
        <f>HYPERLINK("/pdf/2025_10.1109_icimia67127.2025.11200972_An_Intelligent_Data_Leakage_Prevention_in_Cloud_Computing_using_Golden_Jackal_Optimization.pdf.pdf","open")</f>
        <v>open</v>
      </c>
      <c r="F58" t="s">
        <v>15</v>
      </c>
      <c r="H58" t="b">
        <v>0</v>
      </c>
    </row>
    <row r="59" spans="1:8" x14ac:dyDescent="0.2">
      <c r="A59" t="s">
        <v>300</v>
      </c>
      <c r="B59" t="s">
        <v>301</v>
      </c>
      <c r="C59" t="s">
        <v>60</v>
      </c>
      <c r="D59" t="s">
        <v>303</v>
      </c>
      <c r="E59" t="str">
        <f>HYPERLINK("/pdf/2024_10.1109_host55342.2024.10545402_NoiseHopper__Emission_Hopping_Air-Gap_Covert_Side_Channel_with_Lower_Probability_of_Detection.pdf","open")</f>
        <v>open</v>
      </c>
      <c r="F59" t="s">
        <v>15</v>
      </c>
      <c r="G59" t="s">
        <v>148</v>
      </c>
      <c r="H59" t="b">
        <v>0</v>
      </c>
    </row>
    <row r="60" spans="1:8" x14ac:dyDescent="0.2">
      <c r="A60" t="s">
        <v>305</v>
      </c>
      <c r="B60" t="s">
        <v>306</v>
      </c>
      <c r="C60" t="s">
        <v>100</v>
      </c>
      <c r="D60" t="s">
        <v>148</v>
      </c>
      <c r="E60" t="str">
        <f>HYPERLINK("/pdf/2023_10_1109_mobilsoft59058_2023_00016_sensitive_and_personal_data_what_exactly_are_you_talking_about.pdf","open")</f>
        <v>open</v>
      </c>
      <c r="F60" t="s">
        <v>44</v>
      </c>
      <c r="G60" t="s">
        <v>10431</v>
      </c>
      <c r="H60" t="b">
        <v>1</v>
      </c>
    </row>
    <row r="61" spans="1:8" x14ac:dyDescent="0.2">
      <c r="A61" t="s">
        <v>308</v>
      </c>
      <c r="B61" t="s">
        <v>309</v>
      </c>
      <c r="C61" t="s">
        <v>36</v>
      </c>
      <c r="D61" t="s">
        <v>311</v>
      </c>
      <c r="E61" t="str">
        <f>HYPERLINK("/pdf/2022_10_1016_j_neucom_2021_01_144_a_real_time_dynamic_concept_adaptive_learning_algorithm_for_exploitability_prediction.pdf","open")</f>
        <v>open</v>
      </c>
      <c r="F61" t="s">
        <v>15</v>
      </c>
      <c r="H61" t="b">
        <v>0</v>
      </c>
    </row>
    <row r="62" spans="1:8" x14ac:dyDescent="0.2">
      <c r="A62" t="s">
        <v>313</v>
      </c>
      <c r="B62" t="s">
        <v>314</v>
      </c>
      <c r="C62" t="s">
        <v>36</v>
      </c>
      <c r="D62" t="s">
        <v>316</v>
      </c>
      <c r="E62" t="str">
        <f>HYPERLINK("/pdf/2022_10_1080_0144929x_2021_1953597_the_relationship_between_online_political_participation_and_privacy_protection_evidence_f.pdf","open")</f>
        <v>open</v>
      </c>
      <c r="F62" t="s">
        <v>44</v>
      </c>
      <c r="G62" t="s">
        <v>10432</v>
      </c>
      <c r="H62" t="b">
        <v>1</v>
      </c>
    </row>
    <row r="63" spans="1:8" x14ac:dyDescent="0.2">
      <c r="A63" t="s">
        <v>318</v>
      </c>
      <c r="B63" t="s">
        <v>319</v>
      </c>
      <c r="C63" t="s">
        <v>25</v>
      </c>
      <c r="D63" t="s">
        <v>321</v>
      </c>
      <c r="E63" t="str">
        <f>HYPERLINK("/pdf/2023_10_1007_s40747_021_00456_0_deep_learning_framework_for_handling_concept_drift_and_class_imbalanced_complex_decision_m.pdf","open")</f>
        <v>open</v>
      </c>
      <c r="F63" t="s">
        <v>15</v>
      </c>
      <c r="H63" t="b">
        <v>0</v>
      </c>
    </row>
    <row r="64" spans="1:8" x14ac:dyDescent="0.2">
      <c r="A64" t="s">
        <v>323</v>
      </c>
      <c r="B64" t="s">
        <v>323</v>
      </c>
      <c r="C64" t="s">
        <v>19</v>
      </c>
      <c r="D64" t="s">
        <v>324</v>
      </c>
      <c r="E64" t="str">
        <f>HYPERLINK("/pdf/2025_10.1109_access.2025.3569356_FEXGBIDS__Federated_XGBoost-Based_Intrusion_Detection_System_for_In-Vehicle_Network.pdf","open")</f>
        <v>open</v>
      </c>
      <c r="F64" t="s">
        <v>15</v>
      </c>
      <c r="G64" t="s">
        <v>148</v>
      </c>
      <c r="H64" t="b">
        <v>0</v>
      </c>
    </row>
    <row r="65" spans="1:8" x14ac:dyDescent="0.2">
      <c r="A65" t="s">
        <v>326</v>
      </c>
      <c r="B65" t="s">
        <v>327</v>
      </c>
      <c r="C65" t="s">
        <v>190</v>
      </c>
      <c r="D65" t="s">
        <v>329</v>
      </c>
      <c r="E65" t="str">
        <f>HYPERLINK("/pdf/2017_10.1109_iccsn.2017.8230197_EddLeak__Enhancing_precision_of_detecting_inter-app_data_leakage_in_Android_applications.pdf","open")</f>
        <v>open</v>
      </c>
      <c r="F65" t="s">
        <v>15</v>
      </c>
      <c r="H65" t="b">
        <v>0</v>
      </c>
    </row>
    <row r="66" spans="1:8" x14ac:dyDescent="0.2">
      <c r="A66" t="s">
        <v>331</v>
      </c>
      <c r="B66" t="s">
        <v>332</v>
      </c>
      <c r="C66" t="s">
        <v>25</v>
      </c>
      <c r="D66" t="s">
        <v>334</v>
      </c>
      <c r="E66" t="str">
        <f>HYPERLINK("/pdf/2023_10.1109_3ict60104.2023.10391475_Enhancing_Mobile_Security__A_Systematic_Review_of_AI_and_Blockchain_Integration_Strategies_for_Effective_Analy.pdf","open")</f>
        <v>open</v>
      </c>
      <c r="F66" t="s">
        <v>15</v>
      </c>
      <c r="G66" t="s">
        <v>148</v>
      </c>
      <c r="H66" t="b">
        <v>0</v>
      </c>
    </row>
    <row r="67" spans="1:8" x14ac:dyDescent="0.2">
      <c r="A67" t="s">
        <v>336</v>
      </c>
      <c r="B67" t="s">
        <v>337</v>
      </c>
      <c r="C67" t="s">
        <v>19</v>
      </c>
      <c r="D67" t="s">
        <v>339</v>
      </c>
      <c r="E67" t="str">
        <f>HYPERLINK("/pdf/2025_10.1007_s13198-025-03013-x_Mobile_network_intelligent_recommendation_based_on_data_mining_and_network_security_application_in_college_stu.pdf","open")</f>
        <v>open</v>
      </c>
      <c r="F67" t="s">
        <v>15</v>
      </c>
      <c r="G67" t="s">
        <v>10433</v>
      </c>
      <c r="H67" t="b">
        <v>0</v>
      </c>
    </row>
    <row r="68" spans="1:8" x14ac:dyDescent="0.2">
      <c r="A68" t="s">
        <v>341</v>
      </c>
      <c r="B68" t="s">
        <v>342</v>
      </c>
      <c r="C68" t="s">
        <v>12</v>
      </c>
      <c r="D68" t="s">
        <v>344</v>
      </c>
      <c r="E68" t="str">
        <f>HYPERLINK("/pdf/2018_10.1109_isvlsi.2018.00105_Security-driven_task_scheduling_for_multiprocessor_system-on-chips_with_performance_constraints.pdf","open")</f>
        <v>open</v>
      </c>
      <c r="F68" t="s">
        <v>15</v>
      </c>
      <c r="G68" t="s">
        <v>148</v>
      </c>
      <c r="H68" t="b">
        <v>0</v>
      </c>
    </row>
    <row r="69" spans="1:8" x14ac:dyDescent="0.2">
      <c r="A69" t="s">
        <v>346</v>
      </c>
      <c r="B69" t="s">
        <v>347</v>
      </c>
      <c r="C69" t="s">
        <v>54</v>
      </c>
      <c r="D69" t="s">
        <v>349</v>
      </c>
      <c r="E69" t="str">
        <f>HYPERLINK("/pdf/2020_10.1145_3407023.3409216_Exploring_data_leakage_in_encrypted_payload_using_supervised_machine_learning.pdf","open")</f>
        <v>open</v>
      </c>
      <c r="F69" t="s">
        <v>15</v>
      </c>
      <c r="H69" t="b">
        <v>0</v>
      </c>
    </row>
    <row r="70" spans="1:8" x14ac:dyDescent="0.2">
      <c r="A70" t="s">
        <v>351</v>
      </c>
      <c r="B70" t="s">
        <v>352</v>
      </c>
      <c r="C70" t="s">
        <v>54</v>
      </c>
      <c r="D70" t="s">
        <v>354</v>
      </c>
      <c r="E70" t="str">
        <f>HYPERLINK("/pdf/2020_10.1109_tvlsi.2020.2982188_Cache-Out__Leaking_Cache_Memory_Using_Hardware_Trojan.pdf","open")</f>
        <v>open</v>
      </c>
      <c r="F70" t="s">
        <v>15</v>
      </c>
      <c r="G70" t="s">
        <v>148</v>
      </c>
      <c r="H70" t="b">
        <v>0</v>
      </c>
    </row>
    <row r="71" spans="1:8" x14ac:dyDescent="0.2">
      <c r="A71" t="s">
        <v>356</v>
      </c>
      <c r="B71" t="s">
        <v>357</v>
      </c>
      <c r="C71" t="s">
        <v>25</v>
      </c>
      <c r="D71" t="s">
        <v>359</v>
      </c>
      <c r="E71" t="str">
        <f>HYPERLINK("/pdf/2023_10.1109_isctech60480.2023.00028_An_attack-aware_shipping_enterprise_cybersecurity_framework_based_on_deep_learning.pdf","open")</f>
        <v>open</v>
      </c>
      <c r="F71" t="s">
        <v>15</v>
      </c>
      <c r="G71" t="s">
        <v>148</v>
      </c>
      <c r="H71" t="b">
        <v>0</v>
      </c>
    </row>
    <row r="72" spans="1:8" x14ac:dyDescent="0.2">
      <c r="A72" t="s">
        <v>361</v>
      </c>
      <c r="B72" t="s">
        <v>362</v>
      </c>
      <c r="C72" t="s">
        <v>363</v>
      </c>
      <c r="D72" t="s">
        <v>365</v>
      </c>
      <c r="E72" t="str">
        <f>HYPERLINK("/pdf/2016_10.1016_j.jnca.2016.01.008_A_survey_on_data_leakage_prevention_systems.pdf","open")</f>
        <v>open</v>
      </c>
      <c r="F72" t="s">
        <v>44</v>
      </c>
      <c r="G72" t="s">
        <v>10434</v>
      </c>
      <c r="H72" t="b">
        <v>1</v>
      </c>
    </row>
    <row r="73" spans="1:8" x14ac:dyDescent="0.2">
      <c r="A73" t="s">
        <v>367</v>
      </c>
      <c r="B73" t="s">
        <v>368</v>
      </c>
      <c r="C73" t="s">
        <v>60</v>
      </c>
      <c r="D73" t="s">
        <v>370</v>
      </c>
      <c r="E73" t="str">
        <f>HYPERLINK("/pdf/2024_10.1002_9781394200801.ch32_Risks_for_conversational_AI_security.pdf","open")</f>
        <v>open</v>
      </c>
      <c r="F73" t="s">
        <v>15</v>
      </c>
      <c r="G73" t="s">
        <v>10435</v>
      </c>
      <c r="H73" t="b">
        <v>0</v>
      </c>
    </row>
    <row r="74" spans="1:8" x14ac:dyDescent="0.2">
      <c r="A74" t="s">
        <v>372</v>
      </c>
      <c r="B74" t="s">
        <v>373</v>
      </c>
      <c r="C74" t="s">
        <v>363</v>
      </c>
      <c r="D74" t="s">
        <v>375</v>
      </c>
      <c r="E74" t="str">
        <f>HYPERLINK("/pdf/2016_10.1109_hicss.2016.679_Utilizing_the_cloud_to_store_hijacked_camera_images.pdf","open")</f>
        <v>open</v>
      </c>
      <c r="F74" t="s">
        <v>15</v>
      </c>
      <c r="H74" t="b">
        <v>0</v>
      </c>
    </row>
    <row r="75" spans="1:8" x14ac:dyDescent="0.2">
      <c r="A75" t="s">
        <v>140</v>
      </c>
      <c r="B75" t="s">
        <v>141</v>
      </c>
      <c r="C75" t="s">
        <v>25</v>
      </c>
      <c r="D75" t="s">
        <v>143</v>
      </c>
      <c r="E75" t="str">
        <f>HYPERLINK("/pdf/2023_10_11591_ijece_v13i5_pp5560_5568_concept_drift_and_machine_learning_model_for_detecting_fraudulent_transactions_i.pdf","open")</f>
        <v>open</v>
      </c>
      <c r="F75" t="s">
        <v>15</v>
      </c>
      <c r="H75" t="b">
        <v>0</v>
      </c>
    </row>
    <row r="76" spans="1:8" x14ac:dyDescent="0.2">
      <c r="A76" t="s">
        <v>378</v>
      </c>
      <c r="B76" t="s">
        <v>379</v>
      </c>
      <c r="C76" t="s">
        <v>25</v>
      </c>
      <c r="D76" t="s">
        <v>378</v>
      </c>
      <c r="E76" t="str">
        <f>HYPERLINK("/pdf/2024_10_1587_transfun_2023eap1049_real_time_monitoring_systems_that_provide_m2m_communication_between_machines.pdf","open")</f>
        <v>open</v>
      </c>
      <c r="F76" t="s">
        <v>15</v>
      </c>
      <c r="G76" t="s">
        <v>148</v>
      </c>
      <c r="H76" t="b">
        <v>0</v>
      </c>
    </row>
    <row r="77" spans="1:8" x14ac:dyDescent="0.2">
      <c r="A77" t="s">
        <v>382</v>
      </c>
      <c r="B77" t="s">
        <v>383</v>
      </c>
      <c r="C77" t="s">
        <v>48</v>
      </c>
      <c r="D77" t="s">
        <v>385</v>
      </c>
      <c r="E77" t="str">
        <f>HYPERLINK("/pdf/2026_10_37394_23209_2026_23_6_intrusion_detection_system_iids.pdf","open")</f>
        <v>open</v>
      </c>
      <c r="F77" t="s">
        <v>15</v>
      </c>
      <c r="H77" t="b">
        <v>0</v>
      </c>
    </row>
    <row r="78" spans="1:8" x14ac:dyDescent="0.2">
      <c r="A78" t="s">
        <v>387</v>
      </c>
      <c r="B78" t="s">
        <v>388</v>
      </c>
      <c r="C78" t="s">
        <v>25</v>
      </c>
      <c r="D78" t="s">
        <v>390</v>
      </c>
      <c r="E78" t="str">
        <f>HYPERLINK("/pdf/2023_10_3390_fi15090296_fredy_federated_resilience_enhanced_with_differential_privacy.pdf","open")</f>
        <v>open</v>
      </c>
      <c r="F78" t="s">
        <v>15</v>
      </c>
      <c r="H78" t="b">
        <v>0</v>
      </c>
    </row>
    <row r="79" spans="1:8" x14ac:dyDescent="0.2">
      <c r="A79" t="s">
        <v>392</v>
      </c>
      <c r="B79" t="s">
        <v>393</v>
      </c>
      <c r="C79" t="s">
        <v>19</v>
      </c>
      <c r="D79" t="s">
        <v>395</v>
      </c>
      <c r="E79" t="str">
        <f>HYPERLINK("/pdf/2025_10.1109_isctt66403.2025.11137906_Distributed_Network_Intrusion_Detection_Model_Based_on_Multi-Feature_Fusion_Generative_Adversarial_Network_and.pdf","open")</f>
        <v>open</v>
      </c>
      <c r="F79" t="s">
        <v>15</v>
      </c>
      <c r="G79" t="s">
        <v>148</v>
      </c>
      <c r="H79" t="b">
        <v>0</v>
      </c>
    </row>
    <row r="80" spans="1:8" x14ac:dyDescent="0.2">
      <c r="A80" t="s">
        <v>397</v>
      </c>
      <c r="B80" t="s">
        <v>398</v>
      </c>
      <c r="C80" t="s">
        <v>25</v>
      </c>
      <c r="D80" t="s">
        <v>400</v>
      </c>
      <c r="E80" t="str">
        <f>HYPERLINK("/pdf/2023_10_3390_en16134838_a_review_of_cybersecurity_concerns_for_transactive_energy_markets.pdf","open")</f>
        <v>open</v>
      </c>
      <c r="F80" t="s">
        <v>15</v>
      </c>
      <c r="G80" t="s">
        <v>10436</v>
      </c>
      <c r="H80" t="b">
        <v>0</v>
      </c>
    </row>
    <row r="81" spans="1:8" x14ac:dyDescent="0.2">
      <c r="A81" t="s">
        <v>402</v>
      </c>
      <c r="B81" t="s">
        <v>403</v>
      </c>
      <c r="C81" t="s">
        <v>136</v>
      </c>
      <c r="D81" t="s">
        <v>405</v>
      </c>
      <c r="E81" t="str">
        <f>HYPERLINK("/pdf/2019_10_1109_compsac_2019_00118_ctrl_alt_led_leaking_data_from_air_gapped_computers_via_keyboard_leds.pdf","open")</f>
        <v>open</v>
      </c>
      <c r="F81" t="s">
        <v>15</v>
      </c>
      <c r="G81" t="s">
        <v>148</v>
      </c>
      <c r="H81" t="b">
        <v>1</v>
      </c>
    </row>
    <row r="82" spans="1:8" x14ac:dyDescent="0.2">
      <c r="A82" t="s">
        <v>407</v>
      </c>
      <c r="B82" t="s">
        <v>408</v>
      </c>
      <c r="C82" t="s">
        <v>12</v>
      </c>
      <c r="D82" t="s">
        <v>410</v>
      </c>
      <c r="E82" t="str">
        <f>HYPERLINK("/pdf/2018_10.1109_iccnc.2018.8390242_Don't_Be_Surprised__I_See_Your_Mobile_App_Stealing_Your_Data.pdf","open")</f>
        <v>open</v>
      </c>
      <c r="F82" t="s">
        <v>15</v>
      </c>
      <c r="G82" t="s">
        <v>148</v>
      </c>
      <c r="H82" t="b">
        <v>0</v>
      </c>
    </row>
    <row r="83" spans="1:8" x14ac:dyDescent="0.2">
      <c r="A83" t="s">
        <v>412</v>
      </c>
      <c r="B83" t="s">
        <v>11</v>
      </c>
      <c r="C83" t="s">
        <v>12</v>
      </c>
      <c r="D83" t="s">
        <v>14</v>
      </c>
      <c r="E83" t="str">
        <f>HYPERLINK("/pdf/2018_10_1007_978_1_4842_3700_7_defending_iot_infrastructures_with_the_raspberry_pi_monitoring_and_detecting_nefarious_be.pdf","open")</f>
        <v>open</v>
      </c>
      <c r="F83" t="s">
        <v>15</v>
      </c>
      <c r="G83" t="s">
        <v>148</v>
      </c>
      <c r="H83" t="b">
        <v>0</v>
      </c>
    </row>
    <row r="84" spans="1:8" x14ac:dyDescent="0.2">
      <c r="A84" t="s">
        <v>415</v>
      </c>
      <c r="B84" t="s">
        <v>416</v>
      </c>
      <c r="C84" t="s">
        <v>19</v>
      </c>
      <c r="D84" t="s">
        <v>418</v>
      </c>
      <c r="E84" t="str">
        <f>HYPERLINK("/pdf/2025_10.1007_s10586-025-05591-8_RF-FedAvg__Federated_learning-based_random_forest_model_for_intrusion_detection_in_wireless_sensor_networks.pdf","open")</f>
        <v>open</v>
      </c>
      <c r="F84" t="s">
        <v>15</v>
      </c>
      <c r="G84" t="s">
        <v>148</v>
      </c>
      <c r="H84" t="b">
        <v>0</v>
      </c>
    </row>
    <row r="85" spans="1:8" x14ac:dyDescent="0.2">
      <c r="A85" t="s">
        <v>420</v>
      </c>
      <c r="B85" t="s">
        <v>421</v>
      </c>
      <c r="C85" t="s">
        <v>19</v>
      </c>
      <c r="D85" t="s">
        <v>423</v>
      </c>
      <c r="E85" t="str">
        <f>HYPERLINK("/pdf/2025_10.1109_tifs.2025.3607271_The_Gradient_Puppeteer__Adversarial_Domination_in_Gradient_Leakage_Attacks_Through_Model_Poisoning.pdf","open")</f>
        <v>open</v>
      </c>
      <c r="F85" t="s">
        <v>15</v>
      </c>
      <c r="H85" t="b">
        <v>0</v>
      </c>
    </row>
    <row r="86" spans="1:8" x14ac:dyDescent="0.2">
      <c r="A86" t="s">
        <v>425</v>
      </c>
      <c r="B86" t="s">
        <v>426</v>
      </c>
      <c r="C86" t="s">
        <v>210</v>
      </c>
      <c r="D86" t="s">
        <v>428</v>
      </c>
      <c r="E86" t="str">
        <f>HYPERLINK("/pdf/2015_10.1109_ictc.2015.7354766_Mobile_security_technology_for_smart_devices.pdf","open")</f>
        <v>open</v>
      </c>
      <c r="F86" t="s">
        <v>15</v>
      </c>
      <c r="G86" t="s">
        <v>148</v>
      </c>
      <c r="H86" t="b">
        <v>0</v>
      </c>
    </row>
    <row r="87" spans="1:8" x14ac:dyDescent="0.2">
      <c r="A87" t="s">
        <v>430</v>
      </c>
      <c r="B87" t="s">
        <v>431</v>
      </c>
      <c r="C87" t="s">
        <v>60</v>
      </c>
      <c r="D87" t="s">
        <v>433</v>
      </c>
      <c r="E87" t="str">
        <f>HYPERLINK("/pdf/2024_10.1109_icees61253.2024.10776873_A_Comparative_Study_on_the_Impacts_of_Data_Leakage_During_Feature_Selection_using_the_CIC-IoT_2023_Intrusion_D.pdf","open")</f>
        <v>open</v>
      </c>
      <c r="F87" t="s">
        <v>15</v>
      </c>
      <c r="H87" t="b">
        <v>0</v>
      </c>
    </row>
    <row r="88" spans="1:8" x14ac:dyDescent="0.2">
      <c r="A88" t="s">
        <v>435</v>
      </c>
      <c r="B88" t="s">
        <v>436</v>
      </c>
      <c r="C88" t="s">
        <v>25</v>
      </c>
      <c r="D88" t="s">
        <v>438</v>
      </c>
      <c r="E88" t="str">
        <f>HYPERLINK("/pdf/2023_10.1109_tnet.2022.3215549_Packet_Chunking_for_File_Detection.pdf","open")</f>
        <v>open</v>
      </c>
      <c r="F88" t="s">
        <v>15</v>
      </c>
      <c r="G88" t="s">
        <v>148</v>
      </c>
      <c r="H88" t="b">
        <v>0</v>
      </c>
    </row>
    <row r="89" spans="1:8" x14ac:dyDescent="0.2">
      <c r="A89" t="s">
        <v>440</v>
      </c>
      <c r="B89" t="s">
        <v>441</v>
      </c>
      <c r="C89" t="s">
        <v>54</v>
      </c>
      <c r="D89" t="s">
        <v>443</v>
      </c>
      <c r="E89" t="str">
        <f>HYPERLINK("/pdf/2020_10.1109_tvlsi.2019.2961358_HarTBleed__Using_Hardware_Trojans_for_Data_Leakage_Exploits.pdf","open")</f>
        <v>open</v>
      </c>
      <c r="F89" t="s">
        <v>15</v>
      </c>
      <c r="G89" t="s">
        <v>148</v>
      </c>
      <c r="H89" t="b">
        <v>0</v>
      </c>
    </row>
    <row r="90" spans="1:8" x14ac:dyDescent="0.2">
      <c r="A90" t="s">
        <v>445</v>
      </c>
      <c r="B90" t="s">
        <v>446</v>
      </c>
      <c r="C90" t="s">
        <v>19</v>
      </c>
      <c r="D90" t="s">
        <v>448</v>
      </c>
      <c r="E90" t="str">
        <f>HYPERLINK("/pdf/2025_10_3991_ijep_v15i4_53127_integration_of_cybersecurity_into_computer_science_teachers_training_a_systematic_review.pdf","open")</f>
        <v>open</v>
      </c>
      <c r="F90" t="s">
        <v>44</v>
      </c>
      <c r="G90" t="s">
        <v>10437</v>
      </c>
      <c r="H90" t="b">
        <v>1</v>
      </c>
    </row>
    <row r="91" spans="1:8" x14ac:dyDescent="0.2">
      <c r="A91" t="s">
        <v>450</v>
      </c>
      <c r="B91" t="s">
        <v>451</v>
      </c>
      <c r="C91" t="s">
        <v>19</v>
      </c>
      <c r="D91" t="s">
        <v>453</v>
      </c>
      <c r="E91" t="str">
        <f>HYPERLINK("/pdf/2025_10.1109_iccad66269.2025.11240658_Invited_Paper__2025_ICCAD_CAD_Contest_Problem_A__Hardware_Trojan_Detection_on_Gate-Level_Netlist.pdf","open")</f>
        <v>open</v>
      </c>
      <c r="F91" t="s">
        <v>15</v>
      </c>
      <c r="G91" t="s">
        <v>148</v>
      </c>
      <c r="H91" t="b">
        <v>0</v>
      </c>
    </row>
    <row r="92" spans="1:8" x14ac:dyDescent="0.2">
      <c r="A92" t="s">
        <v>455</v>
      </c>
      <c r="B92" t="s">
        <v>456</v>
      </c>
      <c r="C92" t="s">
        <v>136</v>
      </c>
      <c r="D92" t="s">
        <v>148</v>
      </c>
      <c r="E92" t="str">
        <f>HYPERLINK("/pdf/2019_Testing_the_human_backdoor__organizational_response_to_a_phishing_campaign.pdf","open")</f>
        <v>open</v>
      </c>
      <c r="F92" t="s">
        <v>15</v>
      </c>
      <c r="G92" t="s">
        <v>148</v>
      </c>
      <c r="H92" t="b">
        <v>0</v>
      </c>
    </row>
    <row r="93" spans="1:8" x14ac:dyDescent="0.2">
      <c r="A93" t="s">
        <v>459</v>
      </c>
      <c r="B93" t="s">
        <v>460</v>
      </c>
      <c r="C93" t="s">
        <v>156</v>
      </c>
      <c r="D93" t="s">
        <v>148</v>
      </c>
      <c r="E93" t="str">
        <f>HYPERLINK("/pdf/2013_10_15837_ijccc_2013_1_173_managing_information_technology_security_in_the_context_of_cyber_crime_trends.pdf","open")</f>
        <v>open</v>
      </c>
      <c r="F93" t="s">
        <v>15</v>
      </c>
      <c r="G93" t="s">
        <v>148</v>
      </c>
      <c r="H93" t="b">
        <v>0</v>
      </c>
    </row>
    <row r="94" spans="1:8" x14ac:dyDescent="0.2">
      <c r="A94" t="s">
        <v>463</v>
      </c>
      <c r="B94" t="s">
        <v>464</v>
      </c>
      <c r="C94" t="s">
        <v>25</v>
      </c>
      <c r="D94" t="s">
        <v>466</v>
      </c>
      <c r="E94" t="str">
        <f>HYPERLINK("/pdf/2023_10.1109_cymaen57228.2023.10050996_Robotic_Process_Automation_and_Intelligent_Automation_Security_Challenges__A_Review.pdf","open")</f>
        <v>open</v>
      </c>
      <c r="F94" t="s">
        <v>15</v>
      </c>
      <c r="G94" t="s">
        <v>1657</v>
      </c>
      <c r="H94" t="b">
        <v>1</v>
      </c>
    </row>
    <row r="95" spans="1:8" x14ac:dyDescent="0.2">
      <c r="A95" t="s">
        <v>468</v>
      </c>
      <c r="B95" t="s">
        <v>469</v>
      </c>
      <c r="C95" t="s">
        <v>100</v>
      </c>
      <c r="D95" t="s">
        <v>471</v>
      </c>
      <c r="E95" t="str">
        <f>HYPERLINK("/pdf/2022_10.1109_globecom48099.2022.10001017_Intelligent_Ensemble_based_System_for_Rare_Attacks_Dectection_in_IoT_Networks.pdf","open")</f>
        <v>open</v>
      </c>
      <c r="F95" t="s">
        <v>15</v>
      </c>
      <c r="H95" t="b">
        <v>0</v>
      </c>
    </row>
    <row r="96" spans="1:8" x14ac:dyDescent="0.2">
      <c r="A96" t="s">
        <v>473</v>
      </c>
      <c r="B96" t="s">
        <v>474</v>
      </c>
      <c r="C96" t="s">
        <v>36</v>
      </c>
      <c r="D96" t="s">
        <v>476</v>
      </c>
      <c r="E96" t="str">
        <f>HYPERLINK("/pdf/2022_10.1109_hpcc-dss-smartcity-dependsys53884.2021.00090_Detecting_Data_Leakage_in_DNS_Traffic_based_on_Time_Series_Anomaly_Detection.pdf","open")</f>
        <v>open</v>
      </c>
      <c r="F96" t="s">
        <v>15</v>
      </c>
      <c r="G96" t="s">
        <v>148</v>
      </c>
      <c r="H96" t="b">
        <v>0</v>
      </c>
    </row>
    <row r="97" spans="1:8" x14ac:dyDescent="0.2">
      <c r="A97" t="s">
        <v>478</v>
      </c>
      <c r="B97" t="s">
        <v>479</v>
      </c>
      <c r="C97" t="s">
        <v>136</v>
      </c>
      <c r="D97" t="s">
        <v>480</v>
      </c>
      <c r="E97" t="str">
        <f>HYPERLINK("/pdf/2019_10.1016_j.jnca.2019.07.006_Using_malware_for_the_greater_good__Mitigating_data_leakage.pdf","open")</f>
        <v>open</v>
      </c>
      <c r="F97" t="s">
        <v>44</v>
      </c>
      <c r="G97" t="s">
        <v>10438</v>
      </c>
      <c r="H97" t="b">
        <v>1</v>
      </c>
    </row>
    <row r="98" spans="1:8" x14ac:dyDescent="0.2">
      <c r="A98" t="s">
        <v>482</v>
      </c>
      <c r="B98" t="s">
        <v>483</v>
      </c>
      <c r="C98" t="s">
        <v>363</v>
      </c>
      <c r="D98" t="s">
        <v>482</v>
      </c>
      <c r="E98" t="str">
        <f>HYPERLINK("/pdf/2016_10.1002_sec.1531_DAT_detectors__uncovering_TCP_IP_covert_channels_by_descriptive_analytics.pdf","open")</f>
        <v>open</v>
      </c>
      <c r="F98" t="s">
        <v>15</v>
      </c>
      <c r="G98" t="s">
        <v>148</v>
      </c>
      <c r="H98" t="b">
        <v>0</v>
      </c>
    </row>
    <row r="99" spans="1:8" x14ac:dyDescent="0.2">
      <c r="A99" t="s">
        <v>486</v>
      </c>
      <c r="B99" t="s">
        <v>487</v>
      </c>
      <c r="C99" t="s">
        <v>25</v>
      </c>
      <c r="D99" t="s">
        <v>489</v>
      </c>
      <c r="E99" t="str">
        <f>HYPERLINK("/pdf/2023_10.1007_s10207-022-00651-1_Random_resampling_algorithms_for_addressing_the_imbalanced_dataset_classes_in_insider_threat_detection.pdf","open")</f>
        <v>open</v>
      </c>
      <c r="F99" t="s">
        <v>15</v>
      </c>
      <c r="H99" t="b">
        <v>0</v>
      </c>
    </row>
    <row r="100" spans="1:8" x14ac:dyDescent="0.2">
      <c r="A100" t="s">
        <v>491</v>
      </c>
      <c r="B100" t="s">
        <v>492</v>
      </c>
      <c r="C100" t="s">
        <v>19</v>
      </c>
      <c r="D100" t="s">
        <v>494</v>
      </c>
      <c r="E100" t="str">
        <f>HYPERLINK("/pdf/2025_10_1038_s41598_025_88856_x_security_verification_framework_for_ndn_access_control.pdf","open")</f>
        <v>open</v>
      </c>
      <c r="F100" t="s">
        <v>44</v>
      </c>
      <c r="G100" t="s">
        <v>10439</v>
      </c>
      <c r="H100" t="b">
        <v>1</v>
      </c>
    </row>
    <row r="101" spans="1:8" x14ac:dyDescent="0.2">
      <c r="A101" t="s">
        <v>496</v>
      </c>
      <c r="B101" t="s">
        <v>497</v>
      </c>
      <c r="C101" t="s">
        <v>12</v>
      </c>
      <c r="D101" t="s">
        <v>148</v>
      </c>
      <c r="E101" t="str">
        <f>HYPERLINK("/pdf/2018_10.1109_ntms.2018.8328709_On_the_detection_and_handling_of_security_incidents_and_perimeter_breaches_-_A_modular_and_flexible_honeytoken.pdf","open")</f>
        <v>open</v>
      </c>
      <c r="F101" t="s">
        <v>15</v>
      </c>
      <c r="G101" t="s">
        <v>148</v>
      </c>
      <c r="H101" t="b">
        <v>0</v>
      </c>
    </row>
    <row r="102" spans="1:8" x14ac:dyDescent="0.2">
      <c r="A102" t="s">
        <v>500</v>
      </c>
      <c r="B102" t="s">
        <v>501</v>
      </c>
      <c r="C102" t="s">
        <v>48</v>
      </c>
      <c r="D102" t="s">
        <v>503</v>
      </c>
      <c r="E102" t="str">
        <f>HYPERLINK("/pdf/2026_10.1007_s10922-026-10034-9_Robust_CNN-Based_Threat_Detection_in_SDN-Enabled_IoT_Networks.pdf","open")</f>
        <v>open</v>
      </c>
      <c r="F102" t="s">
        <v>15</v>
      </c>
      <c r="G102" t="s">
        <v>148</v>
      </c>
      <c r="H102" t="b">
        <v>0</v>
      </c>
    </row>
    <row r="103" spans="1:8" x14ac:dyDescent="0.2">
      <c r="A103" t="s">
        <v>505</v>
      </c>
      <c r="B103" t="s">
        <v>506</v>
      </c>
      <c r="C103" t="s">
        <v>100</v>
      </c>
      <c r="D103" t="s">
        <v>508</v>
      </c>
      <c r="E103" t="str">
        <f>HYPERLINK("/pdf/2022_10.1109_aie57029.2022.00096_AI_in_Blockchain_Towards_Realizing_Cyber_Security.pdf","open")</f>
        <v>open</v>
      </c>
      <c r="F103" t="s">
        <v>15</v>
      </c>
      <c r="G103" t="s">
        <v>148</v>
      </c>
      <c r="H103" t="b">
        <v>0</v>
      </c>
    </row>
    <row r="104" spans="1:8" x14ac:dyDescent="0.2">
      <c r="A104" t="s">
        <v>510</v>
      </c>
      <c r="B104" t="s">
        <v>511</v>
      </c>
      <c r="C104" t="s">
        <v>210</v>
      </c>
      <c r="D104" t="s">
        <v>513</v>
      </c>
      <c r="E104" t="str">
        <f>HYPERLINK("/pdf/2015_10.1109_trustcom.2015.464_Detecting_data_semantic__A_data_leakage_prevention_approach.pdf","open")</f>
        <v>open</v>
      </c>
      <c r="F104" t="s">
        <v>15</v>
      </c>
      <c r="H104" t="b">
        <v>0</v>
      </c>
    </row>
    <row r="105" spans="1:8" x14ac:dyDescent="0.2">
      <c r="A105" t="s">
        <v>271</v>
      </c>
      <c r="B105" t="s">
        <v>272</v>
      </c>
      <c r="C105" t="s">
        <v>60</v>
      </c>
      <c r="D105" t="s">
        <v>274</v>
      </c>
      <c r="E105" t="str">
        <f>HYPERLINK("/pdf/2024_10_4108_eetsis_5028_determining_intrusion_attacks_against_online_applications_using_cloud_based_data.pdf","open")</f>
        <v>open</v>
      </c>
      <c r="F105" t="s">
        <v>15</v>
      </c>
      <c r="G105" t="s">
        <v>10440</v>
      </c>
      <c r="H105" t="b">
        <v>1</v>
      </c>
    </row>
    <row r="106" spans="1:8" x14ac:dyDescent="0.2">
      <c r="A106" t="s">
        <v>516</v>
      </c>
      <c r="B106" t="s">
        <v>517</v>
      </c>
      <c r="C106" t="s">
        <v>518</v>
      </c>
      <c r="D106" t="s">
        <v>148</v>
      </c>
      <c r="E106" t="str">
        <f>HYPERLINK("/pdf/2021_Exploring_the_information_security_practices_on_the_smartphone_by_the_postgraduate_students_of_University_of_C.pdf","open")</f>
        <v>open</v>
      </c>
      <c r="F106" t="s">
        <v>15</v>
      </c>
      <c r="G106" t="s">
        <v>10441</v>
      </c>
      <c r="H106" t="b">
        <v>0</v>
      </c>
    </row>
    <row r="107" spans="1:8" x14ac:dyDescent="0.2">
      <c r="A107" t="s">
        <v>521</v>
      </c>
      <c r="B107" t="s">
        <v>522</v>
      </c>
      <c r="C107" t="s">
        <v>25</v>
      </c>
      <c r="D107" t="s">
        <v>524</v>
      </c>
      <c r="E107" t="str">
        <f>HYPERLINK("/pdf/2023_10.1109_pcems58491.2023.10136083_Automated_Detection_of_Hardware_Trojans_using_Power_Side-Channel_Analysis_and_VGG-Net.pdf","open")</f>
        <v>open</v>
      </c>
      <c r="F107" t="s">
        <v>15</v>
      </c>
      <c r="G107" t="s">
        <v>148</v>
      </c>
      <c r="H107" t="b">
        <v>0</v>
      </c>
    </row>
    <row r="108" spans="1:8" x14ac:dyDescent="0.2">
      <c r="A108" t="s">
        <v>526</v>
      </c>
      <c r="B108" t="s">
        <v>527</v>
      </c>
      <c r="C108" t="s">
        <v>25</v>
      </c>
      <c r="D108" t="s">
        <v>529</v>
      </c>
      <c r="E108" t="str">
        <f>HYPERLINK("/pdf/2023_10.1109_sin60469.2023.10474998_Exploring_the_Evolving_Landscape_of_API_Security_Challenges_in_the_Healthcare_Industry__A_Comprehensive_Review.pdf","open")</f>
        <v>open</v>
      </c>
      <c r="F108" t="s">
        <v>15</v>
      </c>
      <c r="G108" t="s">
        <v>1657</v>
      </c>
      <c r="H108" t="b">
        <v>0</v>
      </c>
    </row>
    <row r="109" spans="1:8" x14ac:dyDescent="0.2">
      <c r="A109" t="s">
        <v>531</v>
      </c>
      <c r="B109" t="s">
        <v>532</v>
      </c>
      <c r="C109" t="s">
        <v>156</v>
      </c>
      <c r="D109" t="s">
        <v>148</v>
      </c>
      <c r="E109" t="str">
        <f>HYPERLINK("/pdf/2013_10_1109_icmla_2013_104_streaming_malware_classification_in_the_presence_of_concept_drift_and_class_imbalance.pdf","open")</f>
        <v>open</v>
      </c>
      <c r="F109" t="s">
        <v>15</v>
      </c>
      <c r="H109" t="b">
        <v>0</v>
      </c>
    </row>
    <row r="110" spans="1:8" x14ac:dyDescent="0.2">
      <c r="A110" t="s">
        <v>535</v>
      </c>
      <c r="B110" t="s">
        <v>536</v>
      </c>
      <c r="C110" t="s">
        <v>60</v>
      </c>
      <c r="D110" t="s">
        <v>538</v>
      </c>
      <c r="E110" t="str">
        <f>HYPERLINK("/pdf/2023_10_32604_cmes_2023_044169_enhancing_healthcare_data_security_and_disease_detection_using_crossover_based_m.pdf","open")</f>
        <v>open</v>
      </c>
      <c r="F110" t="s">
        <v>15</v>
      </c>
      <c r="G110" t="s">
        <v>148</v>
      </c>
      <c r="H110" t="b">
        <v>0</v>
      </c>
    </row>
    <row r="111" spans="1:8" x14ac:dyDescent="0.2">
      <c r="A111" t="s">
        <v>540</v>
      </c>
      <c r="B111" t="s">
        <v>541</v>
      </c>
      <c r="C111" t="s">
        <v>25</v>
      </c>
      <c r="D111" t="s">
        <v>540</v>
      </c>
      <c r="E111" t="str">
        <f>HYPERLINK("/pdf/2024_10_1109_tdsc_2023_3323713_leakage_of_authorization_data_in_iot_device_sharing_new_attacks_and_countermeas.pdf","open")</f>
        <v>open</v>
      </c>
      <c r="F111" t="s">
        <v>15</v>
      </c>
      <c r="H111" t="b">
        <v>0</v>
      </c>
    </row>
    <row r="112" spans="1:8" x14ac:dyDescent="0.2">
      <c r="A112" t="s">
        <v>544</v>
      </c>
      <c r="B112" t="s">
        <v>545</v>
      </c>
      <c r="C112" t="s">
        <v>156</v>
      </c>
      <c r="D112" t="s">
        <v>547</v>
      </c>
      <c r="E112" t="str">
        <f>HYPERLINK("/pdf/2013_10.1109_icspcs.2013.6723919_Adaptable_N-gram_classification_model_for_data_leakage_prevention.pdf","open")</f>
        <v>open</v>
      </c>
      <c r="F112" t="s">
        <v>15</v>
      </c>
      <c r="G112" t="s">
        <v>148</v>
      </c>
      <c r="H112" t="b">
        <v>0</v>
      </c>
    </row>
    <row r="113" spans="1:8" x14ac:dyDescent="0.2">
      <c r="A113" t="s">
        <v>549</v>
      </c>
      <c r="B113" t="s">
        <v>550</v>
      </c>
      <c r="C113" t="s">
        <v>25</v>
      </c>
      <c r="D113" t="s">
        <v>552</v>
      </c>
      <c r="E113" t="str">
        <f>HYPERLINK("/pdf/2023_10.58496_mjcs_2023_016_A_Comprehensive_Review_of_Security_Measures_in_Database_Systems__Assessing_Authentication,_Access_Control,_and.pdf","open")</f>
        <v>open</v>
      </c>
      <c r="F113" t="s">
        <v>15</v>
      </c>
      <c r="G113" t="s">
        <v>1657</v>
      </c>
      <c r="H113" t="b">
        <v>0</v>
      </c>
    </row>
    <row r="114" spans="1:8" x14ac:dyDescent="0.2">
      <c r="A114" t="s">
        <v>554</v>
      </c>
      <c r="B114" t="s">
        <v>555</v>
      </c>
      <c r="C114" t="s">
        <v>19</v>
      </c>
      <c r="D114" t="s">
        <v>557</v>
      </c>
      <c r="E114" t="str">
        <f>HYPERLINK("/pdf/2025_10_36128_priw_vi54_1201_artificial_intelligence_in_e_administration.pdf","open")</f>
        <v>open</v>
      </c>
      <c r="F114" t="s">
        <v>15</v>
      </c>
      <c r="G114" t="s">
        <v>148</v>
      </c>
      <c r="H114" t="b">
        <v>0</v>
      </c>
    </row>
    <row r="115" spans="1:8" x14ac:dyDescent="0.2">
      <c r="A115" t="s">
        <v>559</v>
      </c>
      <c r="B115" t="s">
        <v>560</v>
      </c>
      <c r="C115" t="s">
        <v>19</v>
      </c>
      <c r="D115" t="s">
        <v>562</v>
      </c>
      <c r="E115" t="str">
        <f>HYPERLINK("/pdf/2025_10.1109_eurospw67616.2025.00026_PPT-GNN__A_Practical_Pretrained_Spatio-Temporal_Graph_Neural_Network_for_Network_Security.pdf","open")</f>
        <v>open</v>
      </c>
      <c r="F115" t="s">
        <v>15</v>
      </c>
      <c r="H115" t="b">
        <v>0</v>
      </c>
    </row>
    <row r="116" spans="1:8" x14ac:dyDescent="0.2">
      <c r="A116" t="s">
        <v>564</v>
      </c>
      <c r="B116" t="s">
        <v>565</v>
      </c>
      <c r="C116" t="s">
        <v>19</v>
      </c>
      <c r="D116" t="s">
        <v>567</v>
      </c>
      <c r="E116" t="str">
        <f>HYPERLINK("/pdf/2025_10.1109_discover66922.2025.11259004_Adaptive_Graph_Attention_Network-Approach_for_Detecting_Hardware_Trojans.pdf","open")</f>
        <v>open</v>
      </c>
      <c r="F116" t="s">
        <v>15</v>
      </c>
      <c r="H116" t="b">
        <v>0</v>
      </c>
    </row>
    <row r="117" spans="1:8" x14ac:dyDescent="0.2">
      <c r="A117" t="s">
        <v>569</v>
      </c>
      <c r="B117" t="s">
        <v>570</v>
      </c>
      <c r="C117" t="s">
        <v>60</v>
      </c>
      <c r="D117" t="s">
        <v>572</v>
      </c>
      <c r="E117" t="str">
        <f>HYPERLINK("/pdf/2024_10.1109_sces61914.2024.10652305_IoT_Network_Anomaly_Detection_Using_Machine_Learning_and_Deep_Learning_Techniques_-_Research_Study.pdf","open")</f>
        <v>open</v>
      </c>
      <c r="F117" t="s">
        <v>15</v>
      </c>
      <c r="G117" t="s">
        <v>148</v>
      </c>
      <c r="H117" t="b">
        <v>0</v>
      </c>
    </row>
    <row r="118" spans="1:8" x14ac:dyDescent="0.2">
      <c r="A118" t="s">
        <v>574</v>
      </c>
      <c r="B118" t="s">
        <v>575</v>
      </c>
      <c r="C118" t="s">
        <v>60</v>
      </c>
      <c r="D118" t="s">
        <v>577</v>
      </c>
      <c r="E118" t="str">
        <f>HYPERLINK("/pdf/2024_10.12263_dzxb.20220611_A_Whitelist_Network_Control_Based_on_Android_Kernel_Driver;_基于_Android_内核驱动的白名单网络控制.pdf","open")</f>
        <v>open</v>
      </c>
      <c r="F118" t="s">
        <v>15</v>
      </c>
      <c r="G118" t="s">
        <v>148</v>
      </c>
      <c r="H118" t="b">
        <v>1</v>
      </c>
    </row>
    <row r="119" spans="1:8" x14ac:dyDescent="0.2">
      <c r="A119" t="s">
        <v>579</v>
      </c>
      <c r="B119" t="s">
        <v>580</v>
      </c>
      <c r="C119" t="s">
        <v>100</v>
      </c>
      <c r="D119" t="s">
        <v>582</v>
      </c>
      <c r="E119" t="str">
        <f>HYPERLINK("/pdf/2022_10.1109_icc45855.2022.9839001_Intelligent_Fingerprinting_to_Detect_Data_Leakage_Attacks_on_Spectrum_Sensors.pdf","open")</f>
        <v>open</v>
      </c>
      <c r="F119" t="s">
        <v>15</v>
      </c>
      <c r="G119" t="s">
        <v>148</v>
      </c>
      <c r="H119" t="b">
        <v>0</v>
      </c>
    </row>
    <row r="120" spans="1:8" x14ac:dyDescent="0.2">
      <c r="A120" t="s">
        <v>584</v>
      </c>
      <c r="B120" t="s">
        <v>585</v>
      </c>
      <c r="C120" t="s">
        <v>60</v>
      </c>
      <c r="D120" t="s">
        <v>587</v>
      </c>
      <c r="E120" t="str">
        <f>HYPERLINK("/pdf/2024_10.1145_3689236.3689867_Intelligent_Talent_Information_System_Guarantee_Based_on_Cyberspace_Security_Technology.pdf","open")</f>
        <v>open</v>
      </c>
      <c r="F120" t="s">
        <v>44</v>
      </c>
      <c r="G120" t="s">
        <v>10442</v>
      </c>
      <c r="H120" t="b">
        <v>1</v>
      </c>
    </row>
    <row r="121" spans="1:8" x14ac:dyDescent="0.2">
      <c r="A121" t="s">
        <v>589</v>
      </c>
      <c r="B121" t="s">
        <v>110</v>
      </c>
      <c r="C121" t="s">
        <v>36</v>
      </c>
      <c r="D121" t="s">
        <v>112</v>
      </c>
      <c r="E121" t="str">
        <f>HYPERLINK("/pdf/2021_10_1109_iccd53106_2021_00097_qflow_quantitative_information_flow_for_security_aware_hardware_design_in_veril.pdf","open")</f>
        <v>open</v>
      </c>
      <c r="F121" t="s">
        <v>590</v>
      </c>
      <c r="G121" t="s">
        <v>10443</v>
      </c>
      <c r="H121" t="b">
        <v>1</v>
      </c>
    </row>
    <row r="122" spans="1:8" x14ac:dyDescent="0.2">
      <c r="A122" t="s">
        <v>592</v>
      </c>
      <c r="B122" t="s">
        <v>593</v>
      </c>
      <c r="C122" t="s">
        <v>136</v>
      </c>
      <c r="D122" t="s">
        <v>594</v>
      </c>
      <c r="E122" t="str">
        <f>HYPERLINK("/pdf/2019_10.1109_jiot.2018.2871719_An_ensemble_intrusion_detection_technique_based_on_proposed_statistical_flow_features_for_protecting_network_t.pdf","open")</f>
        <v>open</v>
      </c>
      <c r="F122" t="s">
        <v>15</v>
      </c>
      <c r="H122" t="b">
        <v>0</v>
      </c>
    </row>
    <row r="123" spans="1:8" x14ac:dyDescent="0.2">
      <c r="A123" t="s">
        <v>596</v>
      </c>
      <c r="B123" t="s">
        <v>597</v>
      </c>
      <c r="C123" t="s">
        <v>598</v>
      </c>
      <c r="D123" t="s">
        <v>600</v>
      </c>
      <c r="E123" t="str">
        <f>HYPERLINK("/pdf/2012_10.1109_hicss.2012.491_Pseudonymization_with_metadata_encryption_for_privacy-preserving_searchable_documents.pdf","open")</f>
        <v>open</v>
      </c>
      <c r="F123" t="s">
        <v>15</v>
      </c>
      <c r="G123" t="s">
        <v>148</v>
      </c>
      <c r="H123" t="b">
        <v>0</v>
      </c>
    </row>
    <row r="124" spans="1:8" x14ac:dyDescent="0.2">
      <c r="A124" t="s">
        <v>602</v>
      </c>
      <c r="B124" t="s">
        <v>603</v>
      </c>
      <c r="C124" t="s">
        <v>19</v>
      </c>
      <c r="D124" t="s">
        <v>605</v>
      </c>
      <c r="E124" t="str">
        <f>HYPERLINK("/pdf/2025_10_1007_s43926_025_00185_7_a_feature_level_ensemble_machine_learning_approach_for_attack_detection_in_iot_networks.pdf","open")</f>
        <v>open</v>
      </c>
      <c r="F124" t="s">
        <v>15</v>
      </c>
      <c r="H124" t="b">
        <v>0</v>
      </c>
    </row>
    <row r="125" spans="1:8" x14ac:dyDescent="0.2">
      <c r="A125" t="s">
        <v>607</v>
      </c>
      <c r="B125" t="s">
        <v>608</v>
      </c>
      <c r="C125" t="s">
        <v>60</v>
      </c>
      <c r="D125" t="s">
        <v>610</v>
      </c>
      <c r="E125" t="str">
        <f>HYPERLINK("/pdf/2024_10.1007_s42979-024-03152-1_P3IDF-EC__PCA-Based_Privacy-Preserving_Intrusion_Detection_Framework_for_Edge_Computing.pdf","open")</f>
        <v>open</v>
      </c>
      <c r="F125" t="s">
        <v>15</v>
      </c>
      <c r="H125" t="b">
        <v>0</v>
      </c>
    </row>
    <row r="126" spans="1:8" x14ac:dyDescent="0.2">
      <c r="A126" t="s">
        <v>612</v>
      </c>
      <c r="B126" t="s">
        <v>613</v>
      </c>
      <c r="C126" t="s">
        <v>19</v>
      </c>
      <c r="D126" t="s">
        <v>615</v>
      </c>
      <c r="E126" t="str">
        <f>HYPERLINK("/pdf/2025_10.1109_isdfs65363.2025.11012123_Insider_Threat_Pattern_Detection_Using_Deep_Learning_to_Evaluate_Cyber_Value_at_Risk_(CVaR).pdf","open")</f>
        <v>open</v>
      </c>
      <c r="F126" t="s">
        <v>15</v>
      </c>
      <c r="H126" t="b">
        <v>0</v>
      </c>
    </row>
    <row r="127" spans="1:8" x14ac:dyDescent="0.2">
      <c r="A127" t="s">
        <v>617</v>
      </c>
      <c r="B127" t="s">
        <v>618</v>
      </c>
      <c r="C127" t="s">
        <v>25</v>
      </c>
      <c r="D127" t="s">
        <v>619</v>
      </c>
      <c r="E127" t="str">
        <f>HYPERLINK("/pdf/2023_10_3390_app13095568_security_ontology_ontosecrpa_for_robotic_process_automation_domain.pdf","open")</f>
        <v>open</v>
      </c>
      <c r="F127" t="s">
        <v>15</v>
      </c>
      <c r="G127" t="s">
        <v>148</v>
      </c>
      <c r="H127" t="b">
        <v>0</v>
      </c>
    </row>
    <row r="128" spans="1:8" x14ac:dyDescent="0.2">
      <c r="A128" t="s">
        <v>621</v>
      </c>
      <c r="B128" t="s">
        <v>622</v>
      </c>
      <c r="C128" t="s">
        <v>60</v>
      </c>
      <c r="D128" t="s">
        <v>624</v>
      </c>
      <c r="E128" t="str">
        <f>HYPERLINK("/pdf/2024_10.1109_icces63552.2024.10860119_Secure_Cloud-WSNs_with_Advanced_Intrusion_Detection_System_using_Kepler_Optimization_and_Bi-ConGRU_Network_App.pdf","open")</f>
        <v>open</v>
      </c>
      <c r="F128" t="s">
        <v>15</v>
      </c>
      <c r="G128" t="s">
        <v>148</v>
      </c>
      <c r="H128" t="b">
        <v>0</v>
      </c>
    </row>
    <row r="129" spans="1:8" x14ac:dyDescent="0.2">
      <c r="A129" t="s">
        <v>626</v>
      </c>
      <c r="B129" t="s">
        <v>627</v>
      </c>
      <c r="C129" t="s">
        <v>19</v>
      </c>
      <c r="D129" t="s">
        <v>628</v>
      </c>
      <c r="E129" t="str">
        <f>HYPERLINK("/pdf/2025_10_3390_app15116258_anomaly_detection_in_network_traffic_via_cross_domain_federated_graph_representation_learn.pdf","open")</f>
        <v>open</v>
      </c>
      <c r="F129" t="s">
        <v>15</v>
      </c>
      <c r="H129" t="b">
        <v>0</v>
      </c>
    </row>
    <row r="130" spans="1:8" x14ac:dyDescent="0.2">
      <c r="A130" t="s">
        <v>630</v>
      </c>
      <c r="B130" t="s">
        <v>631</v>
      </c>
      <c r="C130" t="s">
        <v>19</v>
      </c>
      <c r="D130" t="s">
        <v>633</v>
      </c>
      <c r="E130" t="str">
        <f>HYPERLINK("/pdf/2025_10_58346_jisis_2025_i3_021_secure_wireless_connectivity_frameworks_for_financial_internet_services.pdf","open")</f>
        <v>open</v>
      </c>
      <c r="F130" t="s">
        <v>15</v>
      </c>
      <c r="G130" t="s">
        <v>10444</v>
      </c>
      <c r="H130" t="b">
        <v>0</v>
      </c>
    </row>
    <row r="131" spans="1:8" x14ac:dyDescent="0.2">
      <c r="A131" t="s">
        <v>635</v>
      </c>
      <c r="B131" t="s">
        <v>636</v>
      </c>
      <c r="C131" t="s">
        <v>36</v>
      </c>
      <c r="D131" t="s">
        <v>638</v>
      </c>
      <c r="E131" t="str">
        <f>HYPERLINK("/pdf/2021_10.1145_3474124.3474195_Examining_security_for_different_data_models.pdf","open")</f>
        <v>open</v>
      </c>
      <c r="F131" t="s">
        <v>15</v>
      </c>
      <c r="G131" t="s">
        <v>148</v>
      </c>
      <c r="H131" t="b">
        <v>0</v>
      </c>
    </row>
    <row r="132" spans="1:8" x14ac:dyDescent="0.2">
      <c r="A132" t="s">
        <v>640</v>
      </c>
      <c r="B132" t="s">
        <v>641</v>
      </c>
      <c r="C132" t="s">
        <v>598</v>
      </c>
      <c r="D132" t="s">
        <v>643</v>
      </c>
      <c r="E132" t="str">
        <f>HYPERLINK("/pdf/2012_10.1109_cybersec.2012.6246117_Hierarchical_secure_virtualization_model_for_cloud.pdf","open")</f>
        <v>open</v>
      </c>
      <c r="F132" t="s">
        <v>15</v>
      </c>
      <c r="H132" t="b">
        <v>0</v>
      </c>
    </row>
    <row r="133" spans="1:8" x14ac:dyDescent="0.2">
      <c r="A133" t="s">
        <v>645</v>
      </c>
      <c r="B133" t="s">
        <v>646</v>
      </c>
      <c r="C133" t="s">
        <v>19</v>
      </c>
      <c r="D133" t="s">
        <v>648</v>
      </c>
      <c r="E133" t="str">
        <f>HYPERLINK("/pdf/2025_10.1007_s11042-023-16777-w_Blockchain-based_color_medical_image_cryptosystem_for_industrial_Internet_of_Healthcare_Things_(IoHT).pdf","open")</f>
        <v>open</v>
      </c>
      <c r="F133" t="s">
        <v>15</v>
      </c>
      <c r="G133" t="s">
        <v>148</v>
      </c>
      <c r="H133" t="b">
        <v>0</v>
      </c>
    </row>
    <row r="134" spans="1:8" x14ac:dyDescent="0.2">
      <c r="A134" t="s">
        <v>650</v>
      </c>
      <c r="B134" t="s">
        <v>651</v>
      </c>
      <c r="C134" t="s">
        <v>156</v>
      </c>
      <c r="D134" t="s">
        <v>652</v>
      </c>
      <c r="E134" t="str">
        <f>HYPERLINK("/pdf/2013_10.1007_s10796-010-9266-9_Application_of_density-based_outlier_detection_to_database_activity_monitoring.pdf","open")</f>
        <v>open</v>
      </c>
      <c r="F134" t="s">
        <v>15</v>
      </c>
      <c r="G134" t="s">
        <v>148</v>
      </c>
      <c r="H134" t="b">
        <v>0</v>
      </c>
    </row>
    <row r="135" spans="1:8" x14ac:dyDescent="0.2">
      <c r="A135" t="s">
        <v>654</v>
      </c>
      <c r="B135" t="s">
        <v>655</v>
      </c>
      <c r="C135" t="s">
        <v>363</v>
      </c>
      <c r="D135" t="s">
        <v>148</v>
      </c>
      <c r="E135" t="str">
        <f>HYPERLINK("/pdf/2016_Dynamic_intrusion_detection_in_database_systems__A_machine-learning_approach.pdf","open")</f>
        <v>open</v>
      </c>
      <c r="F135" t="s">
        <v>15</v>
      </c>
      <c r="H135" t="b">
        <v>0</v>
      </c>
    </row>
    <row r="136" spans="1:8" x14ac:dyDescent="0.2">
      <c r="A136" t="s">
        <v>658</v>
      </c>
      <c r="B136" t="s">
        <v>659</v>
      </c>
      <c r="C136" t="s">
        <v>19</v>
      </c>
      <c r="D136" t="s">
        <v>661</v>
      </c>
      <c r="E136" t="str">
        <f>HYPERLINK("/pdf/2025_10_3390_electronics14234590_prifed_ids_a_privacy_preserving_federated_reinforcement_learning_framework_for_secure_and.pdf","open")</f>
        <v>open</v>
      </c>
      <c r="F136" t="s">
        <v>15</v>
      </c>
      <c r="G136" t="s">
        <v>148</v>
      </c>
      <c r="H136" t="b">
        <v>0</v>
      </c>
    </row>
    <row r="137" spans="1:8" x14ac:dyDescent="0.2">
      <c r="A137" t="s">
        <v>663</v>
      </c>
      <c r="B137" t="s">
        <v>664</v>
      </c>
      <c r="C137" t="s">
        <v>54</v>
      </c>
      <c r="D137" t="s">
        <v>666</v>
      </c>
      <c r="E137" t="str">
        <f>HYPERLINK("/pdf/2020_10_3390_electronics9111937_fast_packet_inspection_for_end_to_end_encryption.pdf","open")</f>
        <v>open</v>
      </c>
      <c r="F137" t="s">
        <v>15</v>
      </c>
      <c r="G137" t="s">
        <v>148</v>
      </c>
      <c r="H137" t="b">
        <v>0</v>
      </c>
    </row>
    <row r="138" spans="1:8" x14ac:dyDescent="0.2">
      <c r="A138" t="s">
        <v>668</v>
      </c>
      <c r="B138" t="s">
        <v>669</v>
      </c>
      <c r="C138" t="s">
        <v>25</v>
      </c>
      <c r="D138" t="s">
        <v>670</v>
      </c>
      <c r="E138" t="str">
        <f>HYPERLINK("/pdf/2023_10.1007_s10207-023-00727-6_Federated_learning-based_intrusion_detection_system_for_Internet_of_Things.pdf","open")</f>
        <v>open</v>
      </c>
      <c r="F138" t="s">
        <v>15</v>
      </c>
      <c r="H138" t="b">
        <v>0</v>
      </c>
    </row>
    <row r="139" spans="1:8" x14ac:dyDescent="0.2">
      <c r="A139" t="s">
        <v>672</v>
      </c>
      <c r="B139" t="s">
        <v>673</v>
      </c>
      <c r="C139" t="s">
        <v>210</v>
      </c>
      <c r="D139" t="s">
        <v>148</v>
      </c>
      <c r="E139" t="str">
        <f>HYPERLINK("/pdf/2015_Fujitsu's_security_technology_based_on_practical_knowledge.pdf","open")</f>
        <v>open</v>
      </c>
      <c r="F139" t="s">
        <v>15</v>
      </c>
      <c r="G139" t="s">
        <v>148</v>
      </c>
      <c r="H139" t="b">
        <v>0</v>
      </c>
    </row>
    <row r="140" spans="1:8" x14ac:dyDescent="0.2">
      <c r="A140" t="s">
        <v>675</v>
      </c>
      <c r="B140" t="s">
        <v>676</v>
      </c>
      <c r="C140" t="s">
        <v>60</v>
      </c>
      <c r="D140" t="s">
        <v>677</v>
      </c>
      <c r="E140" t="str">
        <f>HYPERLINK("/pdf/2024_10.1007_s10207-023-00805-9_Federated_transfer_learning_for_attack_detection_for_Internet_of_Medical_Things.pdf","open")</f>
        <v>open</v>
      </c>
      <c r="F140" t="s">
        <v>15</v>
      </c>
      <c r="H140" t="b">
        <v>0</v>
      </c>
    </row>
    <row r="141" spans="1:8" x14ac:dyDescent="0.2">
      <c r="A141" t="s">
        <v>679</v>
      </c>
      <c r="B141" t="s">
        <v>680</v>
      </c>
      <c r="C141" t="s">
        <v>19</v>
      </c>
      <c r="D141" t="s">
        <v>682</v>
      </c>
      <c r="E141" t="str">
        <f>HYPERLINK("/pdf/2025_10_37934_araset_51_2_153176_detecting_wormhole_attack_in_environmental_monitoring_system_for_agriculture_usi.pdf","open")</f>
        <v>open</v>
      </c>
      <c r="F141" t="s">
        <v>15</v>
      </c>
      <c r="G141" t="s">
        <v>148</v>
      </c>
      <c r="H141" t="b">
        <v>0</v>
      </c>
    </row>
    <row r="142" spans="1:8" x14ac:dyDescent="0.2">
      <c r="A142" t="s">
        <v>684</v>
      </c>
      <c r="B142" t="s">
        <v>685</v>
      </c>
      <c r="C142" t="s">
        <v>136</v>
      </c>
      <c r="D142" t="s">
        <v>687</v>
      </c>
      <c r="E142" t="str">
        <f>HYPERLINK("/pdf/2019_10.1109_icac49085.2019.9103339_Enhanced_Secure_Solution_for_PoS_Architecture.pdf","open")</f>
        <v>open</v>
      </c>
      <c r="F142" t="s">
        <v>15</v>
      </c>
      <c r="G142" t="s">
        <v>148</v>
      </c>
      <c r="H142" t="b">
        <v>0</v>
      </c>
    </row>
    <row r="143" spans="1:8" x14ac:dyDescent="0.2">
      <c r="A143" t="s">
        <v>689</v>
      </c>
      <c r="B143" t="s">
        <v>690</v>
      </c>
      <c r="C143" t="s">
        <v>36</v>
      </c>
      <c r="D143" t="s">
        <v>692</v>
      </c>
      <c r="E143" t="str">
        <f>HYPERLINK("/pdf/2021_10_3390_e23101258_an_insider_data_leakage_detection_using_one_hot_encoding_synthetic_minority_oversampling.pdf","open")</f>
        <v>open</v>
      </c>
      <c r="F143" t="s">
        <v>15</v>
      </c>
      <c r="G143" t="s">
        <v>148</v>
      </c>
      <c r="H143" t="b">
        <v>0</v>
      </c>
    </row>
    <row r="144" spans="1:8" x14ac:dyDescent="0.2">
      <c r="A144" t="s">
        <v>694</v>
      </c>
      <c r="B144" t="s">
        <v>695</v>
      </c>
      <c r="C144" t="s">
        <v>363</v>
      </c>
      <c r="D144" t="s">
        <v>697</v>
      </c>
      <c r="E144" t="str">
        <f>HYPERLINK("/pdf/2016_10.1145_2976749.2978343_TaintART__A_practical_multi-level_information-flow_tracking_system_for_Android_RunTime.pdf","open")</f>
        <v>open</v>
      </c>
      <c r="F144" t="s">
        <v>15</v>
      </c>
      <c r="G144" t="s">
        <v>148</v>
      </c>
      <c r="H144" t="b">
        <v>0</v>
      </c>
    </row>
    <row r="145" spans="1:8" x14ac:dyDescent="0.2">
      <c r="A145" t="s">
        <v>699</v>
      </c>
      <c r="B145" t="s">
        <v>700</v>
      </c>
      <c r="C145" t="s">
        <v>100</v>
      </c>
      <c r="D145" t="s">
        <v>702</v>
      </c>
      <c r="E145" t="str">
        <f>HYPERLINK("/pdf/2022_10.1109_icssa54161.2022.9870973_Machine_Learning_Techniques_for_Intrusion_Detection_in_Smart_Healthcare_Systems__A_Comparative_Analysis.pdf","open")</f>
        <v>open</v>
      </c>
      <c r="F145" t="s">
        <v>15</v>
      </c>
      <c r="G145" t="s">
        <v>148</v>
      </c>
      <c r="H145" t="b">
        <v>0</v>
      </c>
    </row>
    <row r="146" spans="1:8" x14ac:dyDescent="0.2">
      <c r="A146" t="s">
        <v>704</v>
      </c>
      <c r="B146" t="s">
        <v>705</v>
      </c>
      <c r="C146" t="s">
        <v>60</v>
      </c>
      <c r="D146" t="s">
        <v>707</v>
      </c>
      <c r="E146" t="str">
        <f>HYPERLINK("/pdf/2024_10.48084_etasr.7467_An_Enhanced_Framework_to_Mitigate_Post-Installation_Cyber_Attacks_on_Android_Apps.pdf","open")</f>
        <v>open</v>
      </c>
      <c r="F146" t="s">
        <v>15</v>
      </c>
      <c r="G146" t="s">
        <v>148</v>
      </c>
      <c r="H146" t="b">
        <v>0</v>
      </c>
    </row>
    <row r="147" spans="1:8" x14ac:dyDescent="0.2">
      <c r="A147" t="s">
        <v>709</v>
      </c>
      <c r="B147" t="s">
        <v>710</v>
      </c>
      <c r="C147" t="s">
        <v>19</v>
      </c>
      <c r="D147" t="s">
        <v>711</v>
      </c>
      <c r="E147" t="str">
        <f>HYPERLINK("/pdf/2025_10_1038_s41598_025_17799_0_multi_resolution_transfer_learning_for_tampered_image_classification_using_se_en.pdf","open")</f>
        <v>open</v>
      </c>
      <c r="F147" t="s">
        <v>15</v>
      </c>
      <c r="H147" t="b">
        <v>0</v>
      </c>
    </row>
    <row r="148" spans="1:8" x14ac:dyDescent="0.2">
      <c r="A148" t="s">
        <v>713</v>
      </c>
      <c r="B148" t="s">
        <v>714</v>
      </c>
      <c r="C148" t="s">
        <v>215</v>
      </c>
      <c r="D148" t="s">
        <v>716</v>
      </c>
      <c r="E148" t="str">
        <f>HYPERLINK("/pdf/2015_10.1109_cis.2014.133_Application_research_on_retrospective_analysis_system_in_network_intrusion_detection.pdf","open")</f>
        <v>open</v>
      </c>
      <c r="F148" t="s">
        <v>15</v>
      </c>
      <c r="G148" t="s">
        <v>148</v>
      </c>
      <c r="H148" t="b">
        <v>0</v>
      </c>
    </row>
    <row r="149" spans="1:8" x14ac:dyDescent="0.2">
      <c r="A149" t="s">
        <v>718</v>
      </c>
      <c r="B149" t="s">
        <v>719</v>
      </c>
      <c r="C149" t="s">
        <v>25</v>
      </c>
      <c r="D149" t="s">
        <v>721</v>
      </c>
      <c r="E149" t="str">
        <f>HYPERLINK("/pdf/2023_10.1109_airosip58759.2023.10873912_Smart_Closed-Loop_Jamming_System.pdf","open")</f>
        <v>open</v>
      </c>
      <c r="F149" t="s">
        <v>15</v>
      </c>
      <c r="G149" t="s">
        <v>148</v>
      </c>
      <c r="H149" t="b">
        <v>0</v>
      </c>
    </row>
    <row r="150" spans="1:8" x14ac:dyDescent="0.2">
      <c r="A150" t="s">
        <v>723</v>
      </c>
      <c r="B150" t="s">
        <v>724</v>
      </c>
      <c r="C150" t="s">
        <v>60</v>
      </c>
      <c r="D150" t="s">
        <v>725</v>
      </c>
      <c r="E150" t="str">
        <f>HYPERLINK("/pdf/2024_10.1109_jiot.2024.3385989_An_Authentication_Mechanism_Based_on_Zero_Trust_With_Radio_Frequency_Fingerprint_for_Internet_of_Things_Networ.pdf","open")</f>
        <v>open</v>
      </c>
      <c r="F150" t="s">
        <v>15</v>
      </c>
      <c r="G150" t="s">
        <v>148</v>
      </c>
      <c r="H150" t="b">
        <v>0</v>
      </c>
    </row>
    <row r="151" spans="1:8" x14ac:dyDescent="0.2">
      <c r="A151" t="s">
        <v>727</v>
      </c>
      <c r="B151" t="s">
        <v>728</v>
      </c>
      <c r="C151" t="s">
        <v>190</v>
      </c>
      <c r="D151" t="s">
        <v>730</v>
      </c>
      <c r="E151" t="str">
        <f>HYPERLINK("/pdf/2017_10.1109_wcsp.2017.8170908_Data_leakage_between_C_S_communication__A_case_study_on_Android_music_app.pdf","open")</f>
        <v>open</v>
      </c>
      <c r="F151" t="s">
        <v>15</v>
      </c>
      <c r="G151" t="s">
        <v>148</v>
      </c>
      <c r="H151" t="b">
        <v>0</v>
      </c>
    </row>
    <row r="152" spans="1:8" x14ac:dyDescent="0.2">
      <c r="A152" t="s">
        <v>732</v>
      </c>
      <c r="B152" t="s">
        <v>733</v>
      </c>
      <c r="C152" t="s">
        <v>19</v>
      </c>
      <c r="D152" t="s">
        <v>735</v>
      </c>
      <c r="E152" t="str">
        <f>HYPERLINK("/pdf/2025_10.1109_icoict66265.2025.11192987_Federated_Learning_Approaches_for_IoT_Intrusion_Detection_Based_on_FedAvg_and_FedProx_on_IID_and_Non-IID_Data.pdf","open")</f>
        <v>open</v>
      </c>
      <c r="F152" t="s">
        <v>15</v>
      </c>
      <c r="H152" t="b">
        <v>0</v>
      </c>
    </row>
    <row r="153" spans="1:8" x14ac:dyDescent="0.2">
      <c r="A153" t="s">
        <v>737</v>
      </c>
      <c r="B153" t="s">
        <v>738</v>
      </c>
      <c r="C153" t="s">
        <v>156</v>
      </c>
      <c r="D153" t="s">
        <v>740</v>
      </c>
      <c r="E153" t="str">
        <f>HYPERLINK("/pdf/2013_10.1109_icon.2013.6781950_Security_testing_in_Android_networks_-_A_practical_case_study.pdf","open")</f>
        <v>open</v>
      </c>
      <c r="F153" t="s">
        <v>15</v>
      </c>
      <c r="G153" t="s">
        <v>10445</v>
      </c>
      <c r="H153" t="b">
        <v>1</v>
      </c>
    </row>
    <row r="154" spans="1:8" x14ac:dyDescent="0.2">
      <c r="A154" t="s">
        <v>742</v>
      </c>
      <c r="B154" t="s">
        <v>743</v>
      </c>
      <c r="C154" t="s">
        <v>60</v>
      </c>
      <c r="D154" t="s">
        <v>148</v>
      </c>
      <c r="E154" t="str">
        <f>HYPERLINK("/pdf/2024_10.23919_indiacom61295.2024.10499164_A_DNA-based_Authentication_System_for_Securing_Cloud_Data_Storage_and_Transactions.pdf","open")</f>
        <v>open</v>
      </c>
      <c r="F154" t="s">
        <v>15</v>
      </c>
      <c r="G154" t="s">
        <v>10446</v>
      </c>
      <c r="H154" t="b">
        <v>0</v>
      </c>
    </row>
    <row r="155" spans="1:8" x14ac:dyDescent="0.2">
      <c r="A155" t="s">
        <v>746</v>
      </c>
      <c r="B155" t="s">
        <v>747</v>
      </c>
      <c r="C155" t="s">
        <v>136</v>
      </c>
      <c r="D155" t="s">
        <v>148</v>
      </c>
      <c r="E155" t="str">
        <f>HYPERLINK("/pdf/2019_10.1109_iceei47359.2019.8988832_OTPAF__A_Security_Requirement_Conceptual_Model_of_SaaS_for_Malaysian_Government_based_on_Common_Criteria.pdf","open")</f>
        <v>open</v>
      </c>
      <c r="F155" t="s">
        <v>44</v>
      </c>
      <c r="G155" t="s">
        <v>10447</v>
      </c>
      <c r="H155" t="b">
        <v>1</v>
      </c>
    </row>
    <row r="156" spans="1:8" x14ac:dyDescent="0.2">
      <c r="A156" t="s">
        <v>750</v>
      </c>
      <c r="B156" t="s">
        <v>751</v>
      </c>
      <c r="C156" t="s">
        <v>60</v>
      </c>
      <c r="D156" t="s">
        <v>148</v>
      </c>
      <c r="E156" t="str">
        <f>HYPERLINK("/pdf/2024_In_Plain_Sight__A_Pragmatic_Exploration_of_the_Italian_Medical_Landscape_(In)security.pdf.pdf","open")</f>
        <v>open</v>
      </c>
      <c r="F156" t="s">
        <v>15</v>
      </c>
      <c r="G156" t="s">
        <v>148</v>
      </c>
      <c r="H156" t="b">
        <v>0</v>
      </c>
    </row>
    <row r="157" spans="1:8" x14ac:dyDescent="0.2">
      <c r="A157" t="s">
        <v>754</v>
      </c>
      <c r="B157" t="s">
        <v>755</v>
      </c>
      <c r="C157" t="s">
        <v>19</v>
      </c>
      <c r="D157" t="s">
        <v>757</v>
      </c>
      <c r="E157" t="str">
        <f>HYPERLINK("/pdf/2025_10_3390_info16110957_llms_for_cybersecurity_in_the_big_data_era_a_comprehensive_review_of_applications_challe.pdf","open")</f>
        <v>open</v>
      </c>
      <c r="F157" t="s">
        <v>15</v>
      </c>
      <c r="H157" t="b">
        <v>0</v>
      </c>
    </row>
    <row r="158" spans="1:8" x14ac:dyDescent="0.2">
      <c r="A158" t="s">
        <v>759</v>
      </c>
      <c r="B158" t="s">
        <v>760</v>
      </c>
      <c r="C158" t="s">
        <v>48</v>
      </c>
      <c r="D158" t="s">
        <v>761</v>
      </c>
      <c r="E158" t="str">
        <f>HYPERLINK("/pdf/2010_CollSec_2010_-_2010_Workshop_on_Collaborative_Methods_for_Security_and_Privacy.pdf","open")</f>
        <v>open</v>
      </c>
      <c r="F158" t="s">
        <v>15</v>
      </c>
      <c r="H158" t="b">
        <v>0</v>
      </c>
    </row>
    <row r="159" spans="1:8" x14ac:dyDescent="0.2">
      <c r="A159" t="s">
        <v>763</v>
      </c>
      <c r="B159" t="s">
        <v>764</v>
      </c>
      <c r="C159" t="s">
        <v>136</v>
      </c>
      <c r="D159" t="s">
        <v>765</v>
      </c>
      <c r="E159" t="str">
        <f>HYPERLINK("/pdf/2019_10_1109_access_2019_2951425_covert_channels_in_the_mqtt_based_internet_of_things.pdf","open")</f>
        <v>open</v>
      </c>
      <c r="F159" t="s">
        <v>15</v>
      </c>
      <c r="G159" t="s">
        <v>148</v>
      </c>
      <c r="H159" t="b">
        <v>0</v>
      </c>
    </row>
    <row r="160" spans="1:8" x14ac:dyDescent="0.2">
      <c r="A160" t="s">
        <v>767</v>
      </c>
      <c r="B160" t="s">
        <v>768</v>
      </c>
      <c r="C160" t="s">
        <v>100</v>
      </c>
      <c r="D160" t="s">
        <v>770</v>
      </c>
      <c r="E160" t="str">
        <f>HYPERLINK("/pdf/2022_10.1109_asiancon55314.2022.9909471_Data_Leakage_in_Android_and_Anomaly_Based_Intrusion_Detection_and_Prevention_System.pdf","open")</f>
        <v>open</v>
      </c>
      <c r="F160" t="s">
        <v>15</v>
      </c>
      <c r="G160" t="s">
        <v>148</v>
      </c>
      <c r="H160" t="b">
        <v>0</v>
      </c>
    </row>
    <row r="161" spans="1:8" x14ac:dyDescent="0.2">
      <c r="A161" t="s">
        <v>772</v>
      </c>
      <c r="B161" t="s">
        <v>773</v>
      </c>
      <c r="C161" t="s">
        <v>19</v>
      </c>
      <c r="D161" t="s">
        <v>775</v>
      </c>
      <c r="E161" t="str">
        <f>HYPERLINK("/pdf/2025_10.1142_s2010324725400119_A_Hybrid_BiLSTM-Attention_and_Homomorphic_Encryption_Framework_for_Privacy-Preserving_Threat_Detection_in_Clou.pdf","open")</f>
        <v>open</v>
      </c>
      <c r="F161" t="s">
        <v>15</v>
      </c>
      <c r="G161" t="s">
        <v>148</v>
      </c>
      <c r="H161" t="b">
        <v>0</v>
      </c>
    </row>
    <row r="162" spans="1:8" x14ac:dyDescent="0.2">
      <c r="A162" t="s">
        <v>445</v>
      </c>
      <c r="B162" t="s">
        <v>446</v>
      </c>
      <c r="C162" t="s">
        <v>19</v>
      </c>
      <c r="D162" t="s">
        <v>448</v>
      </c>
      <c r="E162" t="str">
        <f>HYPERLINK("/pdf/2025_10_3991_ijep_v15i4_53127_integration_of_cybersecurity_into_computer_science_teachers_training_a_systema.pdf","open")</f>
        <v>open</v>
      </c>
      <c r="F162" t="s">
        <v>44</v>
      </c>
      <c r="G162" t="s">
        <v>10448</v>
      </c>
      <c r="H162" t="b">
        <v>1</v>
      </c>
    </row>
    <row r="163" spans="1:8" x14ac:dyDescent="0.2">
      <c r="A163" t="s">
        <v>778</v>
      </c>
      <c r="B163" t="s">
        <v>779</v>
      </c>
      <c r="C163" t="s">
        <v>60</v>
      </c>
      <c r="D163" t="s">
        <v>778</v>
      </c>
      <c r="E163" t="str">
        <f>HYPERLINK("/pdf/2024_10_20473_mi_v7i3_55931_data_leakage_of_the_indonesian_elections_commission_in_legal_aspects_of_personal.pdf","open")</f>
        <v>open</v>
      </c>
      <c r="F163" t="s">
        <v>44</v>
      </c>
      <c r="G163" t="s">
        <v>10449</v>
      </c>
      <c r="H163" t="b">
        <v>1</v>
      </c>
    </row>
    <row r="164" spans="1:8" x14ac:dyDescent="0.2">
      <c r="A164" t="s">
        <v>782</v>
      </c>
      <c r="B164" t="s">
        <v>783</v>
      </c>
      <c r="C164" t="s">
        <v>148</v>
      </c>
      <c r="D164" t="s">
        <v>148</v>
      </c>
      <c r="E164" t="str">
        <f>HYPERLINK("/pdf/2019_10_1109_gciot47977_2019_9058410_practical_application_of_machine_learning_based_online_intrusion_detection_to_internet_of.pdf","open")</f>
        <v>open</v>
      </c>
      <c r="F164" t="s">
        <v>15</v>
      </c>
      <c r="G164" t="s">
        <v>148</v>
      </c>
      <c r="H164" t="b">
        <v>0</v>
      </c>
    </row>
    <row r="165" spans="1:8" x14ac:dyDescent="0.2">
      <c r="A165" t="s">
        <v>785</v>
      </c>
      <c r="B165" t="s">
        <v>786</v>
      </c>
      <c r="C165" t="s">
        <v>60</v>
      </c>
      <c r="D165" t="s">
        <v>787</v>
      </c>
      <c r="E165" t="str">
        <f>HYPERLINK("/pdf/2024_10.1016_j.cose.2024.103864_MeMalDet__A_memory_analysis-based_malware_detection_framework_using_deep_autoencoders_and_stacked_ensemble_und.pdf","open")</f>
        <v>open</v>
      </c>
      <c r="F165" t="s">
        <v>15</v>
      </c>
      <c r="H165" t="b">
        <v>0</v>
      </c>
    </row>
    <row r="166" spans="1:8" x14ac:dyDescent="0.2">
      <c r="A166" t="s">
        <v>789</v>
      </c>
      <c r="B166" t="s">
        <v>790</v>
      </c>
      <c r="C166" t="s">
        <v>19</v>
      </c>
      <c r="D166" t="s">
        <v>791</v>
      </c>
      <c r="E166" t="str">
        <f>HYPERLINK("/pdf/2025_10.1109_access.2025.3602562_Enhanced_Intrusion_Detection_via_Hybrid_Data_Resampling_and_Feature_Optimization.pdf","open")</f>
        <v>open</v>
      </c>
      <c r="F166" t="s">
        <v>15</v>
      </c>
      <c r="H166" t="b">
        <v>0</v>
      </c>
    </row>
    <row r="167" spans="1:8" x14ac:dyDescent="0.2">
      <c r="A167" t="s">
        <v>793</v>
      </c>
      <c r="B167" t="s">
        <v>794</v>
      </c>
      <c r="C167" t="s">
        <v>100</v>
      </c>
      <c r="D167" t="s">
        <v>795</v>
      </c>
      <c r="E167" t="str">
        <f>HYPERLINK("/pdf/2022_10.1016_j.cose.2022.102783_Adversarial_training_for_deep_learning-based_cyberattack_detection_in_IoT-based_smart_city_applications.pdf","open")</f>
        <v>open</v>
      </c>
      <c r="F167" t="s">
        <v>15</v>
      </c>
      <c r="G167" t="s">
        <v>148</v>
      </c>
      <c r="H167" t="b">
        <v>0</v>
      </c>
    </row>
    <row r="168" spans="1:8" x14ac:dyDescent="0.2">
      <c r="A168" t="s">
        <v>797</v>
      </c>
      <c r="B168" t="s">
        <v>798</v>
      </c>
      <c r="C168" t="s">
        <v>36</v>
      </c>
      <c r="D168" t="s">
        <v>800</v>
      </c>
      <c r="E168" t="str">
        <f>HYPERLINK("/pdf/2021_10.1109_jetcas.2021.3075098_Proof-Carrying_Hardware-Based_Information_Flow_Tracking_in_Analog_Mixed-Signal_Designs.pdf","open")</f>
        <v>open</v>
      </c>
      <c r="F168" t="s">
        <v>15</v>
      </c>
      <c r="G168" t="s">
        <v>10450</v>
      </c>
      <c r="H168" t="b">
        <v>1</v>
      </c>
    </row>
    <row r="169" spans="1:8" x14ac:dyDescent="0.2">
      <c r="A169" t="s">
        <v>802</v>
      </c>
      <c r="B169" t="s">
        <v>803</v>
      </c>
      <c r="C169" t="s">
        <v>100</v>
      </c>
      <c r="D169" t="s">
        <v>805</v>
      </c>
      <c r="E169" t="str">
        <f>HYPERLINK("/pdf/2022_10.1145_3564625.3567970_Randezvous__Making_Randomization_Effective_on_MCUs.pdf","open")</f>
        <v>open</v>
      </c>
      <c r="F169" t="s">
        <v>15</v>
      </c>
      <c r="G169" t="s">
        <v>10451</v>
      </c>
      <c r="H169" t="b">
        <v>1</v>
      </c>
    </row>
    <row r="170" spans="1:8" x14ac:dyDescent="0.2">
      <c r="A170" t="s">
        <v>807</v>
      </c>
      <c r="B170" t="s">
        <v>146</v>
      </c>
      <c r="C170" t="s">
        <v>136</v>
      </c>
      <c r="D170" t="s">
        <v>148</v>
      </c>
      <c r="E170" t="str">
        <f>HYPERLINK("/pdf/2020_10.1109_iceee49618.2020.9102516_The_Techniques_of_Securing_Imaging_Data_in_Medical_System.pdf","open")</f>
        <v>open</v>
      </c>
      <c r="F170" t="s">
        <v>15</v>
      </c>
      <c r="G170" t="s">
        <v>148</v>
      </c>
      <c r="H170" t="b">
        <v>0</v>
      </c>
    </row>
    <row r="171" spans="1:8" x14ac:dyDescent="0.2">
      <c r="A171" t="s">
        <v>809</v>
      </c>
      <c r="B171" t="s">
        <v>810</v>
      </c>
      <c r="C171" t="s">
        <v>363</v>
      </c>
      <c r="D171" t="s">
        <v>812</v>
      </c>
      <c r="E171" t="str">
        <f>HYPERLINK("/pdf/2016_10.1145_2976749.2978398_ProvUSB__Block-level_provenance-based_data_protection_for_USB_storage_devices.pdf","open")</f>
        <v>open</v>
      </c>
      <c r="F171" t="s">
        <v>15</v>
      </c>
      <c r="G171" t="s">
        <v>148</v>
      </c>
      <c r="H171" t="b">
        <v>0</v>
      </c>
    </row>
    <row r="172" spans="1:8" x14ac:dyDescent="0.2">
      <c r="A172" t="s">
        <v>814</v>
      </c>
      <c r="B172" t="s">
        <v>815</v>
      </c>
      <c r="C172" t="s">
        <v>210</v>
      </c>
      <c r="D172" t="s">
        <v>817</v>
      </c>
      <c r="E172" t="str">
        <f>HYPERLINK("/pdf/2015_10.1109_msp.2015.88_Can_Content-Based_Data_Loss_Prevention_Solutions_Prevent_Data_Leakage_in_Web_Traffic_.pdf","open")</f>
        <v>open</v>
      </c>
      <c r="F172" t="s">
        <v>15</v>
      </c>
      <c r="G172" t="s">
        <v>10452</v>
      </c>
      <c r="H172" t="b">
        <v>0</v>
      </c>
    </row>
    <row r="173" spans="1:8" x14ac:dyDescent="0.2">
      <c r="A173" t="s">
        <v>819</v>
      </c>
      <c r="B173" t="s">
        <v>820</v>
      </c>
      <c r="C173" t="s">
        <v>25</v>
      </c>
      <c r="D173" t="s">
        <v>822</v>
      </c>
      <c r="E173" t="str">
        <f>HYPERLINK("/pdf/2023_10.1109_gcat59970.2023.10353244_Exploring_Advanced_Model_Optimization_Strategies_for_Network_Intrusion_Detection_in_cloud_computing.pdf","open")</f>
        <v>open</v>
      </c>
      <c r="F173" t="s">
        <v>15</v>
      </c>
      <c r="G173" t="s">
        <v>10453</v>
      </c>
      <c r="H173" t="b">
        <v>0</v>
      </c>
    </row>
    <row r="174" spans="1:8" x14ac:dyDescent="0.2">
      <c r="A174" t="s">
        <v>824</v>
      </c>
      <c r="B174" t="s">
        <v>825</v>
      </c>
      <c r="C174" t="s">
        <v>100</v>
      </c>
      <c r="D174" t="s">
        <v>826</v>
      </c>
      <c r="E174" t="str">
        <f>HYPERLINK("/pdf/2022_10_3390_app12042174_assistive_multimodal_robotic_system_amrsys_security_and_privacy_issues_challenges_and.pdf","open")</f>
        <v>open</v>
      </c>
      <c r="F174" t="s">
        <v>15</v>
      </c>
      <c r="G174" t="s">
        <v>148</v>
      </c>
      <c r="H174" t="b">
        <v>1</v>
      </c>
    </row>
    <row r="175" spans="1:8" x14ac:dyDescent="0.2">
      <c r="A175" t="s">
        <v>828</v>
      </c>
      <c r="B175" t="s">
        <v>829</v>
      </c>
      <c r="C175" t="s">
        <v>60</v>
      </c>
      <c r="D175" t="s">
        <v>831</v>
      </c>
      <c r="E175" t="str">
        <f>HYPERLINK("/pdf/2024_10.1080_23311916.2024.2411859_Investigation_of_cyber_attacks_using_post-installation_app_detection_method.pdf","open")</f>
        <v>open</v>
      </c>
      <c r="F175" t="s">
        <v>15</v>
      </c>
      <c r="G175" t="s">
        <v>148</v>
      </c>
      <c r="H175" t="b">
        <v>0</v>
      </c>
    </row>
    <row r="176" spans="1:8" x14ac:dyDescent="0.2">
      <c r="A176" t="s">
        <v>833</v>
      </c>
      <c r="B176" t="s">
        <v>834</v>
      </c>
      <c r="C176" t="s">
        <v>100</v>
      </c>
      <c r="D176" t="s">
        <v>148</v>
      </c>
      <c r="E176" t="str">
        <f>HYPERLINK("/pdf/2023_10_1109_compsac57700_2023_00106_feature_engineering_based_detection_of_buffer_overflow_vulnerability_in_source_code_using.pdf","open")</f>
        <v>open</v>
      </c>
      <c r="F176" t="s">
        <v>15</v>
      </c>
      <c r="G176" t="s">
        <v>148</v>
      </c>
      <c r="H176" t="b">
        <v>0</v>
      </c>
    </row>
    <row r="177" spans="1:8" x14ac:dyDescent="0.2">
      <c r="A177" t="s">
        <v>836</v>
      </c>
      <c r="B177" t="s">
        <v>837</v>
      </c>
      <c r="C177" t="s">
        <v>36</v>
      </c>
      <c r="D177" t="s">
        <v>839</v>
      </c>
      <c r="E177" t="str">
        <f>HYPERLINK("/pdf/2021_10.4316_aece.2021.03005_Deep_Learning_Based_DNS_Tunneling_Detection_and_Blocking_System.pdf","open")</f>
        <v>open</v>
      </c>
      <c r="F177" t="s">
        <v>15</v>
      </c>
      <c r="G177" t="s">
        <v>148</v>
      </c>
      <c r="H177" t="b">
        <v>0</v>
      </c>
    </row>
    <row r="178" spans="1:8" x14ac:dyDescent="0.2">
      <c r="A178" t="s">
        <v>841</v>
      </c>
      <c r="B178" t="s">
        <v>842</v>
      </c>
      <c r="C178" t="s">
        <v>100</v>
      </c>
      <c r="D178" t="s">
        <v>844</v>
      </c>
      <c r="E178" t="str">
        <f>HYPERLINK("/pdf/2022_10.1016_j.ins.2022.07.104_Privacy-preserving_knowledge_transfer_for_intrusion_detection_with_federated_deep_autoencoding_gaussian_mixtur.pdf","open")</f>
        <v>open</v>
      </c>
      <c r="F178" t="s">
        <v>15</v>
      </c>
      <c r="H178" t="b">
        <v>0</v>
      </c>
    </row>
    <row r="179" spans="1:8" x14ac:dyDescent="0.2">
      <c r="A179" t="s">
        <v>846</v>
      </c>
      <c r="B179" t="s">
        <v>847</v>
      </c>
      <c r="C179" t="s">
        <v>19</v>
      </c>
      <c r="D179" t="s">
        <v>848</v>
      </c>
      <c r="E179" t="str">
        <f>HYPERLINK("/pdf/2025_10_3390_electronics14101982_ficconvnet_a_privacy_preserving_framework_for_malware_detection_using_ckks_homomorphic_en.pdf","open")</f>
        <v>open</v>
      </c>
      <c r="F179" t="s">
        <v>15</v>
      </c>
      <c r="G179" t="s">
        <v>148</v>
      </c>
      <c r="H179" t="b">
        <v>0</v>
      </c>
    </row>
    <row r="180" spans="1:8" x14ac:dyDescent="0.2">
      <c r="A180" t="s">
        <v>850</v>
      </c>
      <c r="B180" t="s">
        <v>850</v>
      </c>
      <c r="C180" t="s">
        <v>100</v>
      </c>
      <c r="D180" t="s">
        <v>851</v>
      </c>
      <c r="E180" t="str">
        <f>HYPERLINK("/pdf/2022_10.1016_j.cose.2022.102644_Preventive_portfolio_against_data-selling_ransomware—A_game_theory_of_encryption_and_deception.pdf","open")</f>
        <v>open</v>
      </c>
      <c r="F180" t="s">
        <v>15</v>
      </c>
      <c r="G180" t="s">
        <v>148</v>
      </c>
      <c r="H180" t="b">
        <v>0</v>
      </c>
    </row>
    <row r="181" spans="1:8" x14ac:dyDescent="0.2">
      <c r="A181" t="s">
        <v>853</v>
      </c>
      <c r="B181" t="s">
        <v>854</v>
      </c>
      <c r="C181" t="s">
        <v>19</v>
      </c>
      <c r="D181" t="s">
        <v>856</v>
      </c>
      <c r="E181" t="str">
        <f>HYPERLINK("/pdf/2025_10.1109_sennet64220.2025.11135967_Secure_IoMT_Networks__A_Federated_Learning_Approach_to_Intrusion_Detection_with_Ensemble_Voting_Classifier.pdf","open")</f>
        <v>open</v>
      </c>
      <c r="F181" t="s">
        <v>15</v>
      </c>
      <c r="G181" t="s">
        <v>148</v>
      </c>
      <c r="H181" t="b">
        <v>1</v>
      </c>
    </row>
    <row r="182" spans="1:8" x14ac:dyDescent="0.2">
      <c r="A182" t="s">
        <v>858</v>
      </c>
      <c r="B182" t="s">
        <v>859</v>
      </c>
      <c r="C182" t="s">
        <v>25</v>
      </c>
      <c r="D182" t="s">
        <v>861</v>
      </c>
      <c r="E182" t="str">
        <f>HYPERLINK("/pdf/2023_10.1016_j.micpro.2023.104845_Empirical_study_on_security_verification_and_assessment_of_neural_network_accelerator.pdf","open")</f>
        <v>open</v>
      </c>
      <c r="F182" t="s">
        <v>15</v>
      </c>
      <c r="G182" t="s">
        <v>148</v>
      </c>
      <c r="H182" t="b">
        <v>0</v>
      </c>
    </row>
    <row r="183" spans="1:8" x14ac:dyDescent="0.2">
      <c r="A183" t="s">
        <v>863</v>
      </c>
      <c r="B183" t="s">
        <v>864</v>
      </c>
      <c r="C183" t="s">
        <v>48</v>
      </c>
      <c r="D183" t="s">
        <v>865</v>
      </c>
      <c r="E183" t="str">
        <f>HYPERLINK("/pdf/2026_10_3390_fi18010042_intrusion_detection_for_internet_of_vehicles_can_bus_communications_using_machine_learning.pdf","open")</f>
        <v>open</v>
      </c>
      <c r="F183" t="s">
        <v>15</v>
      </c>
      <c r="H183" t="b">
        <v>0</v>
      </c>
    </row>
    <row r="184" spans="1:8" x14ac:dyDescent="0.2">
      <c r="A184" t="s">
        <v>867</v>
      </c>
      <c r="B184" t="s">
        <v>868</v>
      </c>
      <c r="C184" t="s">
        <v>54</v>
      </c>
      <c r="D184" t="s">
        <v>867</v>
      </c>
      <c r="E184" t="str">
        <f>HYPERLINK("/pdf/2020_10.34190_ews.20.004_Mitigating_insider_threats__A_case_study_of_data_leak_prevention.pdf","open")</f>
        <v>open</v>
      </c>
      <c r="F184" t="s">
        <v>15</v>
      </c>
      <c r="G184" t="s">
        <v>148</v>
      </c>
      <c r="H184" t="b">
        <v>1</v>
      </c>
    </row>
    <row r="185" spans="1:8" x14ac:dyDescent="0.2">
      <c r="A185" t="s">
        <v>871</v>
      </c>
      <c r="B185" t="s">
        <v>872</v>
      </c>
      <c r="C185" t="s">
        <v>363</v>
      </c>
      <c r="D185" t="s">
        <v>873</v>
      </c>
      <c r="E185" t="str">
        <f>HYPERLINK("/pdf/2017_10.1109_asianhost.2016.7835566_RECORD__Temporarily_randomized_encoding_of_combinational_logic_for_resistance_to_data_leakage_from_hardware_Tr.pdf","open")</f>
        <v>open</v>
      </c>
      <c r="F185" t="s">
        <v>15</v>
      </c>
      <c r="G185" t="s">
        <v>10454</v>
      </c>
      <c r="H185" t="b">
        <v>1</v>
      </c>
    </row>
    <row r="186" spans="1:8" x14ac:dyDescent="0.2">
      <c r="A186" t="s">
        <v>875</v>
      </c>
      <c r="B186" t="s">
        <v>876</v>
      </c>
      <c r="C186" t="s">
        <v>48</v>
      </c>
      <c r="D186" t="s">
        <v>877</v>
      </c>
      <c r="E186" t="str">
        <f>HYPERLINK("/pdf/2026_10.3390_fi18010011_Adaptive_Privacy-Preserving_Insider_Threat_Detection_Using_Generative_Sequence_Models.pdf","open")</f>
        <v>open</v>
      </c>
      <c r="F186" t="s">
        <v>15</v>
      </c>
      <c r="H186" t="b">
        <v>0</v>
      </c>
    </row>
    <row r="187" spans="1:8" x14ac:dyDescent="0.2">
      <c r="A187" t="s">
        <v>879</v>
      </c>
      <c r="B187" t="s">
        <v>880</v>
      </c>
      <c r="C187" t="s">
        <v>215</v>
      </c>
      <c r="D187" t="s">
        <v>882</v>
      </c>
      <c r="E187" t="str">
        <f>HYPERLINK("/pdf/2015_10.1109_cse.2014.136_Fvisor__Towards_thwarting_unauthorized_file_accesses_with_a_light-weght_hypervisor.pdf","open")</f>
        <v>open</v>
      </c>
      <c r="F187" t="s">
        <v>15</v>
      </c>
      <c r="G187" t="s">
        <v>148</v>
      </c>
      <c r="H187" t="b">
        <v>0</v>
      </c>
    </row>
    <row r="188" spans="1:8" x14ac:dyDescent="0.2">
      <c r="A188" t="s">
        <v>884</v>
      </c>
      <c r="B188" t="s">
        <v>885</v>
      </c>
      <c r="C188" t="s">
        <v>25</v>
      </c>
      <c r="D188" t="s">
        <v>887</v>
      </c>
      <c r="E188" t="str">
        <f>HYPERLINK("/pdf/2023_10_1109_ijcnn54540_2023_10191926_online_automated_machine_learning_for_class_imbalanced_data_streams.pdf","open")</f>
        <v>open</v>
      </c>
      <c r="F188" t="s">
        <v>15</v>
      </c>
      <c r="G188" t="s">
        <v>148</v>
      </c>
      <c r="H188" t="b">
        <v>0</v>
      </c>
    </row>
    <row r="189" spans="1:8" x14ac:dyDescent="0.2">
      <c r="A189" t="s">
        <v>889</v>
      </c>
      <c r="B189" t="s">
        <v>890</v>
      </c>
      <c r="C189" t="s">
        <v>19</v>
      </c>
      <c r="D189" t="s">
        <v>891</v>
      </c>
      <c r="E189" t="str">
        <f>HYPERLINK("/pdf/2025_10.1007_s11042-024-18349-y_Ensemble_framework_for_concept_drift_detection_and_class_imbalance_in_data_streams.pdf","open")</f>
        <v>open</v>
      </c>
      <c r="F189" t="s">
        <v>15</v>
      </c>
      <c r="G189" t="s">
        <v>148</v>
      </c>
      <c r="H189" t="b">
        <v>0</v>
      </c>
    </row>
    <row r="190" spans="1:8" x14ac:dyDescent="0.2">
      <c r="A190" t="s">
        <v>893</v>
      </c>
      <c r="B190" t="s">
        <v>894</v>
      </c>
      <c r="C190" t="s">
        <v>60</v>
      </c>
      <c r="D190" t="s">
        <v>896</v>
      </c>
      <c r="E190" t="str">
        <f>HYPERLINK("/pdf/2024_10_3390_fi16110410_design_and_evaluation_of_steganographic_channels_in_fifth_generation_new_radio.pdf","open")</f>
        <v>open</v>
      </c>
      <c r="F190" t="s">
        <v>15</v>
      </c>
      <c r="H190" t="b">
        <v>0</v>
      </c>
    </row>
    <row r="191" spans="1:8" x14ac:dyDescent="0.2">
      <c r="A191" t="s">
        <v>898</v>
      </c>
      <c r="B191" t="s">
        <v>898</v>
      </c>
      <c r="C191" t="s">
        <v>215</v>
      </c>
      <c r="D191" t="s">
        <v>900</v>
      </c>
      <c r="E191" t="str">
        <f>HYPERLINK("/pdf/2014_10.1145_2671491.2671499_DAVAST__Data-centric_system_level_activity_visualization.pdf","open")</f>
        <v>open</v>
      </c>
      <c r="F191" t="s">
        <v>15</v>
      </c>
      <c r="G191" t="s">
        <v>148</v>
      </c>
      <c r="H191" t="b">
        <v>0</v>
      </c>
    </row>
    <row r="192" spans="1:8" x14ac:dyDescent="0.2">
      <c r="A192" t="s">
        <v>902</v>
      </c>
      <c r="B192" t="s">
        <v>903</v>
      </c>
      <c r="C192" t="s">
        <v>25</v>
      </c>
      <c r="D192" t="s">
        <v>905</v>
      </c>
      <c r="E192" t="str">
        <f>HYPERLINK("/pdf/2023_10.1109_cscloud-edgecom58631.2023.00043_Federated_Learning-Based_Intrusion_Detection_System_for_IoT_Environments_with_Locally_Adapted_Model.pdf","open")</f>
        <v>open</v>
      </c>
      <c r="F192" t="s">
        <v>590</v>
      </c>
      <c r="G192" t="s">
        <v>10455</v>
      </c>
      <c r="H192" t="b">
        <v>1</v>
      </c>
    </row>
    <row r="193" spans="1:8" x14ac:dyDescent="0.2">
      <c r="A193" t="s">
        <v>907</v>
      </c>
      <c r="B193" t="s">
        <v>908</v>
      </c>
      <c r="C193" t="s">
        <v>60</v>
      </c>
      <c r="D193" t="s">
        <v>910</v>
      </c>
      <c r="E193" t="str">
        <f>HYPERLINK("/pdf/2024_10.1109_ict4da62874.2024.10777078_Long_Short-Term_Memory_and_Synthetic_Minority_Over_Sampling_Technique-Based_Network_Traffic_Classification.pdf","open")</f>
        <v>open</v>
      </c>
      <c r="F193" t="s">
        <v>15</v>
      </c>
      <c r="G193" t="s">
        <v>148</v>
      </c>
      <c r="H193" t="b">
        <v>0</v>
      </c>
    </row>
    <row r="194" spans="1:8" x14ac:dyDescent="0.2">
      <c r="A194" t="s">
        <v>912</v>
      </c>
      <c r="B194" t="s">
        <v>913</v>
      </c>
      <c r="C194" t="s">
        <v>25</v>
      </c>
      <c r="D194" t="s">
        <v>912</v>
      </c>
      <c r="E194" t="str">
        <f>HYPERLINK("/pdf/2023_10.1109_cosite60233.2023.10249650_Evaluation_of_CyPACH__A_Cyber_Privacy_Advisor_Chatbot.pdf","open")</f>
        <v>open</v>
      </c>
      <c r="F194" t="s">
        <v>44</v>
      </c>
      <c r="G194" t="s">
        <v>10456</v>
      </c>
      <c r="H194" t="b">
        <v>0</v>
      </c>
    </row>
    <row r="195" spans="1:8" x14ac:dyDescent="0.2">
      <c r="B195" t="s">
        <v>916</v>
      </c>
      <c r="C195" t="s">
        <v>100</v>
      </c>
      <c r="D195" t="s">
        <v>918</v>
      </c>
      <c r="E195" t="str">
        <f>HYPERLINK("/pdf/2022_10.1109_ipsn54338.2022.00055_Demo_Abstract__A_Distributed_Power_Side-channel_Auditing_System_for_Online_loT_Intrusion_Detection.pdf","open")</f>
        <v>open</v>
      </c>
      <c r="F195" t="s">
        <v>44</v>
      </c>
      <c r="G195" t="s">
        <v>10457</v>
      </c>
      <c r="H195" t="b">
        <v>1</v>
      </c>
    </row>
    <row r="196" spans="1:8" x14ac:dyDescent="0.2">
      <c r="A196" t="s">
        <v>920</v>
      </c>
      <c r="B196" t="s">
        <v>921</v>
      </c>
      <c r="C196" t="s">
        <v>60</v>
      </c>
      <c r="D196" t="s">
        <v>923</v>
      </c>
      <c r="E196" t="str">
        <f>HYPERLINK("/pdf/2024_10.1016_j.prime.2024.100590_An_empirical_assessment_of_ML_models_for_5G_network_intrusion_detection__A_data_leakage-free_approach.pdf","open")</f>
        <v>open</v>
      </c>
      <c r="F196" t="s">
        <v>15</v>
      </c>
      <c r="G196" t="s">
        <v>148</v>
      </c>
      <c r="H196" t="b">
        <v>0</v>
      </c>
    </row>
    <row r="197" spans="1:8" x14ac:dyDescent="0.2">
      <c r="A197" t="s">
        <v>925</v>
      </c>
      <c r="B197" t="s">
        <v>926</v>
      </c>
      <c r="C197" t="s">
        <v>268</v>
      </c>
      <c r="D197" t="s">
        <v>148</v>
      </c>
      <c r="E197" t="str">
        <f>HYPERLINK("/pdf/2010_10_14778_1920841_1920849_building_disclosure_risk_aware_query_optimizers_for_relational_databases.pdf","open")</f>
        <v>open</v>
      </c>
      <c r="F197" t="s">
        <v>44</v>
      </c>
      <c r="G197" t="s">
        <v>10458</v>
      </c>
      <c r="H197" t="b">
        <v>1</v>
      </c>
    </row>
    <row r="198" spans="1:8" x14ac:dyDescent="0.2">
      <c r="A198" t="s">
        <v>929</v>
      </c>
      <c r="B198" t="s">
        <v>930</v>
      </c>
      <c r="C198" t="s">
        <v>48</v>
      </c>
      <c r="D198" t="s">
        <v>929</v>
      </c>
      <c r="E198" t="str">
        <f>HYPERLINK("/pdf/2026_10.1109_tcss.2025.3642006_A_Verifiable_Federated_Learning_Mechanism_for_Digital_Museum_Collection_Based_on_Homomorphic_Proxy_Re-Authenti.pdf","open")</f>
        <v>open</v>
      </c>
      <c r="F198" t="s">
        <v>44</v>
      </c>
      <c r="G198" t="s">
        <v>10459</v>
      </c>
      <c r="H198" t="b">
        <v>1</v>
      </c>
    </row>
    <row r="199" spans="1:8" x14ac:dyDescent="0.2">
      <c r="A199" t="s">
        <v>933</v>
      </c>
      <c r="B199" t="s">
        <v>934</v>
      </c>
      <c r="C199" t="s">
        <v>19</v>
      </c>
      <c r="D199" t="s">
        <v>936</v>
      </c>
      <c r="E199" t="str">
        <f>HYPERLINK("/pdf/2025_10.1007_s11227-025-07116-x_GDT-IDS__graph-based_decision_tree_intrusion_detection_system_for_controller_area_network.pdf.pdf","open")</f>
        <v>open</v>
      </c>
      <c r="F199" t="s">
        <v>15</v>
      </c>
      <c r="G199" t="s">
        <v>148</v>
      </c>
      <c r="H199" t="b">
        <v>0</v>
      </c>
    </row>
    <row r="200" spans="1:8" x14ac:dyDescent="0.2">
      <c r="A200" t="s">
        <v>938</v>
      </c>
      <c r="B200" t="s">
        <v>939</v>
      </c>
      <c r="C200" t="s">
        <v>940</v>
      </c>
      <c r="D200" t="s">
        <v>148</v>
      </c>
      <c r="E200" t="str">
        <f>HYPERLINK("/pdf/2011_Towards_next-generation_intrusion_detection.pdf","open")</f>
        <v>open</v>
      </c>
      <c r="F200" t="s">
        <v>44</v>
      </c>
      <c r="G200" t="s">
        <v>10460</v>
      </c>
      <c r="H200" t="b">
        <v>1</v>
      </c>
    </row>
    <row r="201" spans="1:8" x14ac:dyDescent="0.2">
      <c r="A201" t="s">
        <v>943</v>
      </c>
      <c r="B201" t="s">
        <v>944</v>
      </c>
      <c r="C201" t="s">
        <v>100</v>
      </c>
      <c r="D201" t="s">
        <v>946</v>
      </c>
      <c r="E201" t="str">
        <f>HYPERLINK("/pdf/2022_10.1109_tce.2021.3129155_Fortified-NoC__A_Robust_Approach_for_Trojan-Resilient_Network-on-Chips_to_Fortify_Multicore-Based_Consumer_Ele.pdf","open")</f>
        <v>open</v>
      </c>
      <c r="F201" t="s">
        <v>44</v>
      </c>
      <c r="G201" t="s">
        <v>10461</v>
      </c>
      <c r="H201" t="b">
        <v>1</v>
      </c>
    </row>
    <row r="202" spans="1:8" x14ac:dyDescent="0.2">
      <c r="A202" t="s">
        <v>948</v>
      </c>
      <c r="B202" t="s">
        <v>949</v>
      </c>
      <c r="C202" t="s">
        <v>363</v>
      </c>
      <c r="D202" t="s">
        <v>951</v>
      </c>
      <c r="E202" t="str">
        <f>HYPERLINK("/pdf/2016_10.1145_2897073.2897077_Cognitive_mobile_security.pdf","open")</f>
        <v>open</v>
      </c>
      <c r="F202" t="s">
        <v>15</v>
      </c>
      <c r="G202" t="s">
        <v>148</v>
      </c>
      <c r="H202" t="b">
        <v>0</v>
      </c>
    </row>
    <row r="203" spans="1:8" x14ac:dyDescent="0.2">
      <c r="A203" t="s">
        <v>953</v>
      </c>
      <c r="B203" t="s">
        <v>954</v>
      </c>
      <c r="C203" t="s">
        <v>19</v>
      </c>
      <c r="D203" t="s">
        <v>956</v>
      </c>
      <c r="E203" t="str">
        <f>HYPERLINK("/pdf/2025_10.1109_icoa66896.2025.11236897_Federated_Learning_for_Privacy-Preserving_Intrusion_Detection_in_IoT_using_Edge_and_Cloud_Infrastructure.pdf","open")</f>
        <v>open</v>
      </c>
      <c r="F203" t="s">
        <v>957</v>
      </c>
      <c r="G203" t="s">
        <v>10462</v>
      </c>
      <c r="H203" t="b">
        <v>1</v>
      </c>
    </row>
    <row r="204" spans="1:8" x14ac:dyDescent="0.2">
      <c r="A204" t="s">
        <v>959</v>
      </c>
      <c r="B204" t="s">
        <v>960</v>
      </c>
      <c r="C204" t="s">
        <v>12</v>
      </c>
      <c r="D204" t="s">
        <v>962</v>
      </c>
      <c r="E204" t="str">
        <f>HYPERLINK("/pdf/2018_10.1109_qrs.2018.00029_Hypervisor-based_sensitive_data_leakage_detector.pdf","open")</f>
        <v>open</v>
      </c>
      <c r="F204" t="s">
        <v>44</v>
      </c>
      <c r="G204" t="s">
        <v>10463</v>
      </c>
      <c r="H204" t="b">
        <v>1</v>
      </c>
    </row>
    <row r="205" spans="1:8" x14ac:dyDescent="0.2">
      <c r="A205" t="s">
        <v>964</v>
      </c>
      <c r="B205" t="s">
        <v>965</v>
      </c>
      <c r="C205" t="s">
        <v>100</v>
      </c>
      <c r="D205" t="s">
        <v>148</v>
      </c>
      <c r="E205" t="str">
        <f>HYPERLINK("/pdf/2022_Data_Leakage_Detection_in_Cloud_Computing_Environment_Using_Classification_Based_on_Deep_Learning_Architecture.pdf","open")</f>
        <v>open</v>
      </c>
      <c r="F205" t="s">
        <v>44</v>
      </c>
      <c r="G205" t="s">
        <v>10464</v>
      </c>
      <c r="H205" t="b">
        <v>1</v>
      </c>
    </row>
    <row r="206" spans="1:8" x14ac:dyDescent="0.2">
      <c r="A206" t="s">
        <v>968</v>
      </c>
      <c r="B206" t="s">
        <v>969</v>
      </c>
      <c r="C206" t="s">
        <v>25</v>
      </c>
      <c r="D206" t="s">
        <v>971</v>
      </c>
      <c r="E206" t="str">
        <f>HYPERLINK("/pdf/2023_10.1109_smc53992.2023.10393972_A_New_Federated_Learning_Model_for_Host_Intrusion_Detection_System_Under_Non-IID_Data.pdf","open")</f>
        <v>open</v>
      </c>
      <c r="F206" t="s">
        <v>15</v>
      </c>
      <c r="G206" t="s">
        <v>148</v>
      </c>
      <c r="H206" t="b">
        <v>0</v>
      </c>
    </row>
    <row r="207" spans="1:8" x14ac:dyDescent="0.2">
      <c r="A207" t="s">
        <v>973</v>
      </c>
      <c r="B207" t="s">
        <v>974</v>
      </c>
      <c r="C207" t="s">
        <v>598</v>
      </c>
      <c r="D207" t="s">
        <v>976</v>
      </c>
      <c r="E207" t="str">
        <f>HYPERLINK("/pdf/2012_10.1109_eidwt.2012.43_A_proposed_framework_for_the_active_detection_of_security_vulnerabilities_in_multi-tenancy_cloud_systems.pdf","open")</f>
        <v>open</v>
      </c>
      <c r="F207" t="s">
        <v>44</v>
      </c>
      <c r="G207" t="s">
        <v>10465</v>
      </c>
      <c r="H207" t="b">
        <v>1</v>
      </c>
    </row>
    <row r="208" spans="1:8" x14ac:dyDescent="0.2">
      <c r="A208" t="s">
        <v>978</v>
      </c>
      <c r="B208" t="s">
        <v>979</v>
      </c>
      <c r="C208" t="s">
        <v>12</v>
      </c>
      <c r="D208" t="s">
        <v>148</v>
      </c>
      <c r="E208" t="str">
        <f>HYPERLINK("/pdf/2021_10_1109_tcc_2019_2905605_a_game_theoretic_framework_for_the_virtual_machines_migration_timing_problem.pdf","open")</f>
        <v>open</v>
      </c>
      <c r="F208" t="s">
        <v>44</v>
      </c>
      <c r="G208" t="s">
        <v>10466</v>
      </c>
      <c r="H208" t="b">
        <v>1</v>
      </c>
    </row>
    <row r="209" spans="1:8" x14ac:dyDescent="0.2">
      <c r="A209" t="s">
        <v>981</v>
      </c>
      <c r="B209" t="s">
        <v>982</v>
      </c>
      <c r="C209" t="s">
        <v>19</v>
      </c>
      <c r="D209" t="s">
        <v>984</v>
      </c>
      <c r="E209" t="str">
        <f>HYPERLINK("/pdf/2025_10_3390_jcp5040092_hashing_in_the_fight_against_csam_technology_at_the_crossroads_of_law_and_ethics.pdf","open")</f>
        <v>open</v>
      </c>
      <c r="F209" t="s">
        <v>44</v>
      </c>
      <c r="G209" t="s">
        <v>10467</v>
      </c>
      <c r="H209" t="b">
        <v>1</v>
      </c>
    </row>
    <row r="210" spans="1:8" x14ac:dyDescent="0.2">
      <c r="A210" t="s">
        <v>986</v>
      </c>
      <c r="B210" t="s">
        <v>319</v>
      </c>
      <c r="C210" t="s">
        <v>25</v>
      </c>
      <c r="D210" t="s">
        <v>321</v>
      </c>
      <c r="E210" t="str">
        <f>HYPERLINK("/pdf/2023_10_1007_s40747_021_00456_0_deep_learning_framework_for_handling_concept_drift_and_class_imbalanced_complex.pdf","open")</f>
        <v>open</v>
      </c>
      <c r="F210" t="s">
        <v>15</v>
      </c>
      <c r="G210" t="s">
        <v>148</v>
      </c>
      <c r="H210" t="b">
        <v>0</v>
      </c>
    </row>
    <row r="211" spans="1:8" x14ac:dyDescent="0.2">
      <c r="A211" t="s">
        <v>988</v>
      </c>
      <c r="B211" t="s">
        <v>989</v>
      </c>
      <c r="C211" t="s">
        <v>60</v>
      </c>
      <c r="D211" t="s">
        <v>990</v>
      </c>
      <c r="E211" t="str">
        <f>HYPERLINK("/pdf/2024_10.1109_sces61914.2024.10652285_Detecting_Deceptive_URLs__Exploring_Logistic_Regression_and_Decision_Tree_Models.pdf","open")</f>
        <v>open</v>
      </c>
      <c r="F211" t="s">
        <v>15</v>
      </c>
      <c r="G211" t="s">
        <v>10468</v>
      </c>
      <c r="H211" t="b">
        <v>1</v>
      </c>
    </row>
    <row r="212" spans="1:8" x14ac:dyDescent="0.2">
      <c r="A212" t="s">
        <v>992</v>
      </c>
      <c r="B212" t="s">
        <v>993</v>
      </c>
      <c r="C212" t="s">
        <v>60</v>
      </c>
      <c r="D212" t="s">
        <v>994</v>
      </c>
      <c r="E212" t="str">
        <f>HYPERLINK("/pdf/2025_10.1007_s11042-024-19916-z_Towards_robust_and_efficient_intrusion_detection_in_IoMT__a_deep_learning_approach_addressing_data_leakage_and.pdf","open")</f>
        <v>open</v>
      </c>
      <c r="F212" t="s">
        <v>15</v>
      </c>
      <c r="G212" t="s">
        <v>148</v>
      </c>
      <c r="H212" t="b">
        <v>0</v>
      </c>
    </row>
    <row r="213" spans="1:8" x14ac:dyDescent="0.2">
      <c r="A213" t="s">
        <v>996</v>
      </c>
      <c r="B213" t="s">
        <v>603</v>
      </c>
      <c r="C213" t="s">
        <v>19</v>
      </c>
      <c r="D213" t="s">
        <v>605</v>
      </c>
      <c r="E213" t="str">
        <f>HYPERLINK("/pdf/2025_10_1007_s43926_025_00185_7_a_feature_level_ensemble_machine_learning_approach_for_attack_detection_in_iot_n.pdf","open")</f>
        <v>open</v>
      </c>
      <c r="F213" t="s">
        <v>15</v>
      </c>
      <c r="G213" t="s">
        <v>148</v>
      </c>
      <c r="H213" t="b">
        <v>0</v>
      </c>
    </row>
    <row r="214" spans="1:8" x14ac:dyDescent="0.2">
      <c r="A214" t="s">
        <v>998</v>
      </c>
      <c r="B214" t="s">
        <v>999</v>
      </c>
      <c r="C214" t="s">
        <v>19</v>
      </c>
      <c r="D214" t="s">
        <v>1000</v>
      </c>
      <c r="E214" t="str">
        <f>HYPERLINK("/pdf/2025_10_1038_s41598_025_89794_4_revolutionary_hybrid_ensembled_deep_learning_model_for_accurate_and_robust_side.pdf","open")</f>
        <v>open</v>
      </c>
      <c r="F214" t="s">
        <v>44</v>
      </c>
      <c r="G214" t="s">
        <v>10469</v>
      </c>
      <c r="H214" t="b">
        <v>1</v>
      </c>
    </row>
    <row r="215" spans="1:8" x14ac:dyDescent="0.2">
      <c r="A215" t="s">
        <v>1002</v>
      </c>
      <c r="B215" t="s">
        <v>1003</v>
      </c>
      <c r="C215" t="s">
        <v>25</v>
      </c>
      <c r="D215" t="s">
        <v>1005</v>
      </c>
      <c r="E215" t="str">
        <f>HYPERLINK("/pdf/2023_10.1109_taes.2023.3306336_ADS-Bchain__A_Blockchain-Based_Trusted_Service_Scheme_for_Automatic_Dependent_Surveillance_Broadcast.pdf","open")</f>
        <v>open</v>
      </c>
      <c r="F215" t="s">
        <v>44</v>
      </c>
      <c r="G215" t="s">
        <v>10470</v>
      </c>
      <c r="H215" t="b">
        <v>1</v>
      </c>
    </row>
    <row r="216" spans="1:8" x14ac:dyDescent="0.2">
      <c r="A216" t="s">
        <v>1007</v>
      </c>
      <c r="B216" t="s">
        <v>1008</v>
      </c>
      <c r="C216" t="s">
        <v>19</v>
      </c>
      <c r="D216" t="s">
        <v>1007</v>
      </c>
      <c r="E216" t="str">
        <f>HYPERLINK("/pdf/2025_10.1109_iciccs65191.2025.10984995_SDN_based_Firewall_with_Real_Time_Policy_Updates.pdf","open")</f>
        <v>open</v>
      </c>
      <c r="F216" t="s">
        <v>590</v>
      </c>
      <c r="G216" t="s">
        <v>10471</v>
      </c>
      <c r="H216" t="b">
        <v>1</v>
      </c>
    </row>
    <row r="217" spans="1:8" x14ac:dyDescent="0.2">
      <c r="A217" t="s">
        <v>1011</v>
      </c>
      <c r="B217" t="s">
        <v>1012</v>
      </c>
      <c r="C217" t="s">
        <v>25</v>
      </c>
      <c r="D217" t="s">
        <v>1014</v>
      </c>
      <c r="E217" t="str">
        <f>HYPERLINK("/pdf/2023_10_3390_app13031977_ai_assisted_security_alert_data_analysis_with_imbalanced_learning_methods.pdf","open")</f>
        <v>open</v>
      </c>
      <c r="F217" t="s">
        <v>15</v>
      </c>
      <c r="G217" t="s">
        <v>148</v>
      </c>
      <c r="H217" t="b">
        <v>0</v>
      </c>
    </row>
    <row r="218" spans="1:8" x14ac:dyDescent="0.2">
      <c r="A218" t="s">
        <v>1016</v>
      </c>
      <c r="B218" t="s">
        <v>1017</v>
      </c>
      <c r="C218" t="s">
        <v>215</v>
      </c>
      <c r="D218" t="s">
        <v>1019</v>
      </c>
      <c r="E218" t="str">
        <f>HYPERLINK("/pdf/2014_10.1145_2656434.2656448_Analysis_of_mobile_malware_based_on_user_awareness.pdf","open")</f>
        <v>open</v>
      </c>
      <c r="F218" t="s">
        <v>44</v>
      </c>
      <c r="G218" t="s">
        <v>10472</v>
      </c>
      <c r="H218" t="b">
        <v>1</v>
      </c>
    </row>
    <row r="219" spans="1:8" x14ac:dyDescent="0.2">
      <c r="A219" t="s">
        <v>1021</v>
      </c>
      <c r="B219" t="s">
        <v>1022</v>
      </c>
      <c r="C219" t="s">
        <v>12</v>
      </c>
      <c r="D219" t="s">
        <v>1024</v>
      </c>
      <c r="E219" t="str">
        <f>HYPERLINK("/pdf/2018_10_1109_noms_2018_8406122_synaptic_a_formal_checker_for_sdn_based_security_policies.pdf","open")</f>
        <v>open</v>
      </c>
      <c r="F219" t="s">
        <v>44</v>
      </c>
      <c r="G219" t="s">
        <v>10473</v>
      </c>
      <c r="H219" t="b">
        <v>1</v>
      </c>
    </row>
    <row r="220" spans="1:8" x14ac:dyDescent="0.2">
      <c r="A220" t="s">
        <v>1026</v>
      </c>
      <c r="B220" t="s">
        <v>1027</v>
      </c>
      <c r="C220" t="s">
        <v>136</v>
      </c>
      <c r="D220" t="s">
        <v>148</v>
      </c>
      <c r="E220" t="str">
        <f>HYPERLINK("/pdf/2019_Automated_factorization_of_security_chains_in_software-defined_networks.pdf","open")</f>
        <v>open</v>
      </c>
      <c r="F220" t="s">
        <v>44</v>
      </c>
      <c r="G220" t="s">
        <v>10474</v>
      </c>
      <c r="H220" t="b">
        <v>1</v>
      </c>
    </row>
    <row r="221" spans="1:8" x14ac:dyDescent="0.2">
      <c r="A221" t="s">
        <v>1030</v>
      </c>
      <c r="B221" t="s">
        <v>1031</v>
      </c>
      <c r="C221" t="s">
        <v>100</v>
      </c>
      <c r="D221" t="s">
        <v>148</v>
      </c>
      <c r="E221" t="str">
        <f>HYPERLINK("/pdf/2023_10_1109_icc45041_2023_10278951_a_lightweight_moving_target_defense_framework_for_multi_purpose_malware_affecting_iot_devi.pdf","open")</f>
        <v>open</v>
      </c>
      <c r="F221" t="s">
        <v>15</v>
      </c>
      <c r="G221" t="s">
        <v>148</v>
      </c>
      <c r="H221" t="b">
        <v>0</v>
      </c>
    </row>
    <row r="222" spans="1:8" x14ac:dyDescent="0.2">
      <c r="A222" t="s">
        <v>1033</v>
      </c>
      <c r="B222" t="s">
        <v>1034</v>
      </c>
      <c r="C222" t="s">
        <v>100</v>
      </c>
      <c r="D222" t="s">
        <v>1036</v>
      </c>
      <c r="E222" t="str">
        <f>HYPERLINK("/pdf/2022_10.1016_j.knosys.2022.109557_A_FKPCA-GWO_WDBiLSTM_classifier_for_intrusion_detection_system_in_cloud_environments.pdf","open")</f>
        <v>open</v>
      </c>
      <c r="F222" t="s">
        <v>15</v>
      </c>
      <c r="G222" t="s">
        <v>148</v>
      </c>
      <c r="H222" t="b">
        <v>0</v>
      </c>
    </row>
    <row r="223" spans="1:8" x14ac:dyDescent="0.2">
      <c r="A223" t="s">
        <v>1038</v>
      </c>
      <c r="B223" t="s">
        <v>1039</v>
      </c>
      <c r="C223" t="s">
        <v>268</v>
      </c>
      <c r="D223" t="s">
        <v>148</v>
      </c>
      <c r="E223" t="str">
        <f>HYPERLINK("/pdf/2010_10.1109_glocom.2010.5683165_Skip_finite_automaton__A_content_scanning_engine_to_secure_enterprise_networks.pdf","open")</f>
        <v>open</v>
      </c>
      <c r="F223" t="s">
        <v>44</v>
      </c>
      <c r="G223" t="s">
        <v>10475</v>
      </c>
      <c r="H223" t="b">
        <v>1</v>
      </c>
    </row>
    <row r="224" spans="1:8" x14ac:dyDescent="0.2">
      <c r="A224" t="s">
        <v>1042</v>
      </c>
      <c r="B224" t="s">
        <v>1043</v>
      </c>
      <c r="C224" t="s">
        <v>210</v>
      </c>
      <c r="D224" t="s">
        <v>148</v>
      </c>
      <c r="E224" t="str">
        <f>HYPERLINK("/pdf/2016_10.1007_978-981-10-0557-2_68_Android_security_analysis_based_on_inter-application_relationships.pdf","open")</f>
        <v>open</v>
      </c>
      <c r="F224" t="s">
        <v>44</v>
      </c>
      <c r="G224" t="s">
        <v>10476</v>
      </c>
      <c r="H224" t="b">
        <v>1</v>
      </c>
    </row>
    <row r="225" spans="1:8" x14ac:dyDescent="0.2">
      <c r="A225" t="s">
        <v>1046</v>
      </c>
      <c r="B225" t="s">
        <v>1047</v>
      </c>
      <c r="C225" t="s">
        <v>25</v>
      </c>
      <c r="D225" t="s">
        <v>148</v>
      </c>
      <c r="E225" t="str">
        <f>HYPERLINK("/pdf/2023_10_1109_lanman58293_2023_10189424_federated_learning_based_vehicle_trajectory_prediction_against_cyberattacks.pdf","open")</f>
        <v>open</v>
      </c>
      <c r="F225" t="s">
        <v>44</v>
      </c>
      <c r="G225" t="s">
        <v>10477</v>
      </c>
      <c r="H225" t="b">
        <v>1</v>
      </c>
    </row>
    <row r="226" spans="1:8" x14ac:dyDescent="0.2">
      <c r="B226" t="s">
        <v>1050</v>
      </c>
      <c r="C226" t="s">
        <v>100</v>
      </c>
      <c r="D226" t="s">
        <v>1052</v>
      </c>
      <c r="E226" t="str">
        <f>HYPERLINK("/pdf/2022_10.1109_iccci55554.2022.9850265_Analyzing_SocialArks_Data_Leak_-_A_Brute_Force_Web_Login_Attack.pdf","open")</f>
        <v>open</v>
      </c>
      <c r="F226" t="s">
        <v>15</v>
      </c>
      <c r="G226" t="s">
        <v>148</v>
      </c>
      <c r="H226" t="b">
        <v>0</v>
      </c>
    </row>
    <row r="227" spans="1:8" x14ac:dyDescent="0.2">
      <c r="A227" t="s">
        <v>1054</v>
      </c>
      <c r="B227" t="s">
        <v>1055</v>
      </c>
      <c r="C227" t="s">
        <v>148</v>
      </c>
      <c r="D227" t="s">
        <v>148</v>
      </c>
      <c r="E227" t="str">
        <f>HYPERLINK("/pdf/2021_10.1049_icp.2021.2407_Management_Challenges_in_the_Implementation_of_an_Email_Boundary_Control_for_Data_Leakage_Prevention.pdf","open")</f>
        <v>open</v>
      </c>
      <c r="F227" t="s">
        <v>44</v>
      </c>
      <c r="G227" t="s">
        <v>10478</v>
      </c>
      <c r="H227" t="b">
        <v>1</v>
      </c>
    </row>
    <row r="228" spans="1:8" x14ac:dyDescent="0.2">
      <c r="A228" t="s">
        <v>1057</v>
      </c>
      <c r="B228" t="s">
        <v>1058</v>
      </c>
      <c r="C228" t="s">
        <v>19</v>
      </c>
      <c r="D228" t="s">
        <v>1060</v>
      </c>
      <c r="E228" t="str">
        <f>HYPERLINK("/pdf/2025_10.1016_j.eij.2025.100684_Towards_lightweight_model_using_non-local-based_graph_convolution_neural_network_for_SQL_injection_detection.pdf","open")</f>
        <v>open</v>
      </c>
      <c r="F228" t="s">
        <v>15</v>
      </c>
      <c r="G228" t="s">
        <v>148</v>
      </c>
      <c r="H228" t="b">
        <v>0</v>
      </c>
    </row>
    <row r="229" spans="1:8" x14ac:dyDescent="0.2">
      <c r="A229" t="s">
        <v>1062</v>
      </c>
      <c r="B229" t="s">
        <v>1063</v>
      </c>
      <c r="C229" t="s">
        <v>54</v>
      </c>
      <c r="D229" t="s">
        <v>1065</v>
      </c>
      <c r="E229" t="str">
        <f>HYPERLINK("/pdf/2020_10.1109_bigdia51454.2020.00035_Analyzing_network_traffic_for_protocol_identification__An_ensemble_online_active_learning_method.pdf","open")</f>
        <v>open</v>
      </c>
      <c r="F229" t="s">
        <v>44</v>
      </c>
      <c r="G229" t="s">
        <v>10479</v>
      </c>
      <c r="H229" t="b">
        <v>1</v>
      </c>
    </row>
    <row r="230" spans="1:8" x14ac:dyDescent="0.2">
      <c r="A230" t="s">
        <v>1067</v>
      </c>
      <c r="B230" t="s">
        <v>1068</v>
      </c>
      <c r="C230" t="s">
        <v>363</v>
      </c>
      <c r="D230" t="s">
        <v>1070</v>
      </c>
      <c r="E230" t="str">
        <f>HYPERLINK("/pdf/2016_10.1145_2995959.2995967_Pragmatic_security__Modelling_it_security_management_responsibilities_for_SME_archetypes.pdf","open")</f>
        <v>open</v>
      </c>
      <c r="F230" t="s">
        <v>15</v>
      </c>
      <c r="G230" t="s">
        <v>10480</v>
      </c>
      <c r="H230" t="b">
        <v>1</v>
      </c>
    </row>
    <row r="231" spans="1:8" x14ac:dyDescent="0.2">
      <c r="A231" t="s">
        <v>538</v>
      </c>
      <c r="B231" t="s">
        <v>536</v>
      </c>
      <c r="C231" t="s">
        <v>25</v>
      </c>
      <c r="D231" t="s">
        <v>538</v>
      </c>
      <c r="E231" t="str">
        <f>HYPERLINK("/pdf/2023_10_32604_cmes_2023_044169_enhancing_healthcare_data_security_and_disease_detection_using_crossover_based_multilayer.pdf","open")</f>
        <v>open</v>
      </c>
      <c r="F231" t="s">
        <v>15</v>
      </c>
      <c r="G231" t="s">
        <v>148</v>
      </c>
      <c r="H231" t="b">
        <v>0</v>
      </c>
    </row>
    <row r="232" spans="1:8" x14ac:dyDescent="0.2">
      <c r="A232" t="s">
        <v>1073</v>
      </c>
      <c r="B232" t="s">
        <v>1074</v>
      </c>
      <c r="C232" t="s">
        <v>210</v>
      </c>
      <c r="D232" t="s">
        <v>148</v>
      </c>
      <c r="E232" t="str">
        <f>HYPERLINK("/pdf/2015_10.1109_icscn.2015.7219827_Complex_Event_Processing_based_Hybrid_Intrusion_Detection_System.pdf","open")</f>
        <v>open</v>
      </c>
      <c r="F232" t="s">
        <v>15</v>
      </c>
      <c r="G232" t="s">
        <v>148</v>
      </c>
      <c r="H232" t="b">
        <v>0</v>
      </c>
    </row>
    <row r="233" spans="1:8" x14ac:dyDescent="0.2">
      <c r="A233" t="s">
        <v>1077</v>
      </c>
      <c r="B233" t="s">
        <v>1078</v>
      </c>
      <c r="C233" t="s">
        <v>190</v>
      </c>
      <c r="D233" t="s">
        <v>1080</v>
      </c>
      <c r="E233" t="str">
        <f>HYPERLINK("/pdf/2017_10.1007_s11277-017-4229-9_The_Vulnerability_Exploitation_Conveying_Digital_Data_Over_Mobile_Voice_Call_Channels.pdf","open")</f>
        <v>open</v>
      </c>
      <c r="F233" t="s">
        <v>44</v>
      </c>
      <c r="G233" t="s">
        <v>10481</v>
      </c>
      <c r="H233" t="b">
        <v>1</v>
      </c>
    </row>
    <row r="234" spans="1:8" x14ac:dyDescent="0.2">
      <c r="A234" t="s">
        <v>1082</v>
      </c>
      <c r="B234" t="s">
        <v>1083</v>
      </c>
      <c r="C234" t="s">
        <v>25</v>
      </c>
      <c r="D234" t="s">
        <v>1085</v>
      </c>
      <c r="E234" t="str">
        <f>HYPERLINK("/pdf/2023_10.1109_comsci59259.2023.10315901_Zero-Trust_in_Instant_Messaging.pdf","open")</f>
        <v>open</v>
      </c>
      <c r="F234" t="s">
        <v>15</v>
      </c>
      <c r="G234" t="s">
        <v>148</v>
      </c>
      <c r="H234" t="b">
        <v>0</v>
      </c>
    </row>
    <row r="235" spans="1:8" x14ac:dyDescent="0.2">
      <c r="A235" t="s">
        <v>1087</v>
      </c>
      <c r="B235" t="s">
        <v>1088</v>
      </c>
      <c r="C235" t="s">
        <v>19</v>
      </c>
      <c r="D235" t="s">
        <v>1087</v>
      </c>
      <c r="E235" t="str">
        <f>HYPERLINK("/pdf/2025_10_11591_ijai_v14_i6_pp4913_4922_comparative_evaluation_of_machine_learning_models_for_intrusion_detection_in_wsns_using_th.pdf","open")</f>
        <v>open</v>
      </c>
      <c r="F235" t="s">
        <v>15</v>
      </c>
      <c r="G235" t="s">
        <v>148</v>
      </c>
      <c r="H235" t="b">
        <v>0</v>
      </c>
    </row>
    <row r="236" spans="1:8" x14ac:dyDescent="0.2">
      <c r="A236" t="s">
        <v>1091</v>
      </c>
      <c r="B236" t="s">
        <v>1092</v>
      </c>
      <c r="C236" t="s">
        <v>60</v>
      </c>
      <c r="D236" t="s">
        <v>1094</v>
      </c>
      <c r="E236" t="str">
        <f>HYPERLINK("/pdf/2025_10.1108_ics-03-2024-0059_Data_breach_announcements__evaluating_the_content_and_timing_of_breach_announcements_and_their_effect_on_firm_.pdf","open")</f>
        <v>open</v>
      </c>
      <c r="F236" t="s">
        <v>44</v>
      </c>
      <c r="G236" t="s">
        <v>10482</v>
      </c>
      <c r="H236" t="b">
        <v>1</v>
      </c>
    </row>
    <row r="237" spans="1:8" x14ac:dyDescent="0.2">
      <c r="A237" t="s">
        <v>1096</v>
      </c>
      <c r="B237" t="s">
        <v>1097</v>
      </c>
      <c r="C237" t="s">
        <v>48</v>
      </c>
      <c r="D237" t="s">
        <v>1099</v>
      </c>
      <c r="E237" t="str">
        <f>HYPERLINK("/pdf/2026_10.1007_s12243-026-01154-z_Intrusion_detection_in_CAN_protocol_using_novel_spatial-temporal_deep_learning_model_for_secure_autonomous_veh.pdf","open")</f>
        <v>open</v>
      </c>
      <c r="F237" t="s">
        <v>15</v>
      </c>
      <c r="H237" t="b">
        <v>0</v>
      </c>
    </row>
    <row r="238" spans="1:8" x14ac:dyDescent="0.2">
      <c r="A238" t="s">
        <v>1101</v>
      </c>
      <c r="B238" t="s">
        <v>1102</v>
      </c>
      <c r="C238" t="s">
        <v>12</v>
      </c>
      <c r="D238" t="s">
        <v>148</v>
      </c>
      <c r="E238" t="str">
        <f>HYPERLINK("/pdf/2018_Propagation_misclassified_instances_to_handle_nonstationary_imbalanced_data_stream.pdf","open")</f>
        <v>open</v>
      </c>
      <c r="F238" t="s">
        <v>15</v>
      </c>
      <c r="G238" t="s">
        <v>148</v>
      </c>
      <c r="H238" t="b">
        <v>0</v>
      </c>
    </row>
    <row r="239" spans="1:8" x14ac:dyDescent="0.2">
      <c r="A239" t="s">
        <v>1105</v>
      </c>
      <c r="B239" t="s">
        <v>1106</v>
      </c>
      <c r="C239" t="s">
        <v>363</v>
      </c>
      <c r="D239" t="s">
        <v>148</v>
      </c>
      <c r="E239" t="str">
        <f>HYPERLINK("/pdf/2016_10.1109_uemcon.2016.7777821_A_hybrid_analysis_for_mobile_security_threat_detection.pdf","open")</f>
        <v>open</v>
      </c>
      <c r="F239" t="s">
        <v>44</v>
      </c>
      <c r="G239" t="s">
        <v>10483</v>
      </c>
      <c r="H239" t="b">
        <v>1</v>
      </c>
    </row>
    <row r="240" spans="1:8" x14ac:dyDescent="0.2">
      <c r="A240" t="s">
        <v>1108</v>
      </c>
      <c r="B240" t="s">
        <v>1109</v>
      </c>
      <c r="C240" t="s">
        <v>190</v>
      </c>
      <c r="D240" t="s">
        <v>1108</v>
      </c>
      <c r="E240" t="str">
        <f>HYPERLINK("/pdf/2017_10.1155_2017_7397812_Selecting_Critical_Data_Flows_in_Android_Applications_for_Abnormal_Behavior_Detection.pdf","open")</f>
        <v>open</v>
      </c>
      <c r="F240" t="s">
        <v>15</v>
      </c>
      <c r="G240" t="s">
        <v>148</v>
      </c>
      <c r="H240" t="b">
        <v>0</v>
      </c>
    </row>
    <row r="241" spans="1:8" x14ac:dyDescent="0.2">
      <c r="A241" t="s">
        <v>1112</v>
      </c>
      <c r="B241" t="s">
        <v>1113</v>
      </c>
      <c r="C241" t="s">
        <v>100</v>
      </c>
      <c r="D241" t="s">
        <v>1115</v>
      </c>
      <c r="E241" t="str">
        <f>HYPERLINK("/pdf/2022_10.1109_iccwamtip56608.2022.10016605_A_Novel_and_Efficient_Sequential_Learning-Based_Malware_Classification_Model.pdf","open")</f>
        <v>open</v>
      </c>
      <c r="F241" t="s">
        <v>15</v>
      </c>
      <c r="G241" t="s">
        <v>148</v>
      </c>
      <c r="H241" t="b">
        <v>0</v>
      </c>
    </row>
    <row r="242" spans="1:8" x14ac:dyDescent="0.2">
      <c r="A242" t="s">
        <v>1117</v>
      </c>
      <c r="B242" t="s">
        <v>1118</v>
      </c>
      <c r="C242" t="s">
        <v>48</v>
      </c>
      <c r="D242" t="s">
        <v>1120</v>
      </c>
      <c r="E242" t="str">
        <f>HYPERLINK("/pdf/2026_10_30598_barekengvol20iss2pp1675_1692_a_comparative_study_of_pipeline_validated_machine_learning_classifiers_for_permission_base.pdf","open")</f>
        <v>open</v>
      </c>
      <c r="F242" t="s">
        <v>15</v>
      </c>
      <c r="G242" t="s">
        <v>148</v>
      </c>
      <c r="H242" t="b">
        <v>0</v>
      </c>
    </row>
    <row r="243" spans="1:8" x14ac:dyDescent="0.2">
      <c r="A243" t="s">
        <v>1122</v>
      </c>
      <c r="B243" t="s">
        <v>1123</v>
      </c>
      <c r="C243" t="s">
        <v>19</v>
      </c>
      <c r="D243" t="s">
        <v>148</v>
      </c>
      <c r="E243" t="str">
        <f>HYPERLINK("/pdf/2025_10_34190_eccws_24_1_3542_cybersecurity_challenges_and_mitigations_for_llms_in_dod_applications.pdf","open")</f>
        <v>open</v>
      </c>
      <c r="F243" t="s">
        <v>44</v>
      </c>
      <c r="G243" t="s">
        <v>10484</v>
      </c>
      <c r="H243" t="b">
        <v>1</v>
      </c>
    </row>
    <row r="244" spans="1:8" x14ac:dyDescent="0.2">
      <c r="A244" t="s">
        <v>1126</v>
      </c>
      <c r="B244" t="s">
        <v>1127</v>
      </c>
      <c r="C244" t="s">
        <v>25</v>
      </c>
      <c r="D244" t="s">
        <v>1128</v>
      </c>
      <c r="E244" t="str">
        <f>HYPERLINK("/pdf/2023_10_1007_978_3_031_33488_7_20_efficient_network_representation_for_gnn_based_intrusion_detection.pdf","open")</f>
        <v>open</v>
      </c>
      <c r="F244" t="s">
        <v>15</v>
      </c>
      <c r="G244" t="s">
        <v>148</v>
      </c>
      <c r="H244" t="b">
        <v>0</v>
      </c>
    </row>
    <row r="245" spans="1:8" x14ac:dyDescent="0.2">
      <c r="A245" t="s">
        <v>1130</v>
      </c>
      <c r="B245" t="s">
        <v>710</v>
      </c>
      <c r="C245" t="s">
        <v>19</v>
      </c>
      <c r="D245" t="s">
        <v>711</v>
      </c>
      <c r="E245" t="str">
        <f>HYPERLINK("/pdf/2025_10_1038_s41598_025_17799_0_multi_resolution_transfer_learning_for_tampered_image_classification_using_se_enhanced_fus.pdf","open")</f>
        <v>open</v>
      </c>
      <c r="F245" t="s">
        <v>15</v>
      </c>
      <c r="G245" t="s">
        <v>148</v>
      </c>
      <c r="H245" t="b">
        <v>0</v>
      </c>
    </row>
    <row r="246" spans="1:8" x14ac:dyDescent="0.2">
      <c r="A246" t="s">
        <v>1132</v>
      </c>
      <c r="B246" t="s">
        <v>1133</v>
      </c>
      <c r="C246" t="s">
        <v>363</v>
      </c>
      <c r="D246" t="s">
        <v>1135</v>
      </c>
      <c r="E246" t="str">
        <f>HYPERLINK("/pdf/2016_10.1016_j.infsof.2016.03.004_Effective_detection_of_android_malware_based_on_the_usage_of_data_flow_APIs_and_machine_learning.pdf","open")</f>
        <v>open</v>
      </c>
      <c r="F246" t="s">
        <v>15</v>
      </c>
      <c r="G246" t="s">
        <v>148</v>
      </c>
      <c r="H246" t="b">
        <v>0</v>
      </c>
    </row>
    <row r="247" spans="1:8" x14ac:dyDescent="0.2">
      <c r="A247" t="s">
        <v>1137</v>
      </c>
      <c r="B247" t="s">
        <v>1138</v>
      </c>
      <c r="C247" t="s">
        <v>25</v>
      </c>
      <c r="D247" t="s">
        <v>1140</v>
      </c>
      <c r="E247" t="str">
        <f>HYPERLINK("/pdf/2023_10.1109_iceei59426.2023.10346644_Managing_Security_Hazards_in_BYOD__A_Comparative_Analysis_of_Artificial_Intelligent_Techniques.pdf","open")</f>
        <v>open</v>
      </c>
      <c r="F247" t="s">
        <v>15</v>
      </c>
      <c r="G247" t="s">
        <v>10485</v>
      </c>
      <c r="H247" t="b">
        <v>0</v>
      </c>
    </row>
    <row r="248" spans="1:8" x14ac:dyDescent="0.2">
      <c r="A248" t="s">
        <v>1142</v>
      </c>
      <c r="B248" t="s">
        <v>1143</v>
      </c>
      <c r="C248" t="s">
        <v>25</v>
      </c>
      <c r="D248" t="s">
        <v>1142</v>
      </c>
      <c r="E248" t="str">
        <f>HYPERLINK("/pdf/2023_10.1145_3577923.3583650_Infotainment_System_Matters__Understanding_the_Impact_and_Implications_of_In-Vehicle_Infotainment_System_Hacki.pdf","open")</f>
        <v>open</v>
      </c>
      <c r="F248" t="s">
        <v>15</v>
      </c>
      <c r="G248" t="s">
        <v>148</v>
      </c>
      <c r="H248" t="b">
        <v>0</v>
      </c>
    </row>
    <row r="249" spans="1:8" x14ac:dyDescent="0.2">
      <c r="A249" t="s">
        <v>1146</v>
      </c>
      <c r="B249" t="s">
        <v>1147</v>
      </c>
      <c r="C249" t="s">
        <v>60</v>
      </c>
      <c r="D249" t="s">
        <v>1149</v>
      </c>
      <c r="E249" t="str">
        <f>HYPERLINK("/pdf/2025_10_3390_virtualworlds4010001_cybersecurity_and_privacy_challenges_in_extended_reality_threats_solutions_and_risk_mit.pdf","open")</f>
        <v>open</v>
      </c>
      <c r="F249" t="s">
        <v>44</v>
      </c>
      <c r="G249" t="s">
        <v>10486</v>
      </c>
      <c r="H249" t="b">
        <v>1</v>
      </c>
    </row>
    <row r="250" spans="1:8" x14ac:dyDescent="0.2">
      <c r="A250" t="s">
        <v>1151</v>
      </c>
      <c r="B250" t="s">
        <v>1152</v>
      </c>
      <c r="C250" t="s">
        <v>60</v>
      </c>
      <c r="D250" t="s">
        <v>1154</v>
      </c>
      <c r="E250" t="str">
        <f>HYPERLINK("/pdf/2024_10.1109_dicct61038.2024.10532908_Malware_Detection_Using_Control_Flow_Graphs.pdf","open")</f>
        <v>open</v>
      </c>
      <c r="F250" t="s">
        <v>15</v>
      </c>
      <c r="G250" t="s">
        <v>148</v>
      </c>
      <c r="H250" t="b">
        <v>1</v>
      </c>
    </row>
    <row r="251" spans="1:8" x14ac:dyDescent="0.2">
      <c r="A251" t="s">
        <v>1156</v>
      </c>
      <c r="B251" t="s">
        <v>1157</v>
      </c>
      <c r="C251" t="s">
        <v>54</v>
      </c>
      <c r="D251" t="s">
        <v>1159</v>
      </c>
      <c r="E251" t="str">
        <f>HYPERLINK("/pdf/2020_10.1109_icin48450.2020.9059472_Cache-Property-Aware_Features_for_DNS_Tunneling_Detection.pdf","open")</f>
        <v>open</v>
      </c>
      <c r="F251" t="s">
        <v>44</v>
      </c>
      <c r="G251" t="s">
        <v>10487</v>
      </c>
      <c r="H251" t="b">
        <v>1</v>
      </c>
    </row>
    <row r="252" spans="1:8" x14ac:dyDescent="0.2">
      <c r="A252" t="s">
        <v>1161</v>
      </c>
      <c r="B252" t="s">
        <v>1162</v>
      </c>
      <c r="C252" t="s">
        <v>60</v>
      </c>
      <c r="D252" t="s">
        <v>1164</v>
      </c>
      <c r="E252" t="str">
        <f>HYPERLINK("/pdf/2024_10.1145_3649403.3656483_A_Privacy_Preserving_Context_Sensitive_Kernel.pdf","open")</f>
        <v>open</v>
      </c>
      <c r="F252" t="s">
        <v>15</v>
      </c>
      <c r="G252" t="s">
        <v>10488</v>
      </c>
      <c r="H252" t="b">
        <v>1</v>
      </c>
    </row>
    <row r="253" spans="1:8" x14ac:dyDescent="0.2">
      <c r="A253" t="s">
        <v>1166</v>
      </c>
      <c r="B253" t="s">
        <v>1167</v>
      </c>
      <c r="C253" t="s">
        <v>25</v>
      </c>
      <c r="D253" t="s">
        <v>1169</v>
      </c>
      <c r="E253" t="str">
        <f>HYPERLINK("/pdf/2023_10.1016_j.procs.2023.03.102_Broadening_the_Solution_Space_of_Feature_Selection_in_Time-interval-based_Malware_Detection.pdf","open")</f>
        <v>open</v>
      </c>
      <c r="F253" t="s">
        <v>590</v>
      </c>
      <c r="G253" t="s">
        <v>10489</v>
      </c>
      <c r="H253" t="b">
        <v>1</v>
      </c>
    </row>
    <row r="254" spans="1:8" x14ac:dyDescent="0.2">
      <c r="A254" t="s">
        <v>1171</v>
      </c>
      <c r="B254" t="s">
        <v>1172</v>
      </c>
      <c r="C254" t="s">
        <v>25</v>
      </c>
      <c r="D254" t="s">
        <v>1174</v>
      </c>
      <c r="E254" t="str">
        <f>HYPERLINK("/pdf/2023_10.1109_i-smac58438.2023.10290155_Efficient_Secured_Cloud_Storage_System_using_Dynamic_Multiple_Clouds_Cryptographic_Algorithm.pdf","open")</f>
        <v>open</v>
      </c>
      <c r="F254" t="s">
        <v>15</v>
      </c>
      <c r="G254" t="s">
        <v>148</v>
      </c>
      <c r="H254" t="b">
        <v>0</v>
      </c>
    </row>
    <row r="255" spans="1:8" x14ac:dyDescent="0.2">
      <c r="A255" t="s">
        <v>1176</v>
      </c>
      <c r="B255" t="s">
        <v>1177</v>
      </c>
      <c r="C255" t="s">
        <v>136</v>
      </c>
      <c r="D255" t="s">
        <v>1178</v>
      </c>
      <c r="E255" t="str">
        <f>HYPERLINK("/pdf/2019_10_3390_electronics8090968_dynamic_deep_forest_an_ensemble_classification_method_for_network_intrusion_detection.pdf","open")</f>
        <v>open</v>
      </c>
      <c r="F255" t="s">
        <v>15</v>
      </c>
      <c r="G255" t="s">
        <v>10490</v>
      </c>
      <c r="H255" t="b">
        <v>0</v>
      </c>
    </row>
    <row r="256" spans="1:8" x14ac:dyDescent="0.2">
      <c r="A256" t="s">
        <v>1180</v>
      </c>
      <c r="B256" t="s">
        <v>1181</v>
      </c>
      <c r="C256" t="s">
        <v>60</v>
      </c>
      <c r="D256" t="s">
        <v>148</v>
      </c>
      <c r="E256" t="str">
        <f>HYPERLINK("/pdf/2024_10.7492_qcqm1g12_AI-Powered_Cyber_Threat_Detection__Leveraging_Machine_Learning_for_RealTime_Anomaly_Identification_and_Threat_.pdf","open")</f>
        <v>open</v>
      </c>
      <c r="F256" t="s">
        <v>44</v>
      </c>
      <c r="G256" t="s">
        <v>10491</v>
      </c>
      <c r="H256" t="b">
        <v>1</v>
      </c>
    </row>
    <row r="257" spans="1:8" x14ac:dyDescent="0.2">
      <c r="A257" t="s">
        <v>1184</v>
      </c>
      <c r="B257" t="s">
        <v>1185</v>
      </c>
      <c r="C257" t="s">
        <v>54</v>
      </c>
      <c r="D257" t="s">
        <v>1187</v>
      </c>
      <c r="E257" t="str">
        <f>HYPERLINK("/pdf/2020_10.1145_3365578_Hardware_Trojan_mitigation_in_pipelined_MPSoCs.pdf","open")</f>
        <v>open</v>
      </c>
      <c r="F257" t="s">
        <v>15</v>
      </c>
      <c r="G257" t="s">
        <v>10492</v>
      </c>
      <c r="H257" t="b">
        <v>1</v>
      </c>
    </row>
    <row r="258" spans="1:8" x14ac:dyDescent="0.2">
      <c r="A258" t="s">
        <v>1189</v>
      </c>
      <c r="B258" t="s">
        <v>1190</v>
      </c>
      <c r="C258" t="s">
        <v>19</v>
      </c>
      <c r="D258" t="s">
        <v>1192</v>
      </c>
      <c r="E258" t="str">
        <f>HYPERLINK("/pdf/2025_10.1109_icoin63865.2025.10993160_Privacy-Preserving_Generative_Adversarial_Network-Based_Data_Synthesis_for_Intelligent_Intrusion_Detection_Sys.pdf","open")</f>
        <v>open</v>
      </c>
      <c r="F258" t="s">
        <v>590</v>
      </c>
      <c r="G258" t="s">
        <v>10493</v>
      </c>
      <c r="H258" t="b">
        <v>1</v>
      </c>
    </row>
    <row r="259" spans="1:8" x14ac:dyDescent="0.2">
      <c r="A259" t="s">
        <v>1194</v>
      </c>
      <c r="B259" t="s">
        <v>1195</v>
      </c>
      <c r="C259" t="s">
        <v>25</v>
      </c>
      <c r="D259" t="s">
        <v>1197</v>
      </c>
      <c r="E259" t="str">
        <f>HYPERLINK("/pdf/2023_10.1145_3603781.3603906_Detection_of_Network_Time_Covert_Channels_Based_on_Image_Processing.pdf","open")</f>
        <v>open</v>
      </c>
      <c r="F259" t="s">
        <v>15</v>
      </c>
      <c r="G259" t="s">
        <v>148</v>
      </c>
      <c r="H259" t="b">
        <v>0</v>
      </c>
    </row>
    <row r="260" spans="1:8" x14ac:dyDescent="0.2">
      <c r="A260" t="s">
        <v>1199</v>
      </c>
      <c r="B260" t="s">
        <v>1200</v>
      </c>
      <c r="C260" t="s">
        <v>36</v>
      </c>
      <c r="D260" t="s">
        <v>148</v>
      </c>
      <c r="E260" t="str">
        <f>HYPERLINK("/pdf/2022_SECURE_ASPECTS_OF_DIGITALIZATION_IN_MANAGEMENT_ACCOUNTING_AND_FINANCES_OF_THE_SUBJECT_OF_THE_NATIONAL_ECONOMY_.pdf","open")</f>
        <v>open</v>
      </c>
      <c r="F260" t="s">
        <v>44</v>
      </c>
      <c r="G260" t="s">
        <v>10494</v>
      </c>
      <c r="H260" t="b">
        <v>1</v>
      </c>
    </row>
    <row r="261" spans="1:8" x14ac:dyDescent="0.2">
      <c r="B261" t="s">
        <v>1203</v>
      </c>
      <c r="C261" t="s">
        <v>148</v>
      </c>
      <c r="D261" t="s">
        <v>148</v>
      </c>
      <c r="E261" t="str">
        <f>HYPERLINK("/pdf/2014_10.1049_cp.2014.1340_Android's_sensitive_data_leakage_detection_based_on_API_monitoring.pdf","open")</f>
        <v>open</v>
      </c>
      <c r="F261" t="s">
        <v>44</v>
      </c>
      <c r="G261" t="s">
        <v>10495</v>
      </c>
      <c r="H261" t="b">
        <v>1</v>
      </c>
    </row>
    <row r="262" spans="1:8" x14ac:dyDescent="0.2">
      <c r="A262" t="s">
        <v>1205</v>
      </c>
      <c r="B262" t="s">
        <v>1206</v>
      </c>
      <c r="C262" t="s">
        <v>36</v>
      </c>
      <c r="D262" t="s">
        <v>1208</v>
      </c>
      <c r="E262" t="str">
        <f>HYPERLINK("/pdf/2021_10_1109_tnsm_2021_3078428_dns_tunneling_detection_by_cache_property_aware_features.pdf","open")</f>
        <v>open</v>
      </c>
      <c r="F262" t="s">
        <v>957</v>
      </c>
      <c r="G262" t="s">
        <v>10496</v>
      </c>
      <c r="H262" t="b">
        <v>1</v>
      </c>
    </row>
    <row r="263" spans="1:8" x14ac:dyDescent="0.2">
      <c r="A263" t="s">
        <v>1210</v>
      </c>
      <c r="B263" t="s">
        <v>760</v>
      </c>
      <c r="C263" t="s">
        <v>48</v>
      </c>
      <c r="D263" t="s">
        <v>761</v>
      </c>
      <c r="E263" t="str">
        <f>HYPERLINK("/pdf/2026_10.1038_s41598-026-36731-8_ASTRID-Net__SE-enhanced_triple_attention_deep_learning_framework_for_IoT_and_IIoT_security.pdf","open")</f>
        <v>open</v>
      </c>
      <c r="F263" t="s">
        <v>15</v>
      </c>
      <c r="G263" t="s">
        <v>10497</v>
      </c>
      <c r="H263" t="b">
        <v>1</v>
      </c>
    </row>
    <row r="264" spans="1:8" x14ac:dyDescent="0.2">
      <c r="A264" t="s">
        <v>1212</v>
      </c>
      <c r="B264" t="s">
        <v>1213</v>
      </c>
      <c r="C264" t="s">
        <v>19</v>
      </c>
      <c r="D264" t="s">
        <v>1215</v>
      </c>
      <c r="E264" t="str">
        <f>HYPERLINK("/pdf/2025_10.70389_pjs.100115_Psyche_Components_in_the_Organization_of_Safety_Systems__The_Role_of_a_Person_in_the_Protection_of_Facilities_.pdf","open")</f>
        <v>open</v>
      </c>
      <c r="F264" t="s">
        <v>44</v>
      </c>
      <c r="G264" t="s">
        <v>10498</v>
      </c>
      <c r="H264" t="b">
        <v>1</v>
      </c>
    </row>
    <row r="265" spans="1:8" x14ac:dyDescent="0.2">
      <c r="A265" t="s">
        <v>148</v>
      </c>
      <c r="B265" t="s">
        <v>1217</v>
      </c>
      <c r="C265" t="s">
        <v>25</v>
      </c>
      <c r="D265" t="s">
        <v>1219</v>
      </c>
      <c r="E265" t="str">
        <f>HYPERLINK("/pdf/2023_10.1109_iccasit58768.2023.10351717_Research_and_Application_of_Cybersecurity_Situation_Awareness_for_Smart_Grid_Power_Control_System.pdf","open")</f>
        <v>open</v>
      </c>
      <c r="F265" t="s">
        <v>44</v>
      </c>
      <c r="G265" t="s">
        <v>10499</v>
      </c>
      <c r="H265" t="b">
        <v>1</v>
      </c>
    </row>
    <row r="266" spans="1:8" x14ac:dyDescent="0.2">
      <c r="A266" t="s">
        <v>1221</v>
      </c>
      <c r="B266" t="s">
        <v>1222</v>
      </c>
      <c r="C266" t="s">
        <v>25</v>
      </c>
      <c r="D266" t="s">
        <v>1224</v>
      </c>
      <c r="E266" t="str">
        <f>HYPERLINK("/pdf/2023_10_1109_fmec59375_2023_10305886_an_overview_of_using_of_artificial_intelligence_in_enhancing_security_and_privac.pdf","open")</f>
        <v>open</v>
      </c>
      <c r="F266" t="s">
        <v>15</v>
      </c>
      <c r="G266" t="s">
        <v>10500</v>
      </c>
      <c r="H266" t="b">
        <v>0</v>
      </c>
    </row>
    <row r="267" spans="1:8" x14ac:dyDescent="0.2">
      <c r="A267" t="s">
        <v>1226</v>
      </c>
      <c r="B267" t="s">
        <v>1227</v>
      </c>
      <c r="C267" t="s">
        <v>363</v>
      </c>
      <c r="D267" t="s">
        <v>1229</v>
      </c>
      <c r="E267" t="str">
        <f>HYPERLINK("/pdf/2016_10_13052_jcsm2245_1439_521_lazarus_data_leakage_with_pgp_and_resurrection_of_the_revoked_user.pdf","open")</f>
        <v>open</v>
      </c>
      <c r="F267" t="s">
        <v>44</v>
      </c>
      <c r="G267" t="s">
        <v>10501</v>
      </c>
      <c r="H267" t="b">
        <v>1</v>
      </c>
    </row>
    <row r="268" spans="1:8" x14ac:dyDescent="0.2">
      <c r="A268" t="s">
        <v>1231</v>
      </c>
      <c r="B268" t="s">
        <v>1232</v>
      </c>
      <c r="C268" t="s">
        <v>190</v>
      </c>
      <c r="D268" t="s">
        <v>1234</v>
      </c>
      <c r="E268" t="str">
        <f>HYPERLINK("/pdf/2017_10.1145_3171592.3171597_Network_behavioral_features_for_detecting_remote_access_trojans_in_the_early_stage.pdf","open")</f>
        <v>open</v>
      </c>
      <c r="F268" t="s">
        <v>15</v>
      </c>
      <c r="G268" t="s">
        <v>148</v>
      </c>
      <c r="H268" t="b">
        <v>0</v>
      </c>
    </row>
    <row r="269" spans="1:8" x14ac:dyDescent="0.2">
      <c r="A269" t="s">
        <v>1236</v>
      </c>
      <c r="B269" t="s">
        <v>1237</v>
      </c>
      <c r="C269" t="s">
        <v>36</v>
      </c>
      <c r="D269" t="s">
        <v>1239</v>
      </c>
      <c r="E269" t="str">
        <f>HYPERLINK("/pdf/2021_10.1109_ent50460.2021.9681727_Specifics_of_Communication_Organization_and_Attacks_on_Medical_Cyber-physical_Devices.pdf","open")</f>
        <v>open</v>
      </c>
      <c r="F269" t="s">
        <v>44</v>
      </c>
      <c r="G269" t="s">
        <v>10502</v>
      </c>
      <c r="H269" t="b">
        <v>1</v>
      </c>
    </row>
    <row r="270" spans="1:8" x14ac:dyDescent="0.2">
      <c r="A270" t="s">
        <v>1241</v>
      </c>
      <c r="B270" t="s">
        <v>1043</v>
      </c>
      <c r="C270" t="s">
        <v>210</v>
      </c>
      <c r="D270" t="s">
        <v>148</v>
      </c>
      <c r="E270" t="str">
        <f>HYPERLINK("/pdf/2016_10.1109_ccst.2015.7389685_A_Digital_Triage_Forensics_framework_of_Window_malware_forensic_toolkit__Based_on_ISO_IEC_27037_2012.pdf","open")</f>
        <v>open</v>
      </c>
      <c r="F270" t="s">
        <v>44</v>
      </c>
      <c r="G270" t="s">
        <v>10503</v>
      </c>
      <c r="H270" t="b">
        <v>1</v>
      </c>
    </row>
    <row r="271" spans="1:8" x14ac:dyDescent="0.2">
      <c r="A271" t="s">
        <v>1243</v>
      </c>
      <c r="B271" t="s">
        <v>1244</v>
      </c>
      <c r="C271" t="s">
        <v>100</v>
      </c>
      <c r="D271" t="s">
        <v>148</v>
      </c>
      <c r="E271" t="str">
        <f>HYPERLINK("/pdf/2022_10.23919_apsipaasc55919.2022.9979923_A_Comparison_of_Feature_Selection_and_Feature_Extraction_in_Network_Intrusion_Detection_Systems.pdf","open")</f>
        <v>open</v>
      </c>
      <c r="F271" t="s">
        <v>15</v>
      </c>
      <c r="G271" t="s">
        <v>10504</v>
      </c>
      <c r="H271" t="b">
        <v>1</v>
      </c>
    </row>
    <row r="272" spans="1:8" x14ac:dyDescent="0.2">
      <c r="A272" t="s">
        <v>1247</v>
      </c>
      <c r="B272" t="s">
        <v>1248</v>
      </c>
      <c r="C272" t="s">
        <v>54</v>
      </c>
      <c r="D272" t="s">
        <v>1249</v>
      </c>
      <c r="E272" t="str">
        <f>HYPERLINK("/pdf/2020_10_1109_access_2020_2996214_a_machine_learning_security_framework_for_iot_systems.pdf","open")</f>
        <v>open</v>
      </c>
      <c r="F272" t="s">
        <v>44</v>
      </c>
      <c r="G272" t="s">
        <v>10505</v>
      </c>
      <c r="H272" t="b">
        <v>1</v>
      </c>
    </row>
    <row r="273" spans="1:8" x14ac:dyDescent="0.2">
      <c r="A273" t="s">
        <v>1251</v>
      </c>
      <c r="B273" t="s">
        <v>1252</v>
      </c>
      <c r="C273" t="s">
        <v>54</v>
      </c>
      <c r="D273" t="s">
        <v>1254</v>
      </c>
      <c r="E273" t="str">
        <f>HYPERLINK("/pdf/2020_10.1109_msn50589.2020.00060_Optimal_defense_strategy_against_evasion_attacks.pdf","open")</f>
        <v>open</v>
      </c>
      <c r="F273" t="s">
        <v>15</v>
      </c>
      <c r="G273" t="s">
        <v>148</v>
      </c>
      <c r="H273" t="b">
        <v>0</v>
      </c>
    </row>
    <row r="274" spans="1:8" x14ac:dyDescent="0.2">
      <c r="A274" t="s">
        <v>1256</v>
      </c>
      <c r="B274" t="s">
        <v>1257</v>
      </c>
      <c r="C274" t="s">
        <v>48</v>
      </c>
      <c r="D274" t="s">
        <v>1258</v>
      </c>
      <c r="E274" t="str">
        <f>HYPERLINK("/pdf/2026_10.1109_tcad.2025.3580649_Dynamic_Interposer_Obfuscation_Through_Distributed_Scramblers_in_Heterogeneously_Integrated_2.5D_ICs.pdf","open")</f>
        <v>open</v>
      </c>
      <c r="F274" t="s">
        <v>44</v>
      </c>
      <c r="G274" t="s">
        <v>10506</v>
      </c>
      <c r="H274" t="b">
        <v>0</v>
      </c>
    </row>
    <row r="275" spans="1:8" x14ac:dyDescent="0.2">
      <c r="A275" t="s">
        <v>1260</v>
      </c>
      <c r="B275" t="s">
        <v>1261</v>
      </c>
      <c r="C275" t="s">
        <v>25</v>
      </c>
      <c r="D275" t="s">
        <v>1263</v>
      </c>
      <c r="E275" t="str">
        <f>HYPERLINK("/pdf/2023_10.1109_rmkmate59243.2023.10369056_A_Survey_on_Cyber_Attack_Detection__Techniques,_Datasets,_and_Challenge.pdf","open")</f>
        <v>open</v>
      </c>
      <c r="F275" t="s">
        <v>44</v>
      </c>
      <c r="G275" t="s">
        <v>10507</v>
      </c>
      <c r="H275" t="b">
        <v>1</v>
      </c>
    </row>
    <row r="276" spans="1:8" x14ac:dyDescent="0.2">
      <c r="A276" t="s">
        <v>1265</v>
      </c>
      <c r="B276" t="s">
        <v>1266</v>
      </c>
      <c r="C276" t="s">
        <v>60</v>
      </c>
      <c r="D276" t="s">
        <v>1268</v>
      </c>
      <c r="E276" t="str">
        <f>HYPERLINK("/pdf/2024_10.1109_dcoss-iot61029.2024.00041_SAfER__Simplified_Auto-encoder_for_(Anomalous)_Event_Recognition.pdf","open")</f>
        <v>open</v>
      </c>
      <c r="F276" t="s">
        <v>590</v>
      </c>
      <c r="G276" t="s">
        <v>10508</v>
      </c>
      <c r="H276" t="b">
        <v>1</v>
      </c>
    </row>
    <row r="277" spans="1:8" x14ac:dyDescent="0.2">
      <c r="A277" t="s">
        <v>1270</v>
      </c>
      <c r="B277" t="s">
        <v>1271</v>
      </c>
      <c r="C277" t="s">
        <v>156</v>
      </c>
      <c r="D277" t="s">
        <v>1273</v>
      </c>
      <c r="E277" t="str">
        <f>HYPERLINK("/pdf/2013_10.1145_2484313.2484378_Horizon_extender__Long-term_preservation_of_data_leakage_evidence_in_web_traffic.pdf","open")</f>
        <v>open</v>
      </c>
      <c r="F277" t="s">
        <v>44</v>
      </c>
      <c r="G277" t="s">
        <v>10509</v>
      </c>
      <c r="H277" t="b">
        <v>1</v>
      </c>
    </row>
    <row r="278" spans="1:8" x14ac:dyDescent="0.2">
      <c r="A278" t="s">
        <v>1275</v>
      </c>
      <c r="B278" t="s">
        <v>314</v>
      </c>
      <c r="C278" t="s">
        <v>36</v>
      </c>
      <c r="D278" t="s">
        <v>316</v>
      </c>
      <c r="E278" t="str">
        <f>HYPERLINK("/pdf/2022_10_1080_0144929x_2021_1953597_the_relationship_between_online_political_participation_and_privacy_protection.pdf","open")</f>
        <v>open</v>
      </c>
      <c r="F278" t="s">
        <v>44</v>
      </c>
      <c r="G278" t="s">
        <v>10510</v>
      </c>
      <c r="H278" t="b">
        <v>1</v>
      </c>
    </row>
    <row r="279" spans="1:8" x14ac:dyDescent="0.2">
      <c r="A279" t="s">
        <v>1278</v>
      </c>
      <c r="B279" t="s">
        <v>1279</v>
      </c>
      <c r="C279" t="s">
        <v>60</v>
      </c>
      <c r="D279" t="s">
        <v>1280</v>
      </c>
      <c r="E279" t="str">
        <f>HYPERLINK("/pdf/2024_10_3390_jcp4020009_on_data_leakage_prevention_maturity_adapting_the_c2m2_framework.pdf","open")</f>
        <v>open</v>
      </c>
      <c r="F279" t="s">
        <v>44</v>
      </c>
      <c r="G279" t="s">
        <v>10511</v>
      </c>
      <c r="H279" t="b">
        <v>1</v>
      </c>
    </row>
    <row r="280" spans="1:8" x14ac:dyDescent="0.2">
      <c r="A280" t="s">
        <v>1282</v>
      </c>
      <c r="B280" t="s">
        <v>1283</v>
      </c>
      <c r="C280" t="s">
        <v>100</v>
      </c>
      <c r="D280" t="s">
        <v>1285</v>
      </c>
      <c r="E280" t="str">
        <f>HYPERLINK("/pdf/2022_10_17341_gazimmfd_641580_a_new_document_classification_algorithm_against_malicious_data_leakage_attacks_zararli_ya.pdf","open")</f>
        <v>open</v>
      </c>
      <c r="F280" t="s">
        <v>15</v>
      </c>
      <c r="G280" t="s">
        <v>148</v>
      </c>
      <c r="H280" t="b">
        <v>0</v>
      </c>
    </row>
    <row r="281" spans="1:8" x14ac:dyDescent="0.2">
      <c r="A281" t="s">
        <v>1287</v>
      </c>
      <c r="B281" t="s">
        <v>1288</v>
      </c>
      <c r="C281" t="s">
        <v>48</v>
      </c>
      <c r="D281" t="s">
        <v>1290</v>
      </c>
      <c r="E281" t="str">
        <f>HYPERLINK("/pdf/2026_10.1109_tce.2026.3652563_QFedPhish__A_Quantum-Inspired_Federated_Learning_Approach_for_Detecting_AI-Generated_Phishing_Attacks.pdf","open")</f>
        <v>open</v>
      </c>
      <c r="F281" t="s">
        <v>15</v>
      </c>
      <c r="G281" t="s">
        <v>148</v>
      </c>
      <c r="H281" t="b">
        <v>0</v>
      </c>
    </row>
    <row r="282" spans="1:8" x14ac:dyDescent="0.2">
      <c r="A282" t="s">
        <v>1292</v>
      </c>
      <c r="B282" t="s">
        <v>120</v>
      </c>
      <c r="C282" t="s">
        <v>19</v>
      </c>
      <c r="D282" t="s">
        <v>122</v>
      </c>
      <c r="E282" t="str">
        <f>HYPERLINK("/pdf/2025_10_14445_23488549_ijece_v12i10p115_qryptashield_quantum_inspired_feature_selection_and_rl_calibrated_federated_learning_for.pdf","open")</f>
        <v>open</v>
      </c>
      <c r="F282" t="s">
        <v>590</v>
      </c>
      <c r="G282" t="s">
        <v>10512</v>
      </c>
      <c r="H282" t="b">
        <v>1</v>
      </c>
    </row>
    <row r="283" spans="1:8" x14ac:dyDescent="0.2">
      <c r="A283" t="s">
        <v>1294</v>
      </c>
      <c r="B283" t="s">
        <v>1295</v>
      </c>
      <c r="C283" t="s">
        <v>25</v>
      </c>
      <c r="D283" t="s">
        <v>148</v>
      </c>
      <c r="E283" t="str">
        <f>HYPERLINK("/pdf/2024_10_1007_s10586_023_04089_5_machine_learning_based_intrusion_detection_feature_selection_versus_feature_extraction.pdf","open")</f>
        <v>open</v>
      </c>
      <c r="F283" t="s">
        <v>44</v>
      </c>
      <c r="G283" t="s">
        <v>10513</v>
      </c>
      <c r="H283" t="b">
        <v>1</v>
      </c>
    </row>
    <row r="284" spans="1:8" x14ac:dyDescent="0.2">
      <c r="A284" t="s">
        <v>1297</v>
      </c>
      <c r="B284" t="s">
        <v>680</v>
      </c>
      <c r="C284" t="s">
        <v>19</v>
      </c>
      <c r="D284" t="s">
        <v>682</v>
      </c>
      <c r="E284" t="str">
        <f>HYPERLINK("/pdf/2025_10_37934_araset_51_2_153176_detecting_wormhole_attack_in_environmental_monitoring_system_for_agriculture_using_deep_le.pdf","open")</f>
        <v>open</v>
      </c>
      <c r="F284" t="s">
        <v>44</v>
      </c>
      <c r="G284" t="s">
        <v>10514</v>
      </c>
      <c r="H284" t="b">
        <v>1</v>
      </c>
    </row>
    <row r="285" spans="1:8" x14ac:dyDescent="0.2">
      <c r="A285" t="s">
        <v>1299</v>
      </c>
      <c r="B285" t="s">
        <v>1118</v>
      </c>
      <c r="C285" t="s">
        <v>48</v>
      </c>
      <c r="D285" t="s">
        <v>1300</v>
      </c>
      <c r="E285" t="str">
        <f>HYPERLINK("/pdf/2026_10_30598_barekengvol20iss2pp1675_1692_a_comparative_study_of_pipeline_validated_machine_learning_classifiers_for_permi.pdf","open")</f>
        <v>open</v>
      </c>
      <c r="F285" t="s">
        <v>15</v>
      </c>
      <c r="G285" t="s">
        <v>148</v>
      </c>
      <c r="H285" t="b">
        <v>0</v>
      </c>
    </row>
    <row r="286" spans="1:8" x14ac:dyDescent="0.2">
      <c r="A286" t="s">
        <v>1302</v>
      </c>
      <c r="B286" t="s">
        <v>1303</v>
      </c>
      <c r="C286" t="s">
        <v>60</v>
      </c>
      <c r="D286" t="s">
        <v>1302</v>
      </c>
      <c r="E286" t="str">
        <f>HYPERLINK("/pdf/2024_10.1145_3639821_TROP__TRust-aware_OPportunistic_Routing_in_NoC_with_Hardware_Trojans.pdf","open")</f>
        <v>open</v>
      </c>
      <c r="F286" t="s">
        <v>44</v>
      </c>
      <c r="G286" t="s">
        <v>10515</v>
      </c>
      <c r="H286" t="b">
        <v>1</v>
      </c>
    </row>
    <row r="287" spans="1:8" x14ac:dyDescent="0.2">
      <c r="A287" t="s">
        <v>1305</v>
      </c>
      <c r="B287" t="s">
        <v>1306</v>
      </c>
      <c r="C287" t="s">
        <v>19</v>
      </c>
      <c r="D287" t="s">
        <v>1307</v>
      </c>
      <c r="E287" t="str">
        <f>HYPERLINK("/pdf/2025_10.1109_iciccs65191.2025.10984918_Enhancing_Digital_Forensics_Security_Involves_the_Implementation_of_a_Robust_Storage_Framework_that_Employs_AE.pdf","open")</f>
        <v>open</v>
      </c>
      <c r="F287" t="s">
        <v>15</v>
      </c>
      <c r="G287" t="s">
        <v>10516</v>
      </c>
      <c r="H287" t="b">
        <v>1</v>
      </c>
    </row>
    <row r="288" spans="1:8" x14ac:dyDescent="0.2">
      <c r="A288" t="s">
        <v>1309</v>
      </c>
      <c r="B288" t="s">
        <v>719</v>
      </c>
      <c r="C288" t="s">
        <v>25</v>
      </c>
      <c r="D288" t="s">
        <v>721</v>
      </c>
      <c r="E288" t="str">
        <f>HYPERLINK("/pdf/2023_10.1109_ispa-bdcloud-socialcom-sustaincom59178.2023.00094_PE-FedAvg__A_Privacy-Enhanced_Federated_Learning_for_Distributed_Android_Malware_Detection.pdf","open")</f>
        <v>open</v>
      </c>
      <c r="F288" t="s">
        <v>15</v>
      </c>
      <c r="G288" t="s">
        <v>148</v>
      </c>
      <c r="H288" t="b">
        <v>0</v>
      </c>
    </row>
    <row r="289" spans="1:8" x14ac:dyDescent="0.2">
      <c r="A289" t="s">
        <v>1312</v>
      </c>
      <c r="B289" t="s">
        <v>1313</v>
      </c>
      <c r="C289" t="s">
        <v>19</v>
      </c>
      <c r="D289" t="s">
        <v>1315</v>
      </c>
      <c r="E289" t="str">
        <f>HYPERLINK("/pdf/2025_10.1109_qpain66474.2025.11171834_Analyzing_Threats_in_Public_Wi-Fi__A_Study_of_Attack_Vectors,_Vulnerability_and_User_Awareness.pdf","open")</f>
        <v>open</v>
      </c>
      <c r="F289" t="s">
        <v>44</v>
      </c>
      <c r="G289" t="s">
        <v>10517</v>
      </c>
      <c r="H289" t="b">
        <v>1</v>
      </c>
    </row>
    <row r="290" spans="1:8" x14ac:dyDescent="0.2">
      <c r="B290" t="s">
        <v>1317</v>
      </c>
      <c r="C290" t="s">
        <v>36</v>
      </c>
      <c r="D290" t="s">
        <v>148</v>
      </c>
      <c r="E290" t="str">
        <f>HYPERLINK("/pdf/2021_10_1109_csr51186_2021_9527960_understanding_and_mitigating_banking_trojans_from_zeus_to_emotet.pdf","open")</f>
        <v>open</v>
      </c>
      <c r="F290" t="s">
        <v>44</v>
      </c>
      <c r="G290" t="s">
        <v>10518</v>
      </c>
      <c r="H290" t="b">
        <v>1</v>
      </c>
    </row>
    <row r="291" spans="1:8" x14ac:dyDescent="0.2">
      <c r="A291" t="s">
        <v>1320</v>
      </c>
      <c r="B291" t="s">
        <v>1321</v>
      </c>
      <c r="C291" t="s">
        <v>19</v>
      </c>
      <c r="D291" t="s">
        <v>1323</v>
      </c>
      <c r="E291" t="str">
        <f>HYPERLINK("/pdf/2025_10.1109_icoeca66273.2025.00049_Simulation,_Prevention_and_Mitigation_of_Ransomware,_DDOS_and_Advanced_Persistent_Threats.pdf","open")</f>
        <v>open</v>
      </c>
      <c r="F291" t="s">
        <v>44</v>
      </c>
      <c r="G291" t="s">
        <v>10519</v>
      </c>
      <c r="H291" t="b">
        <v>1</v>
      </c>
    </row>
    <row r="292" spans="1:8" x14ac:dyDescent="0.2">
      <c r="A292" t="s">
        <v>1325</v>
      </c>
      <c r="B292" t="s">
        <v>1326</v>
      </c>
      <c r="C292" t="s">
        <v>19</v>
      </c>
      <c r="D292" t="s">
        <v>1328</v>
      </c>
      <c r="E292" t="str">
        <f>HYPERLINK("/pdf/2025_10_3390_jcp5040095_ai_augmented_soc_a_survey_of_llms_and_agents_for_security_automation.pdf","open")</f>
        <v>open</v>
      </c>
      <c r="F292" t="s">
        <v>44</v>
      </c>
      <c r="G292" t="s">
        <v>10520</v>
      </c>
      <c r="H292" t="b">
        <v>1</v>
      </c>
    </row>
    <row r="293" spans="1:8" x14ac:dyDescent="0.2">
      <c r="A293" t="s">
        <v>1330</v>
      </c>
      <c r="B293" t="s">
        <v>1331</v>
      </c>
      <c r="C293" t="s">
        <v>25</v>
      </c>
      <c r="D293" t="s">
        <v>1333</v>
      </c>
      <c r="E293" t="str">
        <f>HYPERLINK("/pdf/2023_10.1109_icpics58376.2023.10235404_Detection_of_Data_Leakage_Based_on_DNS_Traffic.pdf","open")</f>
        <v>open</v>
      </c>
      <c r="F293" t="s">
        <v>15</v>
      </c>
      <c r="G293" t="s">
        <v>148</v>
      </c>
      <c r="H293" t="b">
        <v>0</v>
      </c>
    </row>
    <row r="294" spans="1:8" x14ac:dyDescent="0.2">
      <c r="A294" t="s">
        <v>1335</v>
      </c>
      <c r="B294" t="s">
        <v>1336</v>
      </c>
      <c r="C294" t="s">
        <v>190</v>
      </c>
      <c r="D294" t="s">
        <v>1338</v>
      </c>
      <c r="E294" t="str">
        <f>HYPERLINK("/pdf/2017_10.5220_0006195803800388_Enhancing_accuracy_of_android_malware_detection_using_intent_instrumentation.pdf","open")</f>
        <v>open</v>
      </c>
      <c r="F294" t="s">
        <v>44</v>
      </c>
      <c r="G294" t="s">
        <v>10521</v>
      </c>
      <c r="H294" t="b">
        <v>1</v>
      </c>
    </row>
    <row r="295" spans="1:8" x14ac:dyDescent="0.2">
      <c r="A295" t="s">
        <v>1340</v>
      </c>
      <c r="B295" t="s">
        <v>1341</v>
      </c>
      <c r="C295" t="s">
        <v>19</v>
      </c>
      <c r="D295" t="s">
        <v>1343</v>
      </c>
      <c r="E295" t="str">
        <f>HYPERLINK("/pdf/2025_10.1007_978-981-96-2468-3_63_An_Approach_for_Malware_Classification_via_API_Call_Extraction_from_Disassembly_Code.pdf","open")</f>
        <v>open</v>
      </c>
      <c r="F295" t="s">
        <v>44</v>
      </c>
      <c r="G295" t="s">
        <v>10522</v>
      </c>
      <c r="H295" t="b">
        <v>1</v>
      </c>
    </row>
    <row r="296" spans="1:8" x14ac:dyDescent="0.2">
      <c r="A296" t="s">
        <v>1345</v>
      </c>
      <c r="B296" t="s">
        <v>1346</v>
      </c>
      <c r="C296" t="s">
        <v>12</v>
      </c>
      <c r="D296" t="s">
        <v>1347</v>
      </c>
      <c r="E296" t="str">
        <f>HYPERLINK("/pdf/2018_10_11591_ijece_v8i4_pp2247_2253_a_survey_data_leakage_detection_techniques.pdf","open")</f>
        <v>open</v>
      </c>
      <c r="F296" t="s">
        <v>44</v>
      </c>
      <c r="G296" t="s">
        <v>10523</v>
      </c>
      <c r="H296" t="b">
        <v>1</v>
      </c>
    </row>
    <row r="297" spans="1:8" x14ac:dyDescent="0.2">
      <c r="A297" t="s">
        <v>1349</v>
      </c>
      <c r="B297" t="s">
        <v>1350</v>
      </c>
      <c r="C297" t="s">
        <v>100</v>
      </c>
      <c r="D297" t="s">
        <v>148</v>
      </c>
      <c r="E297" t="str">
        <f>HYPERLINK("/pdf/2023_10_1109_tdsc_2022_3179698_blockchain_based_transparency_framework_for_privacy_preserving_third_party_services.pdf","open")</f>
        <v>open</v>
      </c>
      <c r="F297" t="s">
        <v>44</v>
      </c>
      <c r="G297" t="s">
        <v>10524</v>
      </c>
      <c r="H297" t="b">
        <v>1</v>
      </c>
    </row>
    <row r="298" spans="1:8" x14ac:dyDescent="0.2">
      <c r="A298" t="s">
        <v>1352</v>
      </c>
      <c r="B298" t="s">
        <v>79</v>
      </c>
      <c r="C298" t="s">
        <v>19</v>
      </c>
      <c r="D298" t="s">
        <v>81</v>
      </c>
      <c r="E298" t="str">
        <f>HYPERLINK("/pdf/2025_10_26583_sv_17_5_11_performance_comparison_of_various_software_tools_in_photogrammetry_based_digitization_and.pdf","open")</f>
        <v>open</v>
      </c>
      <c r="F298" t="s">
        <v>44</v>
      </c>
      <c r="G298" t="s">
        <v>10525</v>
      </c>
      <c r="H298" t="b">
        <v>1</v>
      </c>
    </row>
    <row r="299" spans="1:8" x14ac:dyDescent="0.2">
      <c r="A299" t="s">
        <v>1354</v>
      </c>
      <c r="B299" t="s">
        <v>1341</v>
      </c>
      <c r="C299" t="s">
        <v>19</v>
      </c>
      <c r="D299" t="s">
        <v>1343</v>
      </c>
      <c r="E299" t="str">
        <f>HYPERLINK("/pdf/2025_10.1109_idciot64235.2025.10914826_Artificial_Intelligence_to_Enhance_the_Security_of_Internet_of_Things__A_Comprehensive_Review.pdf","open")</f>
        <v>open</v>
      </c>
      <c r="F299" t="s">
        <v>44</v>
      </c>
      <c r="G299" t="s">
        <v>10526</v>
      </c>
      <c r="H299" t="b">
        <v>1</v>
      </c>
    </row>
    <row r="300" spans="1:8" x14ac:dyDescent="0.2">
      <c r="A300" t="s">
        <v>1357</v>
      </c>
      <c r="B300" t="s">
        <v>1358</v>
      </c>
      <c r="C300" t="s">
        <v>19</v>
      </c>
      <c r="D300" t="s">
        <v>1359</v>
      </c>
      <c r="E300" t="str">
        <f>HYPERLINK("/pdf/2025_10_14445_23488549_ijece_v12i8p111_real_time_intrusion_detection_using_adaptive_sliding_windows_for_concept_drift.pdf","open")</f>
        <v>open</v>
      </c>
      <c r="F300" t="s">
        <v>15</v>
      </c>
      <c r="G300" t="s">
        <v>10527</v>
      </c>
      <c r="H300" t="b">
        <v>1</v>
      </c>
    </row>
    <row r="301" spans="1:8" x14ac:dyDescent="0.2">
      <c r="A301" t="s">
        <v>1361</v>
      </c>
      <c r="B301" t="s">
        <v>1362</v>
      </c>
      <c r="C301" t="s">
        <v>54</v>
      </c>
      <c r="D301" t="s">
        <v>148</v>
      </c>
      <c r="E301" t="str">
        <f>HYPERLINK("/pdf/2020_10_14569_ijacsa_2020_0111183_plusapps_towards_a_privacy_risk_analysis_for_android_plus_applications.pdf","open")</f>
        <v>open</v>
      </c>
      <c r="F301" t="s">
        <v>15</v>
      </c>
      <c r="G301" t="s">
        <v>148</v>
      </c>
      <c r="H301" t="b">
        <v>0</v>
      </c>
    </row>
    <row r="302" spans="1:8" x14ac:dyDescent="0.2">
      <c r="A302" t="s">
        <v>1365</v>
      </c>
      <c r="B302" t="s">
        <v>1366</v>
      </c>
      <c r="C302" t="s">
        <v>60</v>
      </c>
      <c r="D302" t="s">
        <v>1367</v>
      </c>
      <c r="E302" t="str">
        <f>HYPERLINK("/pdf/2024_10.1016_j.neucom.2024.128010_A_review_of_deep_learning_based_malware_detection_techniques.pdf","open")</f>
        <v>open</v>
      </c>
      <c r="F302" t="s">
        <v>15</v>
      </c>
      <c r="G302" t="s">
        <v>148</v>
      </c>
      <c r="H302" t="b">
        <v>0</v>
      </c>
    </row>
    <row r="303" spans="1:8" x14ac:dyDescent="0.2">
      <c r="A303" t="s">
        <v>1369</v>
      </c>
      <c r="B303" t="s">
        <v>1370</v>
      </c>
      <c r="C303" t="s">
        <v>19</v>
      </c>
      <c r="D303" t="s">
        <v>1371</v>
      </c>
      <c r="E303" t="str">
        <f>HYPERLINK("/pdf/2025_10.1007_s13198-025-03002-0_Artificial_intelligence_big_data_optimization_and_network_security_promote_rural_infrastructure_investment_dec.pdf","open")</f>
        <v>open</v>
      </c>
      <c r="F303" t="s">
        <v>15</v>
      </c>
      <c r="G303" t="s">
        <v>148</v>
      </c>
      <c r="H303" t="b">
        <v>0</v>
      </c>
    </row>
    <row r="304" spans="1:8" x14ac:dyDescent="0.2">
      <c r="A304" t="s">
        <v>1373</v>
      </c>
      <c r="B304" t="s">
        <v>1374</v>
      </c>
      <c r="C304" t="s">
        <v>19</v>
      </c>
      <c r="D304" t="s">
        <v>1376</v>
      </c>
      <c r="E304" t="str">
        <f>HYPERLINK("/pdf/2025_10.1109_dapic66097.2025.00172_Design_of_Artificial_Intelligence_Aided_Network_Intrusion_Detection_System_for_Critical_Infrastructure.pdf.pdf","open")</f>
        <v>open</v>
      </c>
      <c r="F304" t="s">
        <v>15</v>
      </c>
      <c r="G304" t="s">
        <v>148</v>
      </c>
      <c r="H304" t="b">
        <v>0</v>
      </c>
    </row>
    <row r="305" spans="1:8" x14ac:dyDescent="0.2">
      <c r="A305" t="s">
        <v>1378</v>
      </c>
      <c r="B305" t="s">
        <v>1379</v>
      </c>
      <c r="C305" t="s">
        <v>60</v>
      </c>
      <c r="D305" t="s">
        <v>148</v>
      </c>
      <c r="E305" t="str">
        <f>HYPERLINK("/pdf/2024_10_14569_ijacsa_2024_0150281_prominent_security_vulnerabilities_in_cloud_computing.pdf","open")</f>
        <v>open</v>
      </c>
      <c r="F305" t="s">
        <v>15</v>
      </c>
      <c r="G305" t="s">
        <v>148</v>
      </c>
      <c r="H305" t="b">
        <v>0</v>
      </c>
    </row>
    <row r="306" spans="1:8" x14ac:dyDescent="0.2">
      <c r="A306" t="s">
        <v>1381</v>
      </c>
      <c r="B306" t="s">
        <v>1382</v>
      </c>
      <c r="C306" t="s">
        <v>36</v>
      </c>
      <c r="D306" t="s">
        <v>1384</v>
      </c>
      <c r="E306" t="str">
        <f>HYPERLINK("/pdf/2021_10.1109_icsc53193.2021.9673380_Detection_of_Tunneling_in_DNS_over_HTTPS.pdf","open")</f>
        <v>open</v>
      </c>
      <c r="F306" t="s">
        <v>44</v>
      </c>
      <c r="G306" t="s">
        <v>10528</v>
      </c>
      <c r="H306" t="b">
        <v>1</v>
      </c>
    </row>
    <row r="307" spans="1:8" x14ac:dyDescent="0.2">
      <c r="A307" t="s">
        <v>1386</v>
      </c>
      <c r="B307" t="s">
        <v>1387</v>
      </c>
      <c r="C307" t="s">
        <v>100</v>
      </c>
      <c r="D307" t="s">
        <v>1389</v>
      </c>
      <c r="E307" t="str">
        <f>HYPERLINK("/pdf/2022_10.1109_icecet55527.2022.9872999_Data_Privacy_on_using_Four_Models-_A_Review.pdf","open")</f>
        <v>open</v>
      </c>
      <c r="F307" t="s">
        <v>44</v>
      </c>
      <c r="G307" t="s">
        <v>10529</v>
      </c>
      <c r="H307" t="b">
        <v>0</v>
      </c>
    </row>
    <row r="308" spans="1:8" x14ac:dyDescent="0.2">
      <c r="A308" t="s">
        <v>1391</v>
      </c>
      <c r="B308" t="s">
        <v>1392</v>
      </c>
      <c r="C308" t="s">
        <v>156</v>
      </c>
      <c r="D308" t="s">
        <v>148</v>
      </c>
      <c r="E308" t="str">
        <f>HYPERLINK("/pdf/2013_10.1109_ijcnn.2013.6706768_Concept_drift_detection_for_online_class_imbalance_learning.pdf","open")</f>
        <v>open</v>
      </c>
      <c r="F308" t="s">
        <v>590</v>
      </c>
      <c r="G308" t="s">
        <v>10530</v>
      </c>
      <c r="H308" t="b">
        <v>0</v>
      </c>
    </row>
    <row r="309" spans="1:8" x14ac:dyDescent="0.2">
      <c r="A309" t="s">
        <v>1394</v>
      </c>
      <c r="B309" t="s">
        <v>1395</v>
      </c>
      <c r="C309" t="s">
        <v>19</v>
      </c>
      <c r="D309" t="s">
        <v>1397</v>
      </c>
      <c r="E309" t="str">
        <f>HYPERLINK("/pdf/2025_10.1016_j.csa.2025.100098_Leveraging_federated_learning_for_DoS_attack_detection_in_IoT_networks_based_on_ensemble_feature_selection_and.pdf","open")</f>
        <v>open</v>
      </c>
      <c r="F309" t="s">
        <v>44</v>
      </c>
      <c r="G309" t="s">
        <v>10531</v>
      </c>
      <c r="H309" t="b">
        <v>1</v>
      </c>
    </row>
    <row r="310" spans="1:8" x14ac:dyDescent="0.2">
      <c r="A310" t="s">
        <v>1399</v>
      </c>
      <c r="B310" t="s">
        <v>1400</v>
      </c>
      <c r="C310" t="s">
        <v>48</v>
      </c>
      <c r="D310" t="s">
        <v>1401</v>
      </c>
      <c r="E310" t="str">
        <f>HYPERLINK("/pdf/2026_10.32604_cmc.2025.069102_LightweightMulti-Agent_edge_framework_for_cybersecurity_and_resource_optimization_inmobile_sensor_networks.pdf","open")</f>
        <v>open</v>
      </c>
      <c r="F310" t="s">
        <v>15</v>
      </c>
      <c r="G310" t="s">
        <v>148</v>
      </c>
      <c r="H310" t="b">
        <v>0</v>
      </c>
    </row>
    <row r="311" spans="1:8" x14ac:dyDescent="0.2">
      <c r="A311" t="s">
        <v>1403</v>
      </c>
      <c r="B311" t="s">
        <v>1350</v>
      </c>
      <c r="C311" t="s">
        <v>100</v>
      </c>
      <c r="D311" t="s">
        <v>148</v>
      </c>
      <c r="E311" t="str">
        <f>HYPERLINK("/pdf/2023_10_1109_tdsc_2022_3179698_blockchain_based_transparency_framework_for_privacy_preserving_third_party_servi.pdf","open")</f>
        <v>open</v>
      </c>
      <c r="F311" t="s">
        <v>44</v>
      </c>
      <c r="G311" t="s">
        <v>10532</v>
      </c>
      <c r="H311" t="b">
        <v>1</v>
      </c>
    </row>
    <row r="312" spans="1:8" x14ac:dyDescent="0.2">
      <c r="A312" t="s">
        <v>1405</v>
      </c>
      <c r="B312" t="s">
        <v>1406</v>
      </c>
      <c r="C312" t="s">
        <v>19</v>
      </c>
      <c r="D312" t="s">
        <v>1408</v>
      </c>
      <c r="E312" t="str">
        <f>HYPERLINK("/pdf/2025_10.18196_jrc.v6i1.24529_A_Customized_Temporal_Federated_Learning_Through_Adversarial_Networks_for_Cyber_Attack_Detection_in_IoT.pdf","open")</f>
        <v>open</v>
      </c>
      <c r="F312" t="s">
        <v>44</v>
      </c>
      <c r="G312" t="s">
        <v>10533</v>
      </c>
      <c r="H312" t="b">
        <v>1</v>
      </c>
    </row>
    <row r="313" spans="1:8" x14ac:dyDescent="0.2">
      <c r="A313" t="s">
        <v>1410</v>
      </c>
      <c r="B313" t="s">
        <v>1411</v>
      </c>
      <c r="C313" t="s">
        <v>12</v>
      </c>
      <c r="D313" t="s">
        <v>1412</v>
      </c>
      <c r="E313" t="str">
        <f>HYPERLINK("/pdf/2018_10_1109_noms_2018_8406153_generation_of_sdn_policies_for_protecting_android_environments_based_on_automata_learning.pdf","open")</f>
        <v>open</v>
      </c>
      <c r="F313" t="s">
        <v>15</v>
      </c>
      <c r="G313" t="s">
        <v>148</v>
      </c>
      <c r="H313" t="b">
        <v>0</v>
      </c>
    </row>
    <row r="314" spans="1:8" x14ac:dyDescent="0.2">
      <c r="A314" t="s">
        <v>1414</v>
      </c>
      <c r="B314" t="s">
        <v>1415</v>
      </c>
      <c r="C314" t="s">
        <v>60</v>
      </c>
      <c r="D314" t="s">
        <v>1417</v>
      </c>
      <c r="E314" t="str">
        <f>HYPERLINK("/pdf/2024_10.17770_etr2024vol2.8045_Data_Leakage_Prevention_and_Detection_in_Digital_Configurations__А_Survey.pdf","open")</f>
        <v>open</v>
      </c>
      <c r="F314" t="s">
        <v>15</v>
      </c>
      <c r="G314" t="s">
        <v>148</v>
      </c>
      <c r="H314" t="b">
        <v>0</v>
      </c>
    </row>
    <row r="315" spans="1:8" x14ac:dyDescent="0.2">
      <c r="A315" t="s">
        <v>1419</v>
      </c>
      <c r="B315" t="s">
        <v>1420</v>
      </c>
      <c r="C315" t="s">
        <v>48</v>
      </c>
      <c r="D315" t="s">
        <v>1422</v>
      </c>
      <c r="E315" t="str">
        <f>HYPERLINK("/pdf/2026_10.1109_emr.2026.3661608_Cognitive_Security_Risks_and_Countermeasures_of_Generative_Artificial_Intelligence_in_Education_Management.pdf","open")</f>
        <v>open</v>
      </c>
      <c r="F315" t="s">
        <v>44</v>
      </c>
      <c r="G315" t="s">
        <v>10534</v>
      </c>
      <c r="H315" t="b">
        <v>1</v>
      </c>
    </row>
    <row r="316" spans="1:8" x14ac:dyDescent="0.2">
      <c r="A316" t="s">
        <v>998</v>
      </c>
      <c r="B316" t="s">
        <v>999</v>
      </c>
      <c r="C316" t="s">
        <v>19</v>
      </c>
      <c r="D316" t="s">
        <v>1424</v>
      </c>
      <c r="E316" t="str">
        <f>HYPERLINK("/pdf/2025_10_1038_s41598_025_89794_4_revolutionary_hybrid_ensembled_deep_learning_model_for_accurate_and_robust_side_channel_at.pdf","open")</f>
        <v>open</v>
      </c>
      <c r="F316" t="s">
        <v>44</v>
      </c>
      <c r="G316" t="s">
        <v>10535</v>
      </c>
      <c r="H316" t="b">
        <v>1</v>
      </c>
    </row>
    <row r="317" spans="1:8" x14ac:dyDescent="0.2">
      <c r="A317" t="s">
        <v>1426</v>
      </c>
      <c r="B317" t="s">
        <v>1427</v>
      </c>
      <c r="C317" t="s">
        <v>25</v>
      </c>
      <c r="D317" t="s">
        <v>1429</v>
      </c>
      <c r="E317" t="str">
        <f>HYPERLINK("/pdf/2023_10.1109_powercon58120.2023.10331301_Risk_Model_and_Defense_Strategy_for_Operation_and_Maintenance_of_Remote_Terminal_Units_in_Distribution_System.pdf","open")</f>
        <v>open</v>
      </c>
      <c r="F317" t="s">
        <v>15</v>
      </c>
      <c r="G317" t="s">
        <v>148</v>
      </c>
      <c r="H317" t="b">
        <v>0</v>
      </c>
    </row>
    <row r="318" spans="1:8" x14ac:dyDescent="0.2">
      <c r="A318" t="s">
        <v>1431</v>
      </c>
      <c r="B318" t="s">
        <v>1432</v>
      </c>
      <c r="C318" t="s">
        <v>19</v>
      </c>
      <c r="D318" t="s">
        <v>1434</v>
      </c>
      <c r="E318" t="str">
        <f>HYPERLINK("/pdf/2025_10.1109_aiotc66747.2025.11198781_Controller_Area_Network_Bus_Intrusion_Detection_Classification_Model_Based_on_Multimodal_Fusion_Mechanism.pdf","open")</f>
        <v>open</v>
      </c>
      <c r="F318" t="s">
        <v>15</v>
      </c>
      <c r="G318" t="s">
        <v>148</v>
      </c>
      <c r="H318" t="b">
        <v>1</v>
      </c>
    </row>
    <row r="319" spans="1:8" x14ac:dyDescent="0.2">
      <c r="A319" t="s">
        <v>1436</v>
      </c>
      <c r="B319" t="s">
        <v>1437</v>
      </c>
      <c r="C319" t="s">
        <v>19</v>
      </c>
      <c r="D319" t="s">
        <v>1436</v>
      </c>
      <c r="E319" t="str">
        <f>HYPERLINK("/pdf/2025_10.1109_iceic64972.2025.10879716_A_Study_on_the_Evaluation_of_Cyber_Security_Vulnerabilities_in_Medical_Software.pdf","open")</f>
        <v>open</v>
      </c>
      <c r="F319" t="s">
        <v>15</v>
      </c>
      <c r="G319" t="s">
        <v>10536</v>
      </c>
      <c r="H319" t="b">
        <v>0</v>
      </c>
    </row>
    <row r="320" spans="1:8" x14ac:dyDescent="0.2">
      <c r="A320" t="s">
        <v>1440</v>
      </c>
      <c r="B320" t="s">
        <v>1441</v>
      </c>
      <c r="C320" t="s">
        <v>19</v>
      </c>
      <c r="D320" t="s">
        <v>1443</v>
      </c>
      <c r="E320" t="str">
        <f>HYPERLINK("/pdf/2025_10.1007_s10489-025-06417-1_A_reinforcement_learning_malware_detection_model_based_on_heterogeneous_information_network_path_representatio.pdf","open")</f>
        <v>open</v>
      </c>
      <c r="F320" t="s">
        <v>15</v>
      </c>
      <c r="G320" t="s">
        <v>148</v>
      </c>
      <c r="H320" t="b">
        <v>0</v>
      </c>
    </row>
    <row r="321" spans="1:8" x14ac:dyDescent="0.2">
      <c r="A321" t="s">
        <v>1445</v>
      </c>
      <c r="B321" t="s">
        <v>1446</v>
      </c>
      <c r="C321" t="s">
        <v>25</v>
      </c>
      <c r="D321" t="s">
        <v>1448</v>
      </c>
      <c r="E321" t="str">
        <f>HYPERLINK("/pdf/2023_10.1109_icecs58634.2023.10382763_FPGA_Based_Intelligent_Hardware_Trojan_Design_and_its_SoC_Implementation.pdf","open")</f>
        <v>open</v>
      </c>
      <c r="F321" t="s">
        <v>44</v>
      </c>
      <c r="G321" t="s">
        <v>10537</v>
      </c>
      <c r="H321" t="b">
        <v>1</v>
      </c>
    </row>
    <row r="322" spans="1:8" x14ac:dyDescent="0.2">
      <c r="A322" t="s">
        <v>1450</v>
      </c>
      <c r="B322" t="s">
        <v>1451</v>
      </c>
      <c r="C322" t="s">
        <v>60</v>
      </c>
      <c r="D322" t="s">
        <v>1453</v>
      </c>
      <c r="E322" t="str">
        <f>HYPERLINK("/pdf/2024_10.1109_peeec63877.2024.00092_Research_and_Implementation_of_Intelligent_Security_Protection_Algorithm_for_5G_Communication.pdf","open")</f>
        <v>open</v>
      </c>
      <c r="F322" t="s">
        <v>15</v>
      </c>
      <c r="G322" t="s">
        <v>148</v>
      </c>
      <c r="H322" t="b">
        <v>0</v>
      </c>
    </row>
    <row r="323" spans="1:8" x14ac:dyDescent="0.2">
      <c r="A323" t="s">
        <v>1455</v>
      </c>
      <c r="B323" t="s">
        <v>743</v>
      </c>
      <c r="C323" t="s">
        <v>60</v>
      </c>
      <c r="D323" t="s">
        <v>148</v>
      </c>
      <c r="E323" t="str">
        <f>HYPERLINK("/pdf/2024_10.19363_j.cnki.cn10-1380_tn.2024.01.06_Web_Attack_Detection_Method_Based_on_Stacking_Fusion_Model;_基于_Stacking_融合模型的_Web_攻击检测方法.pdf","open")</f>
        <v>open</v>
      </c>
      <c r="F323" t="s">
        <v>44</v>
      </c>
      <c r="G323" t="s">
        <v>10538</v>
      </c>
      <c r="H323" t="b">
        <v>1</v>
      </c>
    </row>
    <row r="324" spans="1:8" x14ac:dyDescent="0.2">
      <c r="A324" t="s">
        <v>1457</v>
      </c>
      <c r="B324" t="s">
        <v>1458</v>
      </c>
      <c r="C324" t="s">
        <v>19</v>
      </c>
      <c r="D324" t="s">
        <v>1460</v>
      </c>
      <c r="E324" t="str">
        <f>HYPERLINK("/pdf/2025_10.1109_ijcnn64981.2025.11228082_An_Integrated_Approach_to_Mitigate_Poisoning_Attacks_in_Federated_Learning_Frameworks.pdf","open")</f>
        <v>open</v>
      </c>
      <c r="F324" t="s">
        <v>15</v>
      </c>
      <c r="G324" t="s">
        <v>148</v>
      </c>
      <c r="H324" t="b">
        <v>1</v>
      </c>
    </row>
    <row r="325" spans="1:8" x14ac:dyDescent="0.2">
      <c r="A325" t="s">
        <v>1462</v>
      </c>
      <c r="B325" t="s">
        <v>1463</v>
      </c>
      <c r="C325" t="s">
        <v>136</v>
      </c>
      <c r="D325" t="s">
        <v>148</v>
      </c>
      <c r="E325" t="str">
        <f>HYPERLINK("/pdf/2020_10.1007_978-3-030-15160-7_68_Information_Security_of_Mobile_Systems.pdf","open")</f>
        <v>open</v>
      </c>
      <c r="F325" t="s">
        <v>15</v>
      </c>
      <c r="G325" t="s">
        <v>148</v>
      </c>
      <c r="H325" t="b">
        <v>0</v>
      </c>
    </row>
    <row r="326" spans="1:8" x14ac:dyDescent="0.2">
      <c r="A326" t="s">
        <v>1465</v>
      </c>
      <c r="B326" t="s">
        <v>1466</v>
      </c>
      <c r="C326" t="s">
        <v>25</v>
      </c>
      <c r="D326" t="s">
        <v>1468</v>
      </c>
      <c r="E326" t="str">
        <f>HYPERLINK("/pdf/2023_10.1109_icodsa58501.2023.10276974_Public_Awareness_of_Phishing_in_Indonesia__System_Literature_Review.pdf","open")</f>
        <v>open</v>
      </c>
      <c r="F326" t="s">
        <v>44</v>
      </c>
      <c r="G326" t="s">
        <v>10539</v>
      </c>
      <c r="H326" t="b">
        <v>1</v>
      </c>
    </row>
    <row r="327" spans="1:8" x14ac:dyDescent="0.2">
      <c r="A327" t="s">
        <v>1470</v>
      </c>
      <c r="B327" t="s">
        <v>779</v>
      </c>
      <c r="C327" t="s">
        <v>60</v>
      </c>
      <c r="D327" t="s">
        <v>778</v>
      </c>
      <c r="E327" t="str">
        <f>HYPERLINK("/pdf/2024_10_20473_mi_v7i3_55931_data_leakage_of_the_indonesian_elections_commission_in_legal_aspects_of_personal_data_prot.pdf","open")</f>
        <v>open</v>
      </c>
      <c r="F327" t="s">
        <v>44</v>
      </c>
      <c r="G327" t="s">
        <v>10540</v>
      </c>
      <c r="H327" t="b">
        <v>1</v>
      </c>
    </row>
    <row r="328" spans="1:8" x14ac:dyDescent="0.2">
      <c r="A328" t="s">
        <v>1472</v>
      </c>
      <c r="B328" t="s">
        <v>1222</v>
      </c>
      <c r="C328" t="s">
        <v>25</v>
      </c>
      <c r="D328" t="s">
        <v>1224</v>
      </c>
      <c r="E328" t="str">
        <f>HYPERLINK("/pdf/2023_10_1109_fmec59375_2023_10305886_an_overview_of_using_of_artificial_intelligence_in_enhancing_security_and_privacy_in_mobil.pdf","open")</f>
        <v>open</v>
      </c>
      <c r="F328" t="s">
        <v>44</v>
      </c>
      <c r="G328" t="s">
        <v>10541</v>
      </c>
      <c r="H328" t="b">
        <v>1</v>
      </c>
    </row>
    <row r="329" spans="1:8" x14ac:dyDescent="0.2">
      <c r="A329" t="s">
        <v>1475</v>
      </c>
      <c r="B329" t="s">
        <v>1476</v>
      </c>
      <c r="C329" t="s">
        <v>19</v>
      </c>
      <c r="D329" t="s">
        <v>1477</v>
      </c>
      <c r="E329" t="str">
        <f>HYPERLINK("/pdf/2025_10_1007_s10207_025_01044_w_a_survey_on_malware_attacks_in_industrial_air_gap_systems.pdf","open")</f>
        <v>open</v>
      </c>
      <c r="F329" t="s">
        <v>44</v>
      </c>
      <c r="G329" t="s">
        <v>10542</v>
      </c>
      <c r="H329" t="b">
        <v>1</v>
      </c>
    </row>
    <row r="330" spans="1:8" x14ac:dyDescent="0.2">
      <c r="A330" t="s">
        <v>1479</v>
      </c>
      <c r="B330" t="s">
        <v>1480</v>
      </c>
      <c r="C330" t="s">
        <v>60</v>
      </c>
      <c r="D330" t="s">
        <v>1481</v>
      </c>
      <c r="E330" t="str">
        <f>HYPERLINK("/pdf/2024_10_3390_jcp4040039_enhancing_cybersecurity_through_comprehensive_investigation_of_data_flow_based_attack_scen.pdf","open")</f>
        <v>open</v>
      </c>
      <c r="F330" t="s">
        <v>44</v>
      </c>
      <c r="G330" t="s">
        <v>10543</v>
      </c>
      <c r="H330" t="b">
        <v>1</v>
      </c>
    </row>
    <row r="331" spans="1:8" x14ac:dyDescent="0.2">
      <c r="A331" t="s">
        <v>1483</v>
      </c>
      <c r="B331" t="s">
        <v>1484</v>
      </c>
      <c r="C331" t="s">
        <v>25</v>
      </c>
      <c r="D331" t="s">
        <v>1486</v>
      </c>
      <c r="E331" t="str">
        <f>HYPERLINK("/pdf/2023_10.1109_icicsp59554.2023.10390572_Network_Traffic_Forensics_and_Traceability_Technology_Based_on_Blockchain.pdf","open")</f>
        <v>open</v>
      </c>
      <c r="F331" t="s">
        <v>15</v>
      </c>
      <c r="G331" t="s">
        <v>148</v>
      </c>
      <c r="H331" t="b">
        <v>0</v>
      </c>
    </row>
    <row r="332" spans="1:8" x14ac:dyDescent="0.2">
      <c r="A332" t="s">
        <v>1488</v>
      </c>
      <c r="B332" t="s">
        <v>1441</v>
      </c>
      <c r="C332" t="s">
        <v>19</v>
      </c>
      <c r="D332" t="s">
        <v>1443</v>
      </c>
      <c r="E332" t="str">
        <f>HYPERLINK("/pdf/2025_10.1007_s11227-025-07116-x_GDT-IDS__graph-based_decision_tree_intrusion_detection_system_for_controller_area_network.pdf","open")</f>
        <v>open</v>
      </c>
      <c r="F332" t="s">
        <v>15</v>
      </c>
      <c r="H332" t="b">
        <v>0</v>
      </c>
    </row>
    <row r="333" spans="1:8" x14ac:dyDescent="0.2">
      <c r="A333" t="s">
        <v>1490</v>
      </c>
      <c r="B333" t="s">
        <v>1491</v>
      </c>
      <c r="C333" t="s">
        <v>54</v>
      </c>
      <c r="D333" t="s">
        <v>1493</v>
      </c>
      <c r="E333" t="str">
        <f>HYPERLINK("/pdf/2020_10.1109_discover50404.2020.9278053_The_Mechanism_to_Combat_Data_Leakage_Trojans_in_Circuits_using_Ranomized_Encoding.pdf","open")</f>
        <v>open</v>
      </c>
      <c r="F333" t="s">
        <v>15</v>
      </c>
      <c r="G333" t="s">
        <v>10544</v>
      </c>
      <c r="H333" t="b">
        <v>0</v>
      </c>
    </row>
    <row r="334" spans="1:8" x14ac:dyDescent="0.2">
      <c r="A334" t="s">
        <v>1495</v>
      </c>
      <c r="B334" t="s">
        <v>1496</v>
      </c>
      <c r="C334" t="s">
        <v>36</v>
      </c>
      <c r="D334" t="s">
        <v>1495</v>
      </c>
      <c r="E334" t="str">
        <f>HYPERLINK("/pdf/2021_10.1145_3453800.3453824_Detect_Android_malware_by_using_deep_learning__Experiment_and_Evaluation.pdf","open")</f>
        <v>open</v>
      </c>
      <c r="F334" t="s">
        <v>15</v>
      </c>
      <c r="G334" t="s">
        <v>148</v>
      </c>
      <c r="H334" t="b">
        <v>0</v>
      </c>
    </row>
    <row r="335" spans="1:8" x14ac:dyDescent="0.2">
      <c r="A335" t="s">
        <v>1499</v>
      </c>
      <c r="B335" t="s">
        <v>1500</v>
      </c>
      <c r="C335" t="s">
        <v>60</v>
      </c>
      <c r="D335" t="s">
        <v>1502</v>
      </c>
      <c r="E335" t="str">
        <f>HYPERLINK("/pdf/2024_10.1109_itcem65710.2024.00030_Research_on_Network_Security_Threat_Detection_and_Defense_Mechanism_Based_on_Artificial_Intelligence.pdf","open")</f>
        <v>open</v>
      </c>
      <c r="F335" t="s">
        <v>15</v>
      </c>
      <c r="G335" t="s">
        <v>10545</v>
      </c>
      <c r="H335" t="b">
        <v>0</v>
      </c>
    </row>
    <row r="336" spans="1:8" x14ac:dyDescent="0.2">
      <c r="A336" t="s">
        <v>1504</v>
      </c>
      <c r="B336" t="s">
        <v>1505</v>
      </c>
      <c r="C336" t="s">
        <v>19</v>
      </c>
      <c r="D336" t="s">
        <v>1507</v>
      </c>
      <c r="E336" t="str">
        <f>HYPERLINK("/pdf/2025_10.1109_sami63904.2025.10883123_Improving_Cybersecurity_in_Hospital_Information_Systems_through_Anonymization_Techniques.pdf","open")</f>
        <v>open</v>
      </c>
      <c r="F336" t="s">
        <v>15</v>
      </c>
      <c r="H336" t="b">
        <v>0</v>
      </c>
    </row>
    <row r="337" spans="1:8" x14ac:dyDescent="0.2">
      <c r="A337" t="s">
        <v>1509</v>
      </c>
      <c r="B337" t="s">
        <v>1088</v>
      </c>
      <c r="C337" t="s">
        <v>19</v>
      </c>
      <c r="D337" t="s">
        <v>1087</v>
      </c>
      <c r="E337" t="str">
        <f>HYPERLINK("/pdf/2025_10_11591_ijai_v14_i6_pp4913_4922_comparative_evaluation_of_machine_learning_models_for_intrusion_detection_in_wsn.pdf","open")</f>
        <v>open</v>
      </c>
      <c r="F337" t="s">
        <v>15</v>
      </c>
      <c r="H337" t="b">
        <v>0</v>
      </c>
    </row>
    <row r="338" spans="1:8" x14ac:dyDescent="0.2">
      <c r="A338" t="s">
        <v>1511</v>
      </c>
      <c r="B338" t="s">
        <v>1512</v>
      </c>
      <c r="C338" t="s">
        <v>60</v>
      </c>
      <c r="D338" t="s">
        <v>1514</v>
      </c>
      <c r="E338" t="str">
        <f>HYPERLINK("/pdf/2024_10.1109_icctit64404.2024.10928389_Research_and_Construction_of_Multi-model_Fusionbased_Malicious_URL_Detection_Method.pdf","open")</f>
        <v>open</v>
      </c>
      <c r="F338" t="s">
        <v>15</v>
      </c>
      <c r="G338" t="s">
        <v>148</v>
      </c>
      <c r="H338" t="b">
        <v>0</v>
      </c>
    </row>
    <row r="339" spans="1:8" x14ac:dyDescent="0.2">
      <c r="A339" t="s">
        <v>1516</v>
      </c>
      <c r="B339" t="s">
        <v>1517</v>
      </c>
      <c r="C339" t="s">
        <v>19</v>
      </c>
      <c r="D339" t="s">
        <v>1518</v>
      </c>
      <c r="E339" t="str">
        <f>HYPERLINK("/pdf/2025_10.1109_access.2025.3588808_A_Federated_Learning_Model_for_Detecting_Cyberattacks_in_Internet_of_Medical_Things_Networks.pdf","open")</f>
        <v>open</v>
      </c>
      <c r="F339" t="s">
        <v>15</v>
      </c>
      <c r="G339" t="s">
        <v>148</v>
      </c>
      <c r="H339" t="b">
        <v>0</v>
      </c>
    </row>
    <row r="340" spans="1:8" x14ac:dyDescent="0.2">
      <c r="A340" t="s">
        <v>1520</v>
      </c>
      <c r="B340" t="s">
        <v>1521</v>
      </c>
      <c r="C340" t="s">
        <v>25</v>
      </c>
      <c r="D340" t="s">
        <v>1523</v>
      </c>
      <c r="E340" t="str">
        <f>HYPERLINK("/pdf/2023_10.1109_ictc58733.2023.10392902_Federated_Learning_with_Differential_Privacy_for_Intrusion_Detection_in_Internet_of_Flying_Things__A_Robust_Ap.pdf","open")</f>
        <v>open</v>
      </c>
      <c r="F340" t="s">
        <v>15</v>
      </c>
      <c r="G340" t="s">
        <v>148</v>
      </c>
      <c r="H340" t="b">
        <v>0</v>
      </c>
    </row>
    <row r="341" spans="1:8" x14ac:dyDescent="0.2">
      <c r="A341" t="s">
        <v>1525</v>
      </c>
      <c r="B341" t="s">
        <v>1526</v>
      </c>
      <c r="C341" t="s">
        <v>36</v>
      </c>
      <c r="D341" t="s">
        <v>1528</v>
      </c>
      <c r="E341" t="str">
        <f>HYPERLINK("/pdf/2021_10.1109_infocom42981.2021.9488914_Finding_critical_files_from_a_packet.pdf","open")</f>
        <v>open</v>
      </c>
      <c r="F341" t="s">
        <v>15</v>
      </c>
      <c r="G341" t="s">
        <v>148</v>
      </c>
      <c r="H341" t="b">
        <v>0</v>
      </c>
    </row>
    <row r="342" spans="1:8" x14ac:dyDescent="0.2">
      <c r="A342" t="s">
        <v>1530</v>
      </c>
      <c r="B342" t="s">
        <v>541</v>
      </c>
      <c r="C342" t="s">
        <v>25</v>
      </c>
      <c r="D342" t="s">
        <v>540</v>
      </c>
      <c r="E342" t="str">
        <f>HYPERLINK("/pdf/2024_10_1109_tdsc_2023_3323713_leakage_of_authorization_data_in_iot_device_sharing_new_attacks_and_countermeasure.pdf","open")</f>
        <v>open</v>
      </c>
      <c r="F342" t="s">
        <v>44</v>
      </c>
      <c r="G342" t="s">
        <v>10546</v>
      </c>
      <c r="H342" t="b">
        <v>1</v>
      </c>
    </row>
    <row r="343" spans="1:8" x14ac:dyDescent="0.2">
      <c r="A343" t="s">
        <v>1532</v>
      </c>
      <c r="B343" t="s">
        <v>1533</v>
      </c>
      <c r="C343" t="s">
        <v>36</v>
      </c>
      <c r="D343" t="s">
        <v>1535</v>
      </c>
      <c r="E343" t="str">
        <f>HYPERLINK("/pdf/2021_10.1109_mi-sta52233.2021.9464458_Deploying_Risk_Access_Models_in_a_Cloud_Environment__Possibilities_and_Challenges.pdf","open")</f>
        <v>open</v>
      </c>
      <c r="F343" t="s">
        <v>15</v>
      </c>
      <c r="G343" t="s">
        <v>148</v>
      </c>
      <c r="H343" t="b">
        <v>0</v>
      </c>
    </row>
    <row r="344" spans="1:8" x14ac:dyDescent="0.2">
      <c r="A344" t="s">
        <v>1537</v>
      </c>
      <c r="B344" t="s">
        <v>1283</v>
      </c>
      <c r="C344" t="s">
        <v>100</v>
      </c>
      <c r="D344" t="s">
        <v>1285</v>
      </c>
      <c r="E344" t="str">
        <f>HYPERLINK("/pdf/2022_10_17341_gazimmfd_641580_a_new_document_classification_algorithm_against_malicious_data_leakage_attacks.pdf","open")</f>
        <v>open</v>
      </c>
      <c r="F344" t="s">
        <v>15</v>
      </c>
      <c r="G344" t="s">
        <v>10547</v>
      </c>
      <c r="H344" t="b">
        <v>0</v>
      </c>
    </row>
    <row r="345" spans="1:8" x14ac:dyDescent="0.2">
      <c r="A345" t="s">
        <v>1540</v>
      </c>
      <c r="B345" t="s">
        <v>1541</v>
      </c>
      <c r="C345" t="s">
        <v>100</v>
      </c>
      <c r="D345" t="s">
        <v>1543</v>
      </c>
      <c r="E345" t="str">
        <f>HYPERLINK("/pdf/2022_10_1109_ipsn54338_2022_00040_deepauditor_distributed_online_intrusion_detection_system_for_iot_devices_via_power_side.pdf","open")</f>
        <v>open</v>
      </c>
      <c r="F345" t="s">
        <v>15</v>
      </c>
      <c r="H345" t="b">
        <v>0</v>
      </c>
    </row>
    <row r="346" spans="1:8" x14ac:dyDescent="0.2">
      <c r="A346" t="s">
        <v>1545</v>
      </c>
      <c r="B346" t="s">
        <v>1546</v>
      </c>
      <c r="C346" t="s">
        <v>36</v>
      </c>
      <c r="D346" t="s">
        <v>1548</v>
      </c>
      <c r="E346" t="str">
        <f>HYPERLINK("/pdf/2021_10.1109_icsip52628.2021.9689011_A_Covert_Communication_Method_Based_on_Gradient_Model.pdf","open")</f>
        <v>open</v>
      </c>
      <c r="F346" t="s">
        <v>15</v>
      </c>
      <c r="G346" t="s">
        <v>10548</v>
      </c>
      <c r="H346" t="b">
        <v>1</v>
      </c>
    </row>
    <row r="347" spans="1:8" x14ac:dyDescent="0.2">
      <c r="A347" t="s">
        <v>1550</v>
      </c>
      <c r="B347" t="s">
        <v>1551</v>
      </c>
      <c r="C347" t="s">
        <v>25</v>
      </c>
      <c r="D347" t="s">
        <v>148</v>
      </c>
      <c r="E347" t="str">
        <f>HYPERLINK("/pdf/2024_10_1109_tase_2023_3267034_transactive_energy_system_deployment_over_insecure_communication_links.pdf","open")</f>
        <v>open</v>
      </c>
      <c r="F347" t="s">
        <v>15</v>
      </c>
      <c r="G347" t="s">
        <v>148</v>
      </c>
      <c r="H347" t="b">
        <v>0</v>
      </c>
    </row>
    <row r="348" spans="1:8" x14ac:dyDescent="0.2">
      <c r="A348" t="s">
        <v>1554</v>
      </c>
      <c r="B348" t="s">
        <v>1555</v>
      </c>
      <c r="C348" t="s">
        <v>36</v>
      </c>
      <c r="D348" t="s">
        <v>1557</v>
      </c>
      <c r="E348" t="str">
        <f>HYPERLINK("/pdf/2021_10.1145_3503823.3503886_Uncuffed__A_Blockchain-based_Secure_Messaging_System.pdf","open")</f>
        <v>open</v>
      </c>
      <c r="F348" t="s">
        <v>15</v>
      </c>
      <c r="G348" t="s">
        <v>10549</v>
      </c>
      <c r="H348" t="b">
        <v>1</v>
      </c>
    </row>
    <row r="349" spans="1:8" x14ac:dyDescent="0.2">
      <c r="A349" t="s">
        <v>1559</v>
      </c>
      <c r="B349" t="s">
        <v>337</v>
      </c>
      <c r="C349" t="s">
        <v>19</v>
      </c>
      <c r="D349" t="s">
        <v>1560</v>
      </c>
      <c r="E349" t="str">
        <f>HYPERLINK("/pdf/2025_10_1007_s13198_025_03013_x_mobile_network_intelligent_recommendation_based_on_data_mining_and_network_secur.pdf","open")</f>
        <v>open</v>
      </c>
      <c r="F349" t="s">
        <v>15</v>
      </c>
      <c r="G349" t="s">
        <v>10550</v>
      </c>
      <c r="H349" t="b">
        <v>1</v>
      </c>
    </row>
    <row r="350" spans="1:8" x14ac:dyDescent="0.2">
      <c r="A350" t="s">
        <v>1562</v>
      </c>
      <c r="B350" t="s">
        <v>59</v>
      </c>
      <c r="C350" t="s">
        <v>60</v>
      </c>
      <c r="D350" t="s">
        <v>62</v>
      </c>
      <c r="E350" t="str">
        <f>HYPERLINK("/pdf/2024_10_17770_etr2024vol2_8062_management_approaches_and_application_areas_of_information_security_in_organizat.pdf","open")</f>
        <v>open</v>
      </c>
      <c r="F350" t="s">
        <v>15</v>
      </c>
      <c r="G350" t="s">
        <v>148</v>
      </c>
      <c r="H350" t="b">
        <v>0</v>
      </c>
    </row>
    <row r="351" spans="1:8" x14ac:dyDescent="0.2">
      <c r="A351" t="s">
        <v>1565</v>
      </c>
      <c r="B351" t="s">
        <v>1566</v>
      </c>
      <c r="C351" t="s">
        <v>60</v>
      </c>
      <c r="D351" t="s">
        <v>1417</v>
      </c>
      <c r="E351" t="str">
        <f>HYPERLINK("/pdf/2024_10_17770_etr2024vol2_8045_data_leakage_prevention_and_detection_in_digital_configurations_a_survey.pdf","open")</f>
        <v>open</v>
      </c>
      <c r="F351" t="s">
        <v>44</v>
      </c>
      <c r="G351" t="s">
        <v>10551</v>
      </c>
      <c r="H351" t="b">
        <v>1</v>
      </c>
    </row>
    <row r="352" spans="1:8" x14ac:dyDescent="0.2">
      <c r="A352" t="s">
        <v>34</v>
      </c>
      <c r="B352" t="s">
        <v>35</v>
      </c>
      <c r="C352" t="s">
        <v>36</v>
      </c>
      <c r="D352" t="s">
        <v>38</v>
      </c>
      <c r="E352" t="str">
        <f>HYPERLINK("/pdf/2021_10_32604_cmc_2021_016626_an_optimal_big_data_analytics_with_concept_drift_detection_on_high_dimensional_s.pdf","open")</f>
        <v>open</v>
      </c>
      <c r="F352" t="s">
        <v>15</v>
      </c>
      <c r="H352" t="b">
        <v>0</v>
      </c>
    </row>
    <row r="353" spans="1:8" x14ac:dyDescent="0.2">
      <c r="A353" t="s">
        <v>69</v>
      </c>
      <c r="B353" t="s">
        <v>70</v>
      </c>
      <c r="C353" t="s">
        <v>25</v>
      </c>
      <c r="D353" t="s">
        <v>72</v>
      </c>
      <c r="E353" t="str">
        <f>HYPERLINK("/pdf/2023_10_7717_peerj_cs_1543_scheduling_algorithms_for_data_protection_based_on_security_classification_const.pdf","open")</f>
        <v>open</v>
      </c>
      <c r="F353" t="s">
        <v>15</v>
      </c>
      <c r="G353" t="s">
        <v>148</v>
      </c>
      <c r="H353" t="b">
        <v>1</v>
      </c>
    </row>
    <row r="354" spans="1:8" x14ac:dyDescent="0.2">
      <c r="A354" t="s">
        <v>1554</v>
      </c>
      <c r="B354" t="s">
        <v>1555</v>
      </c>
      <c r="C354" t="s">
        <v>36</v>
      </c>
      <c r="D354" t="s">
        <v>1557</v>
      </c>
      <c r="E354" t="str">
        <f>HYPERLINK("/pdf/2021_10_1145_3503823_3503886_uncuffed_a_blockchain_based_secure_messaging_system.pdf","open")</f>
        <v>open</v>
      </c>
      <c r="F354" t="s">
        <v>15</v>
      </c>
      <c r="G354" t="s">
        <v>148</v>
      </c>
      <c r="H354" t="b">
        <v>0</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00_Index</vt:lpstr>
      <vt:lpstr>05_Extraction</vt:lpstr>
      <vt:lpstr>06_Quant_Coding</vt:lpstr>
      <vt:lpstr>07_Findings</vt:lpstr>
      <vt:lpstr>08_Gaps_FutureWork</vt:lpstr>
      <vt:lpstr>Evidence</vt:lpstr>
      <vt:lpstr>Quality_Control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Norrakith Srisumrith</dc:creator>
  <cp:keywords/>
  <dc:description/>
  <cp:lastModifiedBy>Norrakith Srisumrith</cp:lastModifiedBy>
  <dcterms:created xsi:type="dcterms:W3CDTF">2026-03-04T10:42:25Z</dcterms:created>
  <dcterms:modified xsi:type="dcterms:W3CDTF">2026-03-06T07:23:58Z</dcterms:modified>
  <cp:category/>
</cp:coreProperties>
</file>